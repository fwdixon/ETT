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E:\Users\Frank\Google Drive\KSP Stuff\"/>
    </mc:Choice>
  </mc:AlternateContent>
  <bookViews>
    <workbookView xWindow="0" yWindow="0" windowWidth="15750" windowHeight="11865" tabRatio="669" activeTab="3"/>
  </bookViews>
  <sheets>
    <sheet name="Tech Tree Node Locations" sheetId="2" r:id="rId1"/>
    <sheet name="Tech Tree Node Parameters" sheetId="3" r:id="rId2"/>
    <sheet name="TechTree Transpose" sheetId="15" state="hidden" r:id="rId3"/>
    <sheet name="Tech Tree CFG File" sheetId="9" r:id="rId4"/>
    <sheet name="Sounding Rockets CFG File" sheetId="16" r:id="rId5"/>
    <sheet name="Life Support CFG File" sheetId="18" r:id="rId6"/>
    <sheet name="Inflatable Stations CFG File" sheetId="19" r:id="rId7"/>
    <sheet name="ETT Localization" sheetId="7" r:id="rId8"/>
    <sheet name="Stock Nodes" sheetId="4" r:id="rId9"/>
    <sheet name="CTT Nodes" sheetId="5" r:id="rId10"/>
    <sheet name="ETT Nodes" sheetId="6" r:id="rId11"/>
  </sheets>
  <definedNames>
    <definedName name="_xlnm._FilterDatabase" localSheetId="7" hidden="1">'ETT Localization'!$A$1:$E$541</definedName>
    <definedName name="_xlnm._FilterDatabase" localSheetId="1" hidden="1">'Tech Tree Node Parameters'!$A$2:$X$218</definedName>
    <definedName name="NodeCols">'Tech Tree Node Locations'!$C$10:$CY$10</definedName>
    <definedName name="NodeRows">'Tech Tree Node Locations'!$B$11:$B$126</definedName>
    <definedName name="_xlnm.Print_Area" localSheetId="0">'Tech Tree Node Locations'!$B$10:$CY$126</definedName>
    <definedName name="_xlnm.Print_Area" localSheetId="1">'Tech Tree Node Parameters'!$A$2:$J$216</definedName>
    <definedName name="TechNodes">'Tech Tree Node Parameters'!$A$3:$A$218</definedName>
    <definedName name="TechTree">'Tech Tree Node Locations'!$C$11:$CY$126</definedName>
    <definedName name="TNodeCols">'TechTree Transpose'!$A$2:$A$102</definedName>
    <definedName name="TTechTree">'TechTree Transpose'!$B$2:$DM$102</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Y44" i="2" l="1"/>
  <c r="AX44" i="2"/>
  <c r="AW44" i="2"/>
  <c r="AV44" i="2"/>
  <c r="AU44" i="2"/>
  <c r="BA68" i="2"/>
  <c r="AX68" i="2"/>
  <c r="AW68" i="2"/>
  <c r="AY66" i="2"/>
  <c r="AX66" i="2"/>
  <c r="AW66" i="2"/>
  <c r="AY64" i="2"/>
  <c r="AX64" i="2"/>
  <c r="AY62" i="2"/>
  <c r="AX62" i="2"/>
  <c r="AY60" i="2"/>
  <c r="AX60" i="2"/>
  <c r="AY58" i="2"/>
  <c r="AX58" i="2"/>
  <c r="AY56" i="2"/>
  <c r="AX56" i="2"/>
  <c r="AY54" i="2"/>
  <c r="AX54" i="2"/>
  <c r="AW54" i="2"/>
  <c r="AY52" i="2"/>
  <c r="AX52" i="2"/>
  <c r="AW52" i="2"/>
  <c r="AU52" i="2"/>
  <c r="AT52" i="2"/>
  <c r="AS52" i="2"/>
  <c r="AR52" i="2"/>
  <c r="AQ52" i="2"/>
  <c r="AU50" i="2"/>
  <c r="AT50" i="2"/>
  <c r="AS50" i="2"/>
  <c r="AR50" i="2"/>
  <c r="AQ50" i="2"/>
  <c r="AU48" i="2"/>
  <c r="AT48" i="2"/>
  <c r="AS48" i="2"/>
  <c r="AR48" i="2"/>
  <c r="AQ48" i="2"/>
  <c r="AU46" i="2"/>
  <c r="AT46" i="2"/>
  <c r="AS46" i="2"/>
  <c r="AR46" i="2"/>
  <c r="AQ46" i="2"/>
  <c r="AT44" i="2"/>
  <c r="AS44" i="2"/>
  <c r="AR44" i="2"/>
  <c r="AQ44" i="2"/>
  <c r="AU42" i="2"/>
  <c r="AT42" i="2"/>
  <c r="AS42" i="2"/>
  <c r="AR42" i="2"/>
  <c r="AQ42" i="2"/>
  <c r="AU40" i="2"/>
  <c r="AT40" i="2"/>
  <c r="AS40" i="2"/>
  <c r="AR40" i="2"/>
  <c r="AQ40" i="2"/>
  <c r="AU38" i="2"/>
  <c r="AT38" i="2"/>
  <c r="AS38" i="2"/>
  <c r="AR38" i="2"/>
  <c r="AQ38" i="2"/>
  <c r="AU36" i="2"/>
  <c r="AT36" i="2"/>
  <c r="AS36" i="2"/>
  <c r="AR36" i="2"/>
  <c r="AQ36" i="2"/>
  <c r="AU34" i="2"/>
  <c r="AT34" i="2"/>
  <c r="AS34" i="2"/>
  <c r="AR34" i="2"/>
  <c r="AQ34" i="2"/>
  <c r="AU32" i="2"/>
  <c r="AT32" i="2"/>
  <c r="AS32" i="2"/>
  <c r="AR32" i="2"/>
  <c r="AQ32" i="2"/>
  <c r="E2" i="5"/>
  <c r="F2" i="5" s="1"/>
  <c r="G2" i="5" s="1"/>
  <c r="E3" i="5"/>
  <c r="F3" i="5" s="1"/>
  <c r="G3" i="5" s="1"/>
  <c r="E4" i="5"/>
  <c r="F4" i="5" s="1"/>
  <c r="G4" i="5" s="1"/>
  <c r="E5" i="5"/>
  <c r="F5" i="5" s="1"/>
  <c r="G5" i="5" s="1"/>
  <c r="E6" i="5"/>
  <c r="F6" i="5"/>
  <c r="G6" i="5"/>
  <c r="E7" i="5"/>
  <c r="F7" i="5" s="1"/>
  <c r="G7" i="5" s="1"/>
  <c r="E8" i="5"/>
  <c r="F8" i="5" s="1"/>
  <c r="G8" i="5" s="1"/>
  <c r="E9" i="5"/>
  <c r="F9" i="5"/>
  <c r="G9" i="5" s="1"/>
  <c r="E10" i="5"/>
  <c r="F10" i="5" s="1"/>
  <c r="G10" i="5" s="1"/>
  <c r="E11" i="5"/>
  <c r="F11" i="5" s="1"/>
  <c r="G11" i="5" s="1"/>
  <c r="E12" i="5"/>
  <c r="F12" i="5" s="1"/>
  <c r="G12" i="5" s="1"/>
  <c r="E13" i="5"/>
  <c r="F13" i="5" s="1"/>
  <c r="G13" i="5" s="1"/>
  <c r="E14" i="5"/>
  <c r="F14" i="5"/>
  <c r="G14" i="5"/>
  <c r="E15" i="5"/>
  <c r="F15" i="5" s="1"/>
  <c r="G15" i="5" s="1"/>
  <c r="E16" i="5"/>
  <c r="F16" i="5" s="1"/>
  <c r="G16" i="5" s="1"/>
  <c r="E17" i="5"/>
  <c r="F17" i="5"/>
  <c r="G17" i="5" s="1"/>
  <c r="E18" i="5"/>
  <c r="F18" i="5" s="1"/>
  <c r="G18" i="5" s="1"/>
  <c r="E19" i="5"/>
  <c r="F19" i="5" s="1"/>
  <c r="G19" i="5" s="1"/>
  <c r="E20" i="5"/>
  <c r="F20" i="5" s="1"/>
  <c r="G20" i="5" s="1"/>
  <c r="E21" i="5"/>
  <c r="F21" i="5" s="1"/>
  <c r="G21" i="5" s="1"/>
  <c r="E22" i="5"/>
  <c r="F22" i="5"/>
  <c r="G22" i="5"/>
  <c r="E23" i="5"/>
  <c r="F23" i="5" s="1"/>
  <c r="G23" i="5" s="1"/>
  <c r="E24" i="5"/>
  <c r="F24" i="5" s="1"/>
  <c r="G24" i="5" s="1"/>
  <c r="E25" i="5"/>
  <c r="F25" i="5"/>
  <c r="G25" i="5" s="1"/>
  <c r="E26" i="5"/>
  <c r="F26" i="5" s="1"/>
  <c r="G26" i="5" s="1"/>
  <c r="E27" i="5"/>
  <c r="F27" i="5" s="1"/>
  <c r="G27" i="5" s="1"/>
  <c r="E28" i="5"/>
  <c r="F28" i="5" s="1"/>
  <c r="G28" i="5" s="1"/>
  <c r="E29" i="5"/>
  <c r="F29" i="5" s="1"/>
  <c r="G29" i="5" s="1"/>
  <c r="E30" i="5"/>
  <c r="F30" i="5"/>
  <c r="G30" i="5"/>
  <c r="E31" i="5"/>
  <c r="F31" i="5" s="1"/>
  <c r="G31" i="5" s="1"/>
  <c r="E32" i="5"/>
  <c r="F32" i="5" s="1"/>
  <c r="G32" i="5" s="1"/>
  <c r="E33" i="5"/>
  <c r="F33" i="5"/>
  <c r="G33" i="5" s="1"/>
  <c r="E34" i="5"/>
  <c r="F34" i="5" s="1"/>
  <c r="G34" i="5" s="1"/>
  <c r="E35" i="5"/>
  <c r="F35" i="5" s="1"/>
  <c r="G35" i="5" s="1"/>
  <c r="E36" i="5"/>
  <c r="F36" i="5" s="1"/>
  <c r="G36" i="5" s="1"/>
  <c r="E37" i="5"/>
  <c r="F37" i="5" s="1"/>
  <c r="G37" i="5" s="1"/>
  <c r="E38" i="5"/>
  <c r="F38" i="5"/>
  <c r="G38" i="5"/>
  <c r="E39" i="5"/>
  <c r="F39" i="5" s="1"/>
  <c r="G39" i="5" s="1"/>
  <c r="E40" i="5"/>
  <c r="F40" i="5" s="1"/>
  <c r="G40" i="5" s="1"/>
  <c r="E41" i="5"/>
  <c r="F41" i="5"/>
  <c r="G41" i="5" s="1"/>
  <c r="E42" i="5"/>
  <c r="F42" i="5" s="1"/>
  <c r="G42" i="5" s="1"/>
  <c r="E43" i="5"/>
  <c r="F43" i="5" s="1"/>
  <c r="G43" i="5" s="1"/>
  <c r="E44" i="5"/>
  <c r="F44" i="5" s="1"/>
  <c r="G44" i="5" s="1"/>
  <c r="E45" i="5"/>
  <c r="F45" i="5" s="1"/>
  <c r="G45" i="5" s="1"/>
  <c r="E46" i="5"/>
  <c r="F46" i="5"/>
  <c r="G46" i="5"/>
  <c r="E47" i="5"/>
  <c r="F47" i="5" s="1"/>
  <c r="G47" i="5" s="1"/>
  <c r="E48" i="5"/>
  <c r="F48" i="5" s="1"/>
  <c r="G48" i="5" s="1"/>
  <c r="E49" i="5"/>
  <c r="F49" i="5"/>
  <c r="G49" i="5" s="1"/>
  <c r="E50" i="5"/>
  <c r="F50" i="5" s="1"/>
  <c r="G50" i="5" s="1"/>
  <c r="E51" i="5"/>
  <c r="F51" i="5" s="1"/>
  <c r="G51" i="5" s="1"/>
  <c r="E52" i="5"/>
  <c r="F52" i="5" s="1"/>
  <c r="G52" i="5" s="1"/>
  <c r="E53" i="5"/>
  <c r="F53" i="5" s="1"/>
  <c r="G53" i="5" s="1"/>
  <c r="E54" i="5"/>
  <c r="F54" i="5"/>
  <c r="G54" i="5"/>
  <c r="E55" i="5"/>
  <c r="F55" i="5" s="1"/>
  <c r="G55" i="5" s="1"/>
  <c r="E56" i="5"/>
  <c r="F56" i="5" s="1"/>
  <c r="G56" i="5" s="1"/>
  <c r="E57" i="5"/>
  <c r="F57" i="5"/>
  <c r="G57" i="5" s="1"/>
  <c r="E58" i="5"/>
  <c r="F58" i="5" s="1"/>
  <c r="G58" i="5" s="1"/>
  <c r="E59" i="5"/>
  <c r="F59" i="5" s="1"/>
  <c r="G59" i="5" s="1"/>
  <c r="E60" i="5"/>
  <c r="F60" i="5" s="1"/>
  <c r="G60" i="5" s="1"/>
  <c r="E61" i="5"/>
  <c r="F61" i="5" s="1"/>
  <c r="G61" i="5" s="1"/>
  <c r="E62" i="5"/>
  <c r="F62" i="5"/>
  <c r="G62" i="5"/>
  <c r="E63" i="5"/>
  <c r="F63" i="5" s="1"/>
  <c r="G63" i="5" s="1"/>
  <c r="E64" i="5"/>
  <c r="F64" i="5"/>
  <c r="G64" i="5" s="1"/>
  <c r="E65" i="5"/>
  <c r="F65" i="5"/>
  <c r="G65" i="5" s="1"/>
  <c r="E66" i="5"/>
  <c r="F66" i="5" s="1"/>
  <c r="G66" i="5" s="1"/>
  <c r="E67" i="5"/>
  <c r="F67" i="5" s="1"/>
  <c r="G67" i="5" s="1"/>
  <c r="E68" i="5"/>
  <c r="F68" i="5" s="1"/>
  <c r="G68" i="5" s="1"/>
  <c r="E69" i="5"/>
  <c r="F69" i="5" s="1"/>
  <c r="G69" i="5" s="1"/>
  <c r="E70" i="5"/>
  <c r="F70" i="5"/>
  <c r="G70" i="5"/>
  <c r="E71" i="5"/>
  <c r="F71" i="5" s="1"/>
  <c r="G71" i="5" s="1"/>
  <c r="E72" i="5"/>
  <c r="F72" i="5"/>
  <c r="G72" i="5" s="1"/>
  <c r="E73" i="5"/>
  <c r="F73" i="5"/>
  <c r="G73" i="5" s="1"/>
  <c r="E74" i="5"/>
  <c r="F74" i="5" s="1"/>
  <c r="G74" i="5" s="1"/>
  <c r="E75" i="5"/>
  <c r="F75" i="5" s="1"/>
  <c r="G75" i="5" s="1"/>
  <c r="E76" i="5"/>
  <c r="F76" i="5" s="1"/>
  <c r="G76" i="5" s="1"/>
  <c r="E77" i="5"/>
  <c r="F77" i="5" s="1"/>
  <c r="G77" i="5" s="1"/>
  <c r="E78" i="5"/>
  <c r="F78" i="5"/>
  <c r="G78" i="5"/>
  <c r="E79" i="5"/>
  <c r="F79" i="5" s="1"/>
  <c r="G79" i="5" s="1"/>
  <c r="E80" i="5"/>
  <c r="F80" i="5"/>
  <c r="G80" i="5" s="1"/>
  <c r="E81" i="5"/>
  <c r="F81" i="5"/>
  <c r="G81" i="5" s="1"/>
  <c r="E82" i="5"/>
  <c r="F82" i="5" s="1"/>
  <c r="G82" i="5" s="1"/>
  <c r="G1" i="5"/>
  <c r="F1" i="5"/>
  <c r="E1" i="5"/>
  <c r="BP46" i="2"/>
  <c r="BQ46" i="2"/>
  <c r="BN46" i="2"/>
  <c r="BO46" i="2"/>
  <c r="BS46" i="2"/>
  <c r="BM76" i="2"/>
  <c r="BJ76" i="2"/>
  <c r="BI76" i="2"/>
  <c r="BH76" i="2"/>
  <c r="BW48" i="2"/>
  <c r="BV48" i="2"/>
  <c r="BU48" i="2"/>
  <c r="BT48" i="2"/>
  <c r="BR48" i="2"/>
  <c r="BQ48" i="2"/>
  <c r="BP48" i="2"/>
  <c r="BO48" i="2"/>
  <c r="BN48" i="2"/>
  <c r="BM48" i="2"/>
  <c r="BL48" i="2"/>
  <c r="BK48" i="2"/>
  <c r="AY104" i="2" l="1"/>
  <c r="AY106" i="2"/>
  <c r="AY108" i="2"/>
  <c r="AY110" i="2"/>
  <c r="AY112" i="2"/>
  <c r="AY114" i="2"/>
  <c r="AY116" i="2"/>
  <c r="AY40" i="2"/>
  <c r="AY38" i="2"/>
  <c r="AY36" i="2"/>
  <c r="AY34" i="2"/>
  <c r="AY32" i="2"/>
  <c r="AY30" i="2"/>
  <c r="AY28" i="2"/>
  <c r="AY26" i="2"/>
  <c r="AY24" i="2"/>
  <c r="AY22" i="2"/>
  <c r="AY20" i="2"/>
  <c r="AY18" i="2"/>
  <c r="AY16" i="2"/>
  <c r="AY14" i="2"/>
  <c r="AY12" i="2"/>
  <c r="BA100" i="2"/>
  <c r="BC96" i="2"/>
  <c r="BA116" i="2"/>
  <c r="BA118" i="2"/>
  <c r="BA120" i="2"/>
  <c r="AS96" i="2"/>
  <c r="AS98" i="2"/>
  <c r="AS100" i="2"/>
  <c r="AS102" i="2"/>
  <c r="AS104" i="2"/>
  <c r="BG42" i="2"/>
  <c r="BF42" i="2"/>
  <c r="BE42" i="2"/>
  <c r="BD42" i="2"/>
  <c r="BC42" i="2"/>
  <c r="BB42" i="2"/>
  <c r="BA42" i="2"/>
  <c r="BG40" i="2"/>
  <c r="BF40" i="2"/>
  <c r="BE40" i="2"/>
  <c r="BD40" i="2"/>
  <c r="BC40" i="2"/>
  <c r="BB40" i="2"/>
  <c r="BA40" i="2"/>
  <c r="BG38" i="2"/>
  <c r="BF38" i="2"/>
  <c r="BE38" i="2"/>
  <c r="BD38" i="2"/>
  <c r="BC38" i="2"/>
  <c r="BB38" i="2"/>
  <c r="BA38" i="2"/>
  <c r="BG36" i="2"/>
  <c r="BF36" i="2"/>
  <c r="BE36" i="2"/>
  <c r="BD36" i="2"/>
  <c r="BC36" i="2"/>
  <c r="BB36" i="2"/>
  <c r="BA36" i="2"/>
  <c r="BG34" i="2"/>
  <c r="BF34" i="2"/>
  <c r="BE34" i="2"/>
  <c r="BD34" i="2"/>
  <c r="BC34" i="2"/>
  <c r="BB34" i="2"/>
  <c r="BA34" i="2"/>
  <c r="BG32" i="2"/>
  <c r="BF32" i="2"/>
  <c r="BE32" i="2"/>
  <c r="BD32" i="2"/>
  <c r="BC32" i="2"/>
  <c r="BB32" i="2"/>
  <c r="BA32" i="2"/>
  <c r="BG30" i="2"/>
  <c r="BF30" i="2"/>
  <c r="BE30" i="2"/>
  <c r="BD30" i="2"/>
  <c r="BC30" i="2"/>
  <c r="BB30" i="2"/>
  <c r="BA30" i="2"/>
  <c r="BG28" i="2"/>
  <c r="BF28" i="2"/>
  <c r="BE28" i="2"/>
  <c r="BD28" i="2"/>
  <c r="BC28" i="2"/>
  <c r="BB28" i="2"/>
  <c r="BA28" i="2"/>
  <c r="BG26" i="2"/>
  <c r="BF26" i="2"/>
  <c r="BE26" i="2"/>
  <c r="BD26" i="2"/>
  <c r="BC26" i="2"/>
  <c r="BB26" i="2"/>
  <c r="BA26" i="2"/>
  <c r="BG24" i="2"/>
  <c r="BF24" i="2"/>
  <c r="BE24" i="2"/>
  <c r="BD24" i="2"/>
  <c r="BC24" i="2"/>
  <c r="BB24" i="2"/>
  <c r="BA24" i="2"/>
  <c r="BG22" i="2"/>
  <c r="BF22" i="2"/>
  <c r="BE22" i="2"/>
  <c r="BD22" i="2"/>
  <c r="BC22" i="2"/>
  <c r="BB22" i="2"/>
  <c r="BA22" i="2"/>
  <c r="BG20" i="2"/>
  <c r="BF20" i="2"/>
  <c r="BE20" i="2"/>
  <c r="BD20" i="2"/>
  <c r="BC20" i="2"/>
  <c r="BB20" i="2"/>
  <c r="BA20" i="2"/>
  <c r="BG18" i="2"/>
  <c r="BI38" i="2"/>
  <c r="BJ38" i="2"/>
  <c r="BK38" i="2"/>
  <c r="BL38" i="2"/>
  <c r="BM38" i="2"/>
  <c r="BN38" i="2"/>
  <c r="BO38" i="2"/>
  <c r="BI40" i="2"/>
  <c r="BJ40" i="2"/>
  <c r="BK40" i="2"/>
  <c r="BL40" i="2"/>
  <c r="BM40" i="2"/>
  <c r="BN40" i="2"/>
  <c r="BO40" i="2"/>
  <c r="BH40" i="2"/>
  <c r="BH38" i="2"/>
  <c r="BH42" i="2"/>
  <c r="BI42" i="2"/>
  <c r="BJ42" i="2"/>
  <c r="BK42" i="2"/>
  <c r="BW44" i="2"/>
  <c r="BV44" i="2"/>
  <c r="BU44" i="2"/>
  <c r="BT44" i="2"/>
  <c r="BS44" i="2"/>
  <c r="BR44" i="2"/>
  <c r="BQ44" i="2"/>
  <c r="BP44" i="2"/>
  <c r="BO44" i="2"/>
  <c r="BN44" i="2"/>
  <c r="BM44" i="2"/>
  <c r="BL44" i="2"/>
  <c r="BK44" i="2"/>
  <c r="BW42" i="2"/>
  <c r="BV42" i="2"/>
  <c r="BU42" i="2"/>
  <c r="BT42" i="2"/>
  <c r="BS42" i="2"/>
  <c r="BR42" i="2"/>
  <c r="BQ42" i="2"/>
  <c r="BP42" i="2"/>
  <c r="BO42" i="2"/>
  <c r="BN42" i="2"/>
  <c r="BM42" i="2"/>
  <c r="BL42" i="2"/>
  <c r="BG16" i="2"/>
  <c r="BK100" i="2"/>
  <c r="AG52" i="2"/>
  <c r="AF52" i="2"/>
  <c r="AE52" i="2"/>
  <c r="AD52" i="2"/>
  <c r="AC52" i="2"/>
  <c r="AB52" i="2"/>
  <c r="AA52" i="2"/>
  <c r="Z52" i="2"/>
  <c r="Y52" i="2"/>
  <c r="AG50" i="2"/>
  <c r="AF50" i="2"/>
  <c r="AE50" i="2"/>
  <c r="AD50" i="2"/>
  <c r="AC50" i="2"/>
  <c r="AB50" i="2"/>
  <c r="AA50" i="2"/>
  <c r="Z50" i="2"/>
  <c r="Y50" i="2"/>
  <c r="AG48" i="2"/>
  <c r="AF48" i="2"/>
  <c r="AE48" i="2"/>
  <c r="AD48" i="2"/>
  <c r="AC48" i="2"/>
  <c r="AB48" i="2"/>
  <c r="AA48" i="2"/>
  <c r="Z48" i="2"/>
  <c r="Y48" i="2"/>
  <c r="AG46" i="2"/>
  <c r="AF46" i="2"/>
  <c r="AE46" i="2"/>
  <c r="AD46" i="2"/>
  <c r="AC46" i="2"/>
  <c r="AB46" i="2"/>
  <c r="AA46" i="2"/>
  <c r="Z46" i="2"/>
  <c r="Y46" i="2"/>
  <c r="AG44" i="2"/>
  <c r="AF44" i="2"/>
  <c r="AE44" i="2"/>
  <c r="AD44" i="2"/>
  <c r="AC44" i="2"/>
  <c r="AB44" i="2"/>
  <c r="AA44" i="2"/>
  <c r="Z44" i="2"/>
  <c r="Y44" i="2"/>
  <c r="AG42" i="2"/>
  <c r="AF42" i="2"/>
  <c r="AE42" i="2"/>
  <c r="AD42" i="2"/>
  <c r="AC42" i="2"/>
  <c r="AB42" i="2"/>
  <c r="AA42" i="2"/>
  <c r="Z42" i="2"/>
  <c r="Y42" i="2"/>
  <c r="AG40" i="2"/>
  <c r="AF40" i="2"/>
  <c r="AE40" i="2"/>
  <c r="AD40" i="2"/>
  <c r="AC40" i="2"/>
  <c r="AB40" i="2"/>
  <c r="AA40" i="2"/>
  <c r="Z40" i="2"/>
  <c r="Y40" i="2"/>
  <c r="AG38" i="2"/>
  <c r="AF38" i="2"/>
  <c r="AE38" i="2"/>
  <c r="AD38" i="2"/>
  <c r="AC38" i="2"/>
  <c r="AB38" i="2"/>
  <c r="AA38" i="2"/>
  <c r="Z38" i="2"/>
  <c r="Y38" i="2"/>
  <c r="AG36" i="2"/>
  <c r="AF36" i="2"/>
  <c r="AE36" i="2"/>
  <c r="AD36" i="2"/>
  <c r="AC36" i="2"/>
  <c r="AB36" i="2"/>
  <c r="AA36" i="2"/>
  <c r="Z36" i="2"/>
  <c r="Y36" i="2"/>
  <c r="AO68" i="2"/>
  <c r="AN68" i="2"/>
  <c r="AM68" i="2"/>
  <c r="AL68" i="2"/>
  <c r="AK68" i="2"/>
  <c r="AJ68" i="2"/>
  <c r="AI68" i="2"/>
  <c r="AH68" i="2"/>
  <c r="AG68" i="2"/>
  <c r="AF68" i="2"/>
  <c r="AE68" i="2"/>
  <c r="AO66" i="2"/>
  <c r="AN66" i="2"/>
  <c r="AM66" i="2"/>
  <c r="AL66" i="2"/>
  <c r="AK66" i="2"/>
  <c r="AJ66" i="2"/>
  <c r="AI66" i="2"/>
  <c r="AH66" i="2"/>
  <c r="AG66" i="2"/>
  <c r="AF66" i="2"/>
  <c r="AE66" i="2"/>
  <c r="AO64" i="2"/>
  <c r="AN64" i="2"/>
  <c r="AM64" i="2"/>
  <c r="AL64" i="2"/>
  <c r="AK64" i="2"/>
  <c r="AJ64" i="2"/>
  <c r="AI64" i="2"/>
  <c r="AH64" i="2"/>
  <c r="AG64" i="2"/>
  <c r="AF64" i="2"/>
  <c r="AE64" i="2"/>
  <c r="AO62" i="2"/>
  <c r="AN62" i="2"/>
  <c r="AM62" i="2"/>
  <c r="AL62" i="2"/>
  <c r="AK62" i="2"/>
  <c r="AJ62" i="2"/>
  <c r="AI62" i="2"/>
  <c r="AH62" i="2"/>
  <c r="AG62" i="2"/>
  <c r="AF62" i="2"/>
  <c r="AE62" i="2"/>
  <c r="AO60" i="2"/>
  <c r="AN60" i="2"/>
  <c r="AM60" i="2"/>
  <c r="AL60" i="2"/>
  <c r="AK60" i="2"/>
  <c r="AJ60" i="2"/>
  <c r="AI60" i="2"/>
  <c r="AH60" i="2"/>
  <c r="AG60" i="2"/>
  <c r="AF60" i="2"/>
  <c r="AE60" i="2"/>
  <c r="AO58" i="2"/>
  <c r="AN58" i="2"/>
  <c r="AM58" i="2"/>
  <c r="AL58" i="2"/>
  <c r="AK58" i="2"/>
  <c r="AJ58" i="2"/>
  <c r="AI58" i="2"/>
  <c r="AH58" i="2"/>
  <c r="AG58" i="2"/>
  <c r="AF58" i="2"/>
  <c r="AE58" i="2"/>
  <c r="AO56" i="2"/>
  <c r="AN56" i="2"/>
  <c r="AM56" i="2"/>
  <c r="AL56" i="2"/>
  <c r="AK56" i="2"/>
  <c r="AJ56" i="2"/>
  <c r="AI56" i="2"/>
  <c r="AH56" i="2"/>
  <c r="AG56" i="2"/>
  <c r="AF56" i="2"/>
  <c r="AE56" i="2"/>
  <c r="AQ76" i="2"/>
  <c r="AO80" i="2"/>
  <c r="AM88" i="2"/>
  <c r="AS76" i="2"/>
  <c r="BA96" i="2" l="1"/>
  <c r="BA98" i="2"/>
  <c r="BE92" i="2"/>
  <c r="BF92" i="2"/>
  <c r="BG92" i="2"/>
  <c r="BH92" i="2"/>
  <c r="BI92" i="2"/>
  <c r="BJ92" i="2"/>
  <c r="BK92" i="2"/>
  <c r="BE94" i="2"/>
  <c r="BF94" i="2"/>
  <c r="BG94" i="2"/>
  <c r="BH94" i="2"/>
  <c r="BI94" i="2"/>
  <c r="BJ94" i="2"/>
  <c r="BK94" i="2"/>
  <c r="BE96" i="2"/>
  <c r="BF96" i="2"/>
  <c r="BI96" i="2"/>
  <c r="BJ96" i="2"/>
  <c r="BK96" i="2"/>
  <c r="BE98" i="2"/>
  <c r="BF98" i="2"/>
  <c r="BG98" i="2"/>
  <c r="BH98" i="2"/>
  <c r="BI98" i="2"/>
  <c r="BJ98" i="2"/>
  <c r="BK98" i="2"/>
  <c r="BE100" i="2"/>
  <c r="BF100" i="2"/>
  <c r="BG100" i="2"/>
  <c r="BH100" i="2"/>
  <c r="BI100" i="2"/>
  <c r="BJ100" i="2"/>
  <c r="BE102" i="2"/>
  <c r="BF102" i="2"/>
  <c r="BG102" i="2"/>
  <c r="BH102" i="2"/>
  <c r="BI102" i="2"/>
  <c r="BJ102" i="2"/>
  <c r="BK102" i="2"/>
  <c r="BE104" i="2"/>
  <c r="BF104" i="2"/>
  <c r="BG104" i="2"/>
  <c r="BH104" i="2"/>
  <c r="BI104" i="2"/>
  <c r="BJ104" i="2"/>
  <c r="BK104" i="2"/>
  <c r="BE106" i="2"/>
  <c r="BF106" i="2"/>
  <c r="BG106" i="2"/>
  <c r="BH106" i="2"/>
  <c r="BI106" i="2"/>
  <c r="BJ106" i="2"/>
  <c r="BK106" i="2"/>
  <c r="BE108" i="2"/>
  <c r="BF108" i="2"/>
  <c r="BG108" i="2"/>
  <c r="BH108" i="2"/>
  <c r="BI108" i="2"/>
  <c r="BJ108" i="2"/>
  <c r="BK108" i="2"/>
  <c r="BE110" i="2"/>
  <c r="BF110" i="2"/>
  <c r="BG110" i="2"/>
  <c r="BH110" i="2"/>
  <c r="BI110" i="2"/>
  <c r="BJ110" i="2"/>
  <c r="BK110" i="2"/>
  <c r="BE112" i="2"/>
  <c r="BF112" i="2"/>
  <c r="BG112" i="2"/>
  <c r="BH112" i="2"/>
  <c r="BI112" i="2"/>
  <c r="BJ112" i="2"/>
  <c r="BK112" i="2"/>
  <c r="AN88" i="2"/>
  <c r="AO88" i="2"/>
  <c r="AP88" i="2"/>
  <c r="BO88" i="2"/>
  <c r="BN88" i="2"/>
  <c r="BM88" i="2"/>
  <c r="BL88" i="2"/>
  <c r="BK88" i="2"/>
  <c r="BO86" i="2"/>
  <c r="BN86" i="2"/>
  <c r="BM86" i="2"/>
  <c r="BL86" i="2"/>
  <c r="BK86" i="2"/>
  <c r="BO84" i="2"/>
  <c r="BN84" i="2"/>
  <c r="BM84" i="2"/>
  <c r="BL84" i="2"/>
  <c r="BK84" i="2"/>
  <c r="AH36" i="2"/>
  <c r="AI36" i="2"/>
  <c r="AH38" i="2"/>
  <c r="AI38" i="2"/>
  <c r="AH40" i="2"/>
  <c r="AI40" i="2"/>
  <c r="AH42" i="2"/>
  <c r="AI42" i="2"/>
  <c r="AH44" i="2"/>
  <c r="AI44" i="2"/>
  <c r="AH46" i="2"/>
  <c r="AI46" i="2"/>
  <c r="AH48" i="2"/>
  <c r="AI48" i="2"/>
  <c r="AH50" i="2"/>
  <c r="AI50" i="2"/>
  <c r="AH52" i="2"/>
  <c r="AI52" i="2"/>
  <c r="AC56" i="2"/>
  <c r="AD56" i="2"/>
  <c r="AP56" i="2"/>
  <c r="AQ56" i="2"/>
  <c r="AC58" i="2"/>
  <c r="AD58" i="2"/>
  <c r="AP58" i="2"/>
  <c r="AQ58" i="2"/>
  <c r="AC60" i="2"/>
  <c r="AD60" i="2"/>
  <c r="AP60" i="2"/>
  <c r="AQ60" i="2"/>
  <c r="AC62" i="2"/>
  <c r="AD62" i="2"/>
  <c r="AP62" i="2"/>
  <c r="AQ62" i="2"/>
  <c r="AC64" i="2"/>
  <c r="AD64" i="2"/>
  <c r="AP64" i="2"/>
  <c r="AQ64" i="2"/>
  <c r="AC66" i="2"/>
  <c r="AD66" i="2"/>
  <c r="AP66" i="2"/>
  <c r="AQ66" i="2"/>
  <c r="AC68" i="2"/>
  <c r="AD68" i="2"/>
  <c r="AP68" i="2"/>
  <c r="AQ68" i="2"/>
  <c r="AC70" i="2"/>
  <c r="AD70" i="2"/>
  <c r="AE70" i="2"/>
  <c r="AF70" i="2"/>
  <c r="AG70" i="2"/>
  <c r="AH70" i="2"/>
  <c r="AI70" i="2"/>
  <c r="AJ70" i="2"/>
  <c r="AK70" i="2"/>
  <c r="AL70" i="2"/>
  <c r="AM70" i="2"/>
  <c r="AN70" i="2"/>
  <c r="AO70" i="2"/>
  <c r="AP70" i="2"/>
  <c r="AQ70" i="2"/>
  <c r="AC72" i="2"/>
  <c r="AD72" i="2"/>
  <c r="AE72" i="2"/>
  <c r="AF72" i="2"/>
  <c r="AG72" i="2"/>
  <c r="AH72" i="2"/>
  <c r="AI72" i="2"/>
  <c r="AJ72" i="2"/>
  <c r="AK72" i="2"/>
  <c r="AL72" i="2"/>
  <c r="AM72" i="2"/>
  <c r="AN72" i="2"/>
  <c r="AO72" i="2"/>
  <c r="AP72" i="2"/>
  <c r="AC74" i="2"/>
  <c r="AD74" i="2"/>
  <c r="AE74" i="2"/>
  <c r="AF74" i="2"/>
  <c r="AG74" i="2"/>
  <c r="AH74" i="2"/>
  <c r="AI74" i="2"/>
  <c r="AJ74" i="2"/>
  <c r="AK74" i="2"/>
  <c r="AL74" i="2"/>
  <c r="AM74" i="2"/>
  <c r="AN74" i="2"/>
  <c r="AO74" i="2"/>
  <c r="AP74" i="2"/>
  <c r="AQ74" i="2"/>
  <c r="AC76" i="2"/>
  <c r="AD76" i="2"/>
  <c r="AE76" i="2"/>
  <c r="AF76" i="2"/>
  <c r="AG76" i="2"/>
  <c r="AH76" i="2"/>
  <c r="AI76" i="2"/>
  <c r="AJ76" i="2"/>
  <c r="AK76" i="2"/>
  <c r="AL76" i="2"/>
  <c r="AM76" i="2"/>
  <c r="AN76" i="2"/>
  <c r="AO76" i="2"/>
  <c r="AP76" i="2"/>
  <c r="AC78" i="2"/>
  <c r="AD78" i="2"/>
  <c r="AE78" i="2"/>
  <c r="AF78" i="2"/>
  <c r="AG78" i="2"/>
  <c r="AH78" i="2"/>
  <c r="AI78" i="2"/>
  <c r="AJ78" i="2"/>
  <c r="AK78" i="2"/>
  <c r="AL78" i="2"/>
  <c r="AM78" i="2"/>
  <c r="AN78" i="2"/>
  <c r="AO78" i="2"/>
  <c r="AP78" i="2"/>
  <c r="AQ78" i="2"/>
  <c r="AC80" i="2"/>
  <c r="AD80" i="2"/>
  <c r="AE80" i="2"/>
  <c r="AF80" i="2"/>
  <c r="AG80" i="2"/>
  <c r="AH80" i="2"/>
  <c r="AI80" i="2"/>
  <c r="AJ80" i="2"/>
  <c r="AK80" i="2"/>
  <c r="AL80" i="2"/>
  <c r="AM80" i="2"/>
  <c r="AN80" i="2"/>
  <c r="AP80" i="2"/>
  <c r="AQ80" i="2"/>
  <c r="AC82" i="2"/>
  <c r="AD82" i="2"/>
  <c r="AE82" i="2"/>
  <c r="AF82" i="2"/>
  <c r="AG82" i="2"/>
  <c r="AH82" i="2"/>
  <c r="AI82" i="2"/>
  <c r="AJ82" i="2"/>
  <c r="AK82" i="2"/>
  <c r="AL82" i="2"/>
  <c r="AM82" i="2"/>
  <c r="AN82" i="2"/>
  <c r="AO82" i="2"/>
  <c r="AP82" i="2"/>
  <c r="AQ82" i="2"/>
  <c r="AC84" i="2"/>
  <c r="AD84" i="2"/>
  <c r="AE84" i="2"/>
  <c r="AF84" i="2"/>
  <c r="AG84" i="2"/>
  <c r="AH84" i="2"/>
  <c r="AI84" i="2"/>
  <c r="AJ84" i="2"/>
  <c r="AK84" i="2"/>
  <c r="AL84" i="2"/>
  <c r="AM84" i="2"/>
  <c r="AN84" i="2"/>
  <c r="AO84" i="2"/>
  <c r="AP84" i="2"/>
  <c r="AC86" i="2"/>
  <c r="AD86" i="2"/>
  <c r="AE86" i="2"/>
  <c r="AF86" i="2"/>
  <c r="AG86" i="2"/>
  <c r="AH86" i="2"/>
  <c r="AI86" i="2"/>
  <c r="AJ86" i="2"/>
  <c r="AK86" i="2"/>
  <c r="AL86" i="2"/>
  <c r="AM86" i="2"/>
  <c r="AN86" i="2"/>
  <c r="AO86" i="2"/>
  <c r="AP86" i="2"/>
  <c r="AQ86" i="2"/>
  <c r="AC88" i="2"/>
  <c r="AD88" i="2"/>
  <c r="AE88" i="2"/>
  <c r="AF88" i="2"/>
  <c r="AG88" i="2"/>
  <c r="AH88" i="2"/>
  <c r="AI88" i="2"/>
  <c r="AJ88" i="2"/>
  <c r="AL88" i="2"/>
  <c r="AA32" i="2"/>
  <c r="AB32" i="2"/>
  <c r="AC32" i="2"/>
  <c r="AA34" i="2"/>
  <c r="AB34" i="2"/>
  <c r="AC34" i="2"/>
  <c r="AJ40" i="2"/>
  <c r="AK40" i="2"/>
  <c r="AJ42" i="2"/>
  <c r="AK42" i="2"/>
  <c r="AJ44" i="2"/>
  <c r="AK44" i="2"/>
  <c r="AJ46" i="2"/>
  <c r="AK46" i="2"/>
  <c r="AJ48" i="2"/>
  <c r="AK48" i="2"/>
  <c r="AJ50" i="2"/>
  <c r="AK50" i="2"/>
  <c r="AJ52" i="2"/>
  <c r="AK52" i="2"/>
  <c r="AA56" i="2"/>
  <c r="AB56" i="2"/>
  <c r="AA58" i="2"/>
  <c r="AB58" i="2"/>
  <c r="AA60" i="2"/>
  <c r="AB60" i="2"/>
  <c r="AA62" i="2"/>
  <c r="AB62" i="2"/>
  <c r="AA64" i="2"/>
  <c r="AB64" i="2"/>
  <c r="AA66" i="2"/>
  <c r="AB66" i="2"/>
  <c r="AA68" i="2"/>
  <c r="AB68" i="2"/>
  <c r="AA70" i="2"/>
  <c r="AB70" i="2"/>
  <c r="AA72" i="2"/>
  <c r="AB72" i="2"/>
  <c r="Y76" i="2"/>
  <c r="Z76" i="2"/>
  <c r="AA76" i="2"/>
  <c r="AB76" i="2"/>
  <c r="Y78" i="2"/>
  <c r="Z78" i="2"/>
  <c r="AA78" i="2"/>
  <c r="AB78" i="2"/>
  <c r="Y80" i="2"/>
  <c r="Z80" i="2"/>
  <c r="AA80" i="2"/>
  <c r="AB80" i="2"/>
  <c r="Y82" i="2"/>
  <c r="Z82" i="2"/>
  <c r="AA82" i="2"/>
  <c r="AB82" i="2"/>
  <c r="Y84" i="2"/>
  <c r="Z84" i="2"/>
  <c r="AA84" i="2"/>
  <c r="AB84" i="2"/>
  <c r="BQ96" i="2"/>
  <c r="BQ94" i="2"/>
  <c r="BQ92" i="2"/>
  <c r="BQ90" i="2"/>
  <c r="BQ88" i="2"/>
  <c r="BQ86" i="2"/>
  <c r="BQ84" i="2"/>
  <c r="BQ82" i="2"/>
  <c r="BQ80" i="2"/>
  <c r="BQ78" i="2"/>
  <c r="BE50" i="2"/>
  <c r="BF50" i="2"/>
  <c r="BG50" i="2"/>
  <c r="BH50" i="2"/>
  <c r="BI50" i="2"/>
  <c r="BE52" i="2"/>
  <c r="BF52" i="2"/>
  <c r="BG52" i="2"/>
  <c r="BH52" i="2"/>
  <c r="BI52" i="2"/>
  <c r="BE54" i="2"/>
  <c r="BF54" i="2"/>
  <c r="BG54" i="2"/>
  <c r="BH54" i="2"/>
  <c r="BI54" i="2"/>
  <c r="BE46" i="2"/>
  <c r="BF46" i="2"/>
  <c r="BG46" i="2"/>
  <c r="BH46" i="2"/>
  <c r="BI46" i="2"/>
  <c r="BE48" i="2"/>
  <c r="BF48" i="2"/>
  <c r="BG48" i="2"/>
  <c r="BH48" i="2"/>
  <c r="BI48" i="2"/>
  <c r="BQ64" i="2"/>
  <c r="BM72" i="2"/>
  <c r="BQ70" i="2"/>
  <c r="BP70" i="2"/>
  <c r="BO70" i="2"/>
  <c r="BN70" i="2"/>
  <c r="BM70" i="2"/>
  <c r="BL70" i="2"/>
  <c r="BK70" i="2"/>
  <c r="BJ70" i="2"/>
  <c r="BI70" i="2"/>
  <c r="BH70" i="2"/>
  <c r="BG70" i="2"/>
  <c r="BF70" i="2"/>
  <c r="BE70" i="2"/>
  <c r="BQ68" i="2"/>
  <c r="BP68" i="2"/>
  <c r="BN68" i="2"/>
  <c r="BL68" i="2"/>
  <c r="BK68" i="2"/>
  <c r="BJ68" i="2"/>
  <c r="BI68" i="2"/>
  <c r="BH68" i="2"/>
  <c r="BG68" i="2"/>
  <c r="BF68" i="2"/>
  <c r="BE68" i="2"/>
  <c r="BQ66" i="2"/>
  <c r="BP66" i="2"/>
  <c r="BO66" i="2"/>
  <c r="BN66" i="2"/>
  <c r="BM66" i="2"/>
  <c r="BL66" i="2"/>
  <c r="BK66" i="2"/>
  <c r="BJ66" i="2"/>
  <c r="BI66" i="2"/>
  <c r="BH66" i="2"/>
  <c r="BG66" i="2"/>
  <c r="BF66" i="2"/>
  <c r="BE66" i="2"/>
  <c r="BP64" i="2"/>
  <c r="BO64" i="2"/>
  <c r="BN64" i="2"/>
  <c r="BL64" i="2"/>
  <c r="BK64" i="2"/>
  <c r="BJ64" i="2"/>
  <c r="BI64" i="2"/>
  <c r="BH64" i="2"/>
  <c r="BG64" i="2"/>
  <c r="BF64" i="2"/>
  <c r="BE64" i="2"/>
  <c r="BQ62" i="2"/>
  <c r="BP62" i="2"/>
  <c r="BO62" i="2"/>
  <c r="BN62" i="2"/>
  <c r="BM62" i="2"/>
  <c r="BL62" i="2"/>
  <c r="BK62" i="2"/>
  <c r="BJ62" i="2"/>
  <c r="BI62" i="2"/>
  <c r="BH62" i="2"/>
  <c r="BG62" i="2"/>
  <c r="BF62" i="2"/>
  <c r="BE62" i="2"/>
  <c r="BQ60" i="2"/>
  <c r="BP60" i="2"/>
  <c r="BO60" i="2"/>
  <c r="BN60" i="2"/>
  <c r="BM60" i="2"/>
  <c r="BL60" i="2"/>
  <c r="BK60" i="2"/>
  <c r="BJ60" i="2"/>
  <c r="BI60" i="2"/>
  <c r="BH60" i="2"/>
  <c r="BG60" i="2"/>
  <c r="BF60" i="2"/>
  <c r="BE60" i="2"/>
  <c r="BO72" i="2"/>
  <c r="BW52" i="2"/>
  <c r="BV52" i="2"/>
  <c r="BU52" i="2"/>
  <c r="BT52" i="2"/>
  <c r="BR52" i="2"/>
  <c r="BQ52" i="2"/>
  <c r="BP52" i="2"/>
  <c r="BO52" i="2"/>
  <c r="BS104" i="2"/>
  <c r="BS50" i="2"/>
  <c r="BQ72" i="2"/>
  <c r="AW46" i="2"/>
  <c r="AW48" i="2"/>
  <c r="AW32" i="2"/>
  <c r="AO48" i="2"/>
  <c r="AO46" i="2"/>
  <c r="AO44" i="2"/>
  <c r="AO42" i="2"/>
  <c r="AO40" i="2"/>
  <c r="AO38" i="2"/>
  <c r="AO36" i="2"/>
  <c r="AO34" i="2"/>
  <c r="AO32" i="2"/>
  <c r="AO30" i="2"/>
  <c r="AO28" i="2"/>
  <c r="AO26" i="2"/>
  <c r="AO24" i="2"/>
  <c r="AO22" i="2"/>
  <c r="AO20" i="2"/>
  <c r="AO18" i="2"/>
  <c r="AO16" i="2"/>
  <c r="AM36" i="2"/>
  <c r="AL36" i="2"/>
  <c r="AK36" i="2"/>
  <c r="AJ36" i="2"/>
  <c r="AM34" i="2"/>
  <c r="AL34" i="2"/>
  <c r="AK34" i="2"/>
  <c r="AJ34" i="2"/>
  <c r="AI34" i="2"/>
  <c r="AH34" i="2"/>
  <c r="AG34" i="2"/>
  <c r="AM32" i="2"/>
  <c r="AL32" i="2"/>
  <c r="AK32" i="2"/>
  <c r="AJ32" i="2"/>
  <c r="AI32" i="2"/>
  <c r="AH32" i="2"/>
  <c r="AG32" i="2"/>
  <c r="AM30" i="2"/>
  <c r="AL30" i="2"/>
  <c r="AK30" i="2"/>
  <c r="AJ30" i="2"/>
  <c r="AI30" i="2"/>
  <c r="AH30" i="2"/>
  <c r="AG30" i="2"/>
  <c r="AM28" i="2"/>
  <c r="AL28" i="2"/>
  <c r="AK28" i="2"/>
  <c r="AJ28" i="2"/>
  <c r="AI28" i="2"/>
  <c r="AH28" i="2"/>
  <c r="AG28" i="2"/>
  <c r="AM26" i="2"/>
  <c r="AL26" i="2"/>
  <c r="AK26" i="2"/>
  <c r="AJ26" i="2"/>
  <c r="AI26" i="2"/>
  <c r="AH26" i="2"/>
  <c r="AG26" i="2"/>
  <c r="AM24" i="2"/>
  <c r="AL24" i="2"/>
  <c r="AK24" i="2"/>
  <c r="AJ24" i="2"/>
  <c r="AI24" i="2"/>
  <c r="AH24" i="2"/>
  <c r="AG24" i="2"/>
  <c r="AM22" i="2"/>
  <c r="AL22" i="2"/>
  <c r="AK22" i="2"/>
  <c r="AJ22" i="2"/>
  <c r="AI22" i="2"/>
  <c r="AH22" i="2"/>
  <c r="AG22" i="2"/>
  <c r="AM20" i="2"/>
  <c r="AL20" i="2"/>
  <c r="AK20" i="2"/>
  <c r="AJ20" i="2"/>
  <c r="AI20" i="2"/>
  <c r="AH20" i="2"/>
  <c r="AG20" i="2"/>
  <c r="AM18" i="2"/>
  <c r="AL18" i="2"/>
  <c r="AK18" i="2"/>
  <c r="AJ18" i="2"/>
  <c r="AI18" i="2"/>
  <c r="AH18" i="2"/>
  <c r="AG18" i="2"/>
  <c r="AM16" i="2"/>
  <c r="AL16" i="2"/>
  <c r="AK16" i="2"/>
  <c r="AJ16" i="2"/>
  <c r="AI16" i="2"/>
  <c r="AH16" i="2"/>
  <c r="AG16" i="2"/>
  <c r="BO80" i="2"/>
  <c r="BP108" i="2"/>
  <c r="BQ108" i="2"/>
  <c r="BE116" i="2"/>
  <c r="BE72" i="2"/>
  <c r="BF72" i="2"/>
  <c r="BG72" i="2"/>
  <c r="BH72" i="2"/>
  <c r="BI72" i="2"/>
  <c r="BJ72" i="2"/>
  <c r="BK72" i="2"/>
  <c r="AN96" i="2"/>
  <c r="AO96" i="2"/>
  <c r="AS64" i="2"/>
  <c r="AT64" i="2"/>
  <c r="AU64" i="2"/>
  <c r="AS72" i="2"/>
  <c r="AT72" i="2"/>
  <c r="AS56" i="2"/>
  <c r="AT56" i="2"/>
  <c r="AL44" i="2"/>
  <c r="AM44" i="2"/>
  <c r="Y14" i="2"/>
  <c r="Z14" i="2"/>
  <c r="AA14" i="2"/>
  <c r="AB14" i="2"/>
  <c r="AC14" i="2"/>
  <c r="AD14" i="2"/>
  <c r="AE14" i="2"/>
  <c r="AF14" i="2"/>
  <c r="AG14" i="2"/>
  <c r="AH14" i="2"/>
  <c r="AI14" i="2"/>
  <c r="AJ14" i="2"/>
  <c r="AK14" i="2"/>
  <c r="AL14" i="2"/>
  <c r="AM14" i="2"/>
  <c r="AN14" i="2"/>
  <c r="AO14" i="2"/>
  <c r="AP14" i="2"/>
  <c r="AQ14" i="2"/>
  <c r="AR14" i="2"/>
  <c r="AS14" i="2"/>
  <c r="AT14" i="2"/>
  <c r="AU14" i="2"/>
  <c r="AV14" i="2"/>
  <c r="AW14" i="2"/>
  <c r="AX14" i="2"/>
  <c r="AZ14" i="2"/>
  <c r="BA14" i="2"/>
  <c r="BB14" i="2"/>
  <c r="BC14" i="2"/>
  <c r="BD14" i="2"/>
  <c r="BE14" i="2"/>
  <c r="BF14" i="2"/>
  <c r="BG14" i="2"/>
  <c r="BH14" i="2"/>
  <c r="BI14" i="2"/>
  <c r="BJ14" i="2"/>
  <c r="BK14" i="2"/>
  <c r="BL14" i="2"/>
  <c r="BM14" i="2"/>
  <c r="BN14" i="2"/>
  <c r="BO14" i="2"/>
  <c r="BP14" i="2"/>
  <c r="BQ14" i="2"/>
  <c r="BR14" i="2"/>
  <c r="BS14" i="2"/>
  <c r="BT14" i="2"/>
  <c r="BU14" i="2"/>
  <c r="BV14" i="2"/>
  <c r="BW14" i="2"/>
  <c r="BX14" i="2"/>
  <c r="BY14" i="2"/>
  <c r="Y16" i="2"/>
  <c r="Z16" i="2"/>
  <c r="AA16" i="2"/>
  <c r="AB16" i="2"/>
  <c r="AC16" i="2"/>
  <c r="AD16" i="2"/>
  <c r="AE16" i="2"/>
  <c r="AF16" i="2"/>
  <c r="AN16" i="2"/>
  <c r="AP16" i="2"/>
  <c r="AQ16" i="2"/>
  <c r="AR16" i="2"/>
  <c r="AS16" i="2"/>
  <c r="AT16" i="2"/>
  <c r="AU16" i="2"/>
  <c r="AV16" i="2"/>
  <c r="AW16" i="2"/>
  <c r="AX16" i="2"/>
  <c r="AZ16" i="2"/>
  <c r="BA16" i="2"/>
  <c r="BB16" i="2"/>
  <c r="BC16" i="2"/>
  <c r="BD16" i="2"/>
  <c r="BE16" i="2"/>
  <c r="BF16" i="2"/>
  <c r="BH16" i="2"/>
  <c r="BI16" i="2"/>
  <c r="BJ16" i="2"/>
  <c r="BK16" i="2"/>
  <c r="BL16" i="2"/>
  <c r="BM16" i="2"/>
  <c r="BN16" i="2"/>
  <c r="BO16" i="2"/>
  <c r="BP16" i="2"/>
  <c r="BQ16" i="2"/>
  <c r="BR16" i="2"/>
  <c r="BS16" i="2"/>
  <c r="BT16" i="2"/>
  <c r="BU16" i="2"/>
  <c r="BV16" i="2"/>
  <c r="BW16" i="2"/>
  <c r="BX16" i="2"/>
  <c r="BY16" i="2"/>
  <c r="Y18" i="2"/>
  <c r="Z18" i="2"/>
  <c r="AA18" i="2"/>
  <c r="AB18" i="2"/>
  <c r="AC18" i="2"/>
  <c r="AD18" i="2"/>
  <c r="AE18" i="2"/>
  <c r="AF18" i="2"/>
  <c r="AN18" i="2"/>
  <c r="AP18" i="2"/>
  <c r="AQ18" i="2"/>
  <c r="AR18" i="2"/>
  <c r="AS18" i="2"/>
  <c r="AT18" i="2"/>
  <c r="AU18" i="2"/>
  <c r="AV18" i="2"/>
  <c r="AW18" i="2"/>
  <c r="AX18" i="2"/>
  <c r="AZ18" i="2"/>
  <c r="BA18" i="2"/>
  <c r="BB18" i="2"/>
  <c r="BC18" i="2"/>
  <c r="BD18" i="2"/>
  <c r="BE18" i="2"/>
  <c r="BF18" i="2"/>
  <c r="BH18" i="2"/>
  <c r="BI18" i="2"/>
  <c r="BJ18" i="2"/>
  <c r="BK18" i="2"/>
  <c r="BL18" i="2"/>
  <c r="BM18" i="2"/>
  <c r="BN18" i="2"/>
  <c r="BO18" i="2"/>
  <c r="BP18" i="2"/>
  <c r="BQ18" i="2"/>
  <c r="BR18" i="2"/>
  <c r="BS18" i="2"/>
  <c r="BT18" i="2"/>
  <c r="BU18" i="2"/>
  <c r="BV18" i="2"/>
  <c r="BW18" i="2"/>
  <c r="BX18" i="2"/>
  <c r="BY18" i="2"/>
  <c r="Y20" i="2"/>
  <c r="Z20" i="2"/>
  <c r="AA20" i="2"/>
  <c r="AB20" i="2"/>
  <c r="AC20" i="2"/>
  <c r="AD20" i="2"/>
  <c r="AE20" i="2"/>
  <c r="AF20" i="2"/>
  <c r="AN20" i="2"/>
  <c r="AP20" i="2"/>
  <c r="AQ20" i="2"/>
  <c r="AR20" i="2"/>
  <c r="AS20" i="2"/>
  <c r="AT20" i="2"/>
  <c r="AU20" i="2"/>
  <c r="AV20" i="2"/>
  <c r="AW20" i="2"/>
  <c r="AX20" i="2"/>
  <c r="AZ20" i="2"/>
  <c r="BH20" i="2"/>
  <c r="BI20" i="2"/>
  <c r="BJ20" i="2"/>
  <c r="BK20" i="2"/>
  <c r="BL20" i="2"/>
  <c r="BM20" i="2"/>
  <c r="BN20" i="2"/>
  <c r="BO20" i="2"/>
  <c r="BP20" i="2"/>
  <c r="BQ20" i="2"/>
  <c r="BR20" i="2"/>
  <c r="BS20" i="2"/>
  <c r="BT20" i="2"/>
  <c r="BU20" i="2"/>
  <c r="BV20" i="2"/>
  <c r="BW20" i="2"/>
  <c r="BX20" i="2"/>
  <c r="BY20" i="2"/>
  <c r="Y22" i="2"/>
  <c r="Z22" i="2"/>
  <c r="AA22" i="2"/>
  <c r="AB22" i="2"/>
  <c r="AC22" i="2"/>
  <c r="AD22" i="2"/>
  <c r="AE22" i="2"/>
  <c r="AF22" i="2"/>
  <c r="AN22" i="2"/>
  <c r="AP22" i="2"/>
  <c r="AQ22" i="2"/>
  <c r="AR22" i="2"/>
  <c r="AS22" i="2"/>
  <c r="AT22" i="2"/>
  <c r="AU22" i="2"/>
  <c r="AV22" i="2"/>
  <c r="AW22" i="2"/>
  <c r="AX22" i="2"/>
  <c r="AZ22" i="2"/>
  <c r="BH22" i="2"/>
  <c r="BI22" i="2"/>
  <c r="BJ22" i="2"/>
  <c r="BK22" i="2"/>
  <c r="BL22" i="2"/>
  <c r="BM22" i="2"/>
  <c r="BN22" i="2"/>
  <c r="BO22" i="2"/>
  <c r="BP22" i="2"/>
  <c r="BQ22" i="2"/>
  <c r="BR22" i="2"/>
  <c r="BS22" i="2"/>
  <c r="BT22" i="2"/>
  <c r="BU22" i="2"/>
  <c r="BV22" i="2"/>
  <c r="BW22" i="2"/>
  <c r="BX22" i="2"/>
  <c r="BY22" i="2"/>
  <c r="Y24" i="2"/>
  <c r="Z24" i="2"/>
  <c r="AA24" i="2"/>
  <c r="AB24" i="2"/>
  <c r="AC24" i="2"/>
  <c r="AD24" i="2"/>
  <c r="AE24" i="2"/>
  <c r="AF24" i="2"/>
  <c r="AN24" i="2"/>
  <c r="AP24" i="2"/>
  <c r="AQ24" i="2"/>
  <c r="AR24" i="2"/>
  <c r="AS24" i="2"/>
  <c r="AT24" i="2"/>
  <c r="AU24" i="2"/>
  <c r="AV24" i="2"/>
  <c r="AW24" i="2"/>
  <c r="AX24" i="2"/>
  <c r="AZ24" i="2"/>
  <c r="BH24" i="2"/>
  <c r="BP24" i="2"/>
  <c r="BQ24" i="2"/>
  <c r="BR24" i="2"/>
  <c r="BS24" i="2"/>
  <c r="BT24" i="2"/>
  <c r="BU24" i="2"/>
  <c r="BV24" i="2"/>
  <c r="BW24" i="2"/>
  <c r="BX24" i="2"/>
  <c r="BY24" i="2"/>
  <c r="Y26" i="2"/>
  <c r="Z26" i="2"/>
  <c r="AA26" i="2"/>
  <c r="AB26" i="2"/>
  <c r="AC26" i="2"/>
  <c r="AD26" i="2"/>
  <c r="AE26" i="2"/>
  <c r="AF26" i="2"/>
  <c r="AN26" i="2"/>
  <c r="AP26" i="2"/>
  <c r="AQ26" i="2"/>
  <c r="AR26" i="2"/>
  <c r="AS26" i="2"/>
  <c r="AT26" i="2"/>
  <c r="AU26" i="2"/>
  <c r="AV26" i="2"/>
  <c r="AW26" i="2"/>
  <c r="AX26" i="2"/>
  <c r="AZ26" i="2"/>
  <c r="BH26" i="2"/>
  <c r="BP26" i="2"/>
  <c r="BQ26" i="2"/>
  <c r="BR26" i="2"/>
  <c r="BS26" i="2"/>
  <c r="BT26" i="2"/>
  <c r="BU26" i="2"/>
  <c r="BV26" i="2"/>
  <c r="BW26" i="2"/>
  <c r="BX26" i="2"/>
  <c r="BY26" i="2"/>
  <c r="Y28" i="2"/>
  <c r="Z28" i="2"/>
  <c r="AA28" i="2"/>
  <c r="AB28" i="2"/>
  <c r="AC28" i="2"/>
  <c r="AD28" i="2"/>
  <c r="AE28" i="2"/>
  <c r="AF28" i="2"/>
  <c r="AN28" i="2"/>
  <c r="AP28" i="2"/>
  <c r="AQ28" i="2"/>
  <c r="AR28" i="2"/>
  <c r="AS28" i="2"/>
  <c r="AT28" i="2"/>
  <c r="AU28" i="2"/>
  <c r="AV28" i="2"/>
  <c r="AW28" i="2"/>
  <c r="AX28" i="2"/>
  <c r="AZ28" i="2"/>
  <c r="BH28" i="2"/>
  <c r="BI28" i="2"/>
  <c r="BJ28" i="2"/>
  <c r="BK28" i="2"/>
  <c r="BL28" i="2"/>
  <c r="BM28" i="2"/>
  <c r="BN28" i="2"/>
  <c r="BO28" i="2"/>
  <c r="BP28" i="2"/>
  <c r="BQ28" i="2"/>
  <c r="BR28" i="2"/>
  <c r="BS28" i="2"/>
  <c r="BT28" i="2"/>
  <c r="BU28" i="2"/>
  <c r="BV28" i="2"/>
  <c r="BW28" i="2"/>
  <c r="BX28" i="2"/>
  <c r="BY28" i="2"/>
  <c r="Y30" i="2"/>
  <c r="Z30" i="2"/>
  <c r="AA30" i="2"/>
  <c r="AB30" i="2"/>
  <c r="AC30" i="2"/>
  <c r="AD30" i="2"/>
  <c r="AE30" i="2"/>
  <c r="AF30" i="2"/>
  <c r="AN30" i="2"/>
  <c r="AP30" i="2"/>
  <c r="AQ30" i="2"/>
  <c r="AR30" i="2"/>
  <c r="AS30" i="2"/>
  <c r="AT30" i="2"/>
  <c r="AU30" i="2"/>
  <c r="AV30" i="2"/>
  <c r="AW30" i="2"/>
  <c r="AX30" i="2"/>
  <c r="AZ30" i="2"/>
  <c r="BH30" i="2"/>
  <c r="BI30" i="2"/>
  <c r="BJ30" i="2"/>
  <c r="BK30" i="2"/>
  <c r="BL30" i="2"/>
  <c r="BM30" i="2"/>
  <c r="BN30" i="2"/>
  <c r="BO30" i="2"/>
  <c r="BP30" i="2"/>
  <c r="BQ30" i="2"/>
  <c r="BR30" i="2"/>
  <c r="BS30" i="2"/>
  <c r="BT30" i="2"/>
  <c r="BU30" i="2"/>
  <c r="BV30" i="2"/>
  <c r="BW30" i="2"/>
  <c r="BX30" i="2"/>
  <c r="BY30" i="2"/>
  <c r="Y32" i="2"/>
  <c r="Z32" i="2"/>
  <c r="AD32" i="2"/>
  <c r="AE32" i="2"/>
  <c r="AF32" i="2"/>
  <c r="AN32" i="2"/>
  <c r="AP32" i="2"/>
  <c r="AV32" i="2"/>
  <c r="AX32" i="2"/>
  <c r="AZ32" i="2"/>
  <c r="BH32" i="2"/>
  <c r="BI32" i="2"/>
  <c r="BJ32" i="2"/>
  <c r="BK32" i="2"/>
  <c r="BL32" i="2"/>
  <c r="BM32" i="2"/>
  <c r="BN32" i="2"/>
  <c r="BO32" i="2"/>
  <c r="BP32" i="2"/>
  <c r="BQ32" i="2"/>
  <c r="BR32" i="2"/>
  <c r="BS32" i="2"/>
  <c r="BT32" i="2"/>
  <c r="BU32" i="2"/>
  <c r="BV32" i="2"/>
  <c r="BW32" i="2"/>
  <c r="BX32" i="2"/>
  <c r="BY32" i="2"/>
  <c r="Y34" i="2"/>
  <c r="Z34" i="2"/>
  <c r="AD34" i="2"/>
  <c r="AE34" i="2"/>
  <c r="AF34" i="2"/>
  <c r="AN34" i="2"/>
  <c r="AP34" i="2"/>
  <c r="AV34" i="2"/>
  <c r="AW34" i="2"/>
  <c r="AX34" i="2"/>
  <c r="AZ34" i="2"/>
  <c r="BH34" i="2"/>
  <c r="BI34" i="2"/>
  <c r="BJ34" i="2"/>
  <c r="BK34" i="2"/>
  <c r="BL34" i="2"/>
  <c r="BM34" i="2"/>
  <c r="BN34" i="2"/>
  <c r="BR34" i="2"/>
  <c r="BS34" i="2"/>
  <c r="BT34" i="2"/>
  <c r="BU34" i="2"/>
  <c r="BV34" i="2"/>
  <c r="BW34" i="2"/>
  <c r="BX34" i="2"/>
  <c r="BY34" i="2"/>
  <c r="AN36" i="2"/>
  <c r="AP36" i="2"/>
  <c r="AV36" i="2"/>
  <c r="AW36" i="2"/>
  <c r="AX36" i="2"/>
  <c r="AZ36" i="2"/>
  <c r="BH36" i="2"/>
  <c r="BN36" i="2"/>
  <c r="BO36" i="2"/>
  <c r="BP36" i="2"/>
  <c r="BQ36" i="2"/>
  <c r="BR36" i="2"/>
  <c r="BS36" i="2"/>
  <c r="BT36" i="2"/>
  <c r="BU36" i="2"/>
  <c r="BV36" i="2"/>
  <c r="BW36" i="2"/>
  <c r="BX36" i="2"/>
  <c r="BY36" i="2"/>
  <c r="AJ38" i="2"/>
  <c r="AK38" i="2"/>
  <c r="AL38" i="2"/>
  <c r="AM38" i="2"/>
  <c r="AN38" i="2"/>
  <c r="AP38" i="2"/>
  <c r="AV38" i="2"/>
  <c r="AW38" i="2"/>
  <c r="AX38" i="2"/>
  <c r="AZ38" i="2"/>
  <c r="BP38" i="2"/>
  <c r="BQ38" i="2"/>
  <c r="BR38" i="2"/>
  <c r="BS38" i="2"/>
  <c r="BT38" i="2"/>
  <c r="BU38" i="2"/>
  <c r="BV38" i="2"/>
  <c r="BW38" i="2"/>
  <c r="BX38" i="2"/>
  <c r="BY38" i="2"/>
  <c r="AL40" i="2"/>
  <c r="AM40" i="2"/>
  <c r="AN40" i="2"/>
  <c r="AP40" i="2"/>
  <c r="AV40" i="2"/>
  <c r="AW40" i="2"/>
  <c r="AX40" i="2"/>
  <c r="AZ40" i="2"/>
  <c r="BP40" i="2"/>
  <c r="BQ40" i="2"/>
  <c r="BR40" i="2"/>
  <c r="BS40" i="2"/>
  <c r="BT40" i="2"/>
  <c r="BU40" i="2"/>
  <c r="BV40" i="2"/>
  <c r="BW40" i="2"/>
  <c r="BX40" i="2"/>
  <c r="BY40" i="2"/>
  <c r="AL42" i="2"/>
  <c r="AM42" i="2"/>
  <c r="AN42" i="2"/>
  <c r="AP42" i="2"/>
  <c r="AV42" i="2"/>
  <c r="AW42" i="2"/>
  <c r="AX42" i="2"/>
  <c r="AY42" i="2"/>
  <c r="AZ42" i="2"/>
  <c r="BX42" i="2"/>
  <c r="BY42" i="2"/>
  <c r="AN44" i="2"/>
  <c r="AP44" i="2"/>
  <c r="AZ44" i="2"/>
  <c r="BA44" i="2"/>
  <c r="BB44" i="2"/>
  <c r="BC44" i="2"/>
  <c r="BD44" i="2"/>
  <c r="BE44" i="2"/>
  <c r="BF44" i="2"/>
  <c r="BG44" i="2"/>
  <c r="BH44" i="2"/>
  <c r="BI44" i="2"/>
  <c r="BJ44" i="2"/>
  <c r="BX44" i="2"/>
  <c r="BY44" i="2"/>
  <c r="AL46" i="2"/>
  <c r="AM46" i="2"/>
  <c r="AN46" i="2"/>
  <c r="AP46" i="2"/>
  <c r="AV46" i="2"/>
  <c r="AX46" i="2"/>
  <c r="AY46" i="2"/>
  <c r="AZ46" i="2"/>
  <c r="BA46" i="2"/>
  <c r="BB46" i="2"/>
  <c r="BD46" i="2"/>
  <c r="BJ46" i="2"/>
  <c r="BK46" i="2"/>
  <c r="BL46" i="2"/>
  <c r="BM46" i="2"/>
  <c r="BR46" i="2"/>
  <c r="BT46" i="2"/>
  <c r="BU46" i="2"/>
  <c r="BV46" i="2"/>
  <c r="BW46" i="2"/>
  <c r="BX46" i="2"/>
  <c r="BY46" i="2"/>
  <c r="AL48" i="2"/>
  <c r="AM48" i="2"/>
  <c r="AN48" i="2"/>
  <c r="AP48" i="2"/>
  <c r="AV48" i="2"/>
  <c r="AX48" i="2"/>
  <c r="AY48" i="2"/>
  <c r="AZ48" i="2"/>
  <c r="BA48" i="2"/>
  <c r="BB48" i="2"/>
  <c r="BD48" i="2"/>
  <c r="BJ48" i="2"/>
  <c r="BX48" i="2"/>
  <c r="BY48" i="2"/>
  <c r="AL50" i="2"/>
  <c r="AM50" i="2"/>
  <c r="AN50" i="2"/>
  <c r="AO50" i="2"/>
  <c r="AP50" i="2"/>
  <c r="AV50" i="2"/>
  <c r="AW50" i="2"/>
  <c r="AX50" i="2"/>
  <c r="AY50" i="2"/>
  <c r="AZ50" i="2"/>
  <c r="BA50" i="2"/>
  <c r="BB50" i="2"/>
  <c r="BD50" i="2"/>
  <c r="BJ50" i="2"/>
  <c r="BK50" i="2"/>
  <c r="BL50" i="2"/>
  <c r="BM50" i="2"/>
  <c r="BN50" i="2"/>
  <c r="BO50" i="2"/>
  <c r="BP50" i="2"/>
  <c r="BQ50" i="2"/>
  <c r="BR50" i="2"/>
  <c r="BT50" i="2"/>
  <c r="BU50" i="2"/>
  <c r="BV50" i="2"/>
  <c r="BW50" i="2"/>
  <c r="BX50" i="2"/>
  <c r="BY50" i="2"/>
  <c r="AL52" i="2"/>
  <c r="AM52" i="2"/>
  <c r="AN52" i="2"/>
  <c r="AO52" i="2"/>
  <c r="AP52" i="2"/>
  <c r="AV52" i="2"/>
  <c r="AZ52" i="2"/>
  <c r="BA52" i="2"/>
  <c r="BB52" i="2"/>
  <c r="BC52" i="2"/>
  <c r="BD52" i="2"/>
  <c r="BJ52" i="2"/>
  <c r="BK52" i="2"/>
  <c r="BL52" i="2"/>
  <c r="BM52" i="2"/>
  <c r="BN52" i="2"/>
  <c r="BX52" i="2"/>
  <c r="BY52" i="2"/>
  <c r="Y54" i="2"/>
  <c r="Z54" i="2"/>
  <c r="AA54" i="2"/>
  <c r="AB54" i="2"/>
  <c r="AC54" i="2"/>
  <c r="AD54" i="2"/>
  <c r="AE54" i="2"/>
  <c r="AF54" i="2"/>
  <c r="AG54" i="2"/>
  <c r="AH54" i="2"/>
  <c r="AI54" i="2"/>
  <c r="AJ54" i="2"/>
  <c r="AK54" i="2"/>
  <c r="AL54" i="2"/>
  <c r="AM54" i="2"/>
  <c r="AN54" i="2"/>
  <c r="AO54" i="2"/>
  <c r="AP54" i="2"/>
  <c r="AQ54" i="2"/>
  <c r="AR54" i="2"/>
  <c r="AS54" i="2"/>
  <c r="AT54" i="2"/>
  <c r="AU54" i="2"/>
  <c r="AV54" i="2"/>
  <c r="AZ54" i="2"/>
  <c r="BA54" i="2"/>
  <c r="BB54" i="2"/>
  <c r="BC54" i="2"/>
  <c r="BD54" i="2"/>
  <c r="BJ54" i="2"/>
  <c r="BK54" i="2"/>
  <c r="BL54" i="2"/>
  <c r="BM54" i="2"/>
  <c r="BN54" i="2"/>
  <c r="BO54" i="2"/>
  <c r="BP54" i="2"/>
  <c r="BQ54" i="2"/>
  <c r="BR54" i="2"/>
  <c r="BS54" i="2"/>
  <c r="BT54" i="2"/>
  <c r="BU54" i="2"/>
  <c r="BV54" i="2"/>
  <c r="BW54" i="2"/>
  <c r="BX54" i="2"/>
  <c r="BY54" i="2"/>
  <c r="Y56" i="2"/>
  <c r="Z56" i="2"/>
  <c r="AR56" i="2"/>
  <c r="AU56" i="2"/>
  <c r="AV56" i="2"/>
  <c r="AZ56" i="2"/>
  <c r="BA56" i="2"/>
  <c r="BB56" i="2"/>
  <c r="BC56" i="2"/>
  <c r="BD56" i="2"/>
  <c r="BE56" i="2"/>
  <c r="BF56" i="2"/>
  <c r="BG56" i="2"/>
  <c r="BH56" i="2"/>
  <c r="BI56" i="2"/>
  <c r="BJ56" i="2"/>
  <c r="BK56" i="2"/>
  <c r="BL56" i="2"/>
  <c r="BM56" i="2"/>
  <c r="BN56" i="2"/>
  <c r="BO56" i="2"/>
  <c r="BP56" i="2"/>
  <c r="BQ56" i="2"/>
  <c r="BR56" i="2"/>
  <c r="BS56" i="2"/>
  <c r="BT56" i="2"/>
  <c r="BU56" i="2"/>
  <c r="BV56" i="2"/>
  <c r="BW56" i="2"/>
  <c r="BX56" i="2"/>
  <c r="BY56" i="2"/>
  <c r="Y58" i="2"/>
  <c r="Z58" i="2"/>
  <c r="AR58" i="2"/>
  <c r="AS58" i="2"/>
  <c r="AT58" i="2"/>
  <c r="AU58" i="2"/>
  <c r="AV58" i="2"/>
  <c r="AZ58" i="2"/>
  <c r="BA58" i="2"/>
  <c r="BB58" i="2"/>
  <c r="BC58" i="2"/>
  <c r="BD58" i="2"/>
  <c r="BE58" i="2"/>
  <c r="BF58" i="2"/>
  <c r="BG58" i="2"/>
  <c r="BH58" i="2"/>
  <c r="BI58" i="2"/>
  <c r="BJ58" i="2"/>
  <c r="BK58" i="2"/>
  <c r="BL58" i="2"/>
  <c r="BM58" i="2"/>
  <c r="BN58" i="2"/>
  <c r="BO58" i="2"/>
  <c r="BP58" i="2"/>
  <c r="BQ58" i="2"/>
  <c r="BR58" i="2"/>
  <c r="BS58" i="2"/>
  <c r="BT58" i="2"/>
  <c r="BU58" i="2"/>
  <c r="BV58" i="2"/>
  <c r="BW58" i="2"/>
  <c r="BX58" i="2"/>
  <c r="BY58" i="2"/>
  <c r="Y60" i="2"/>
  <c r="Z60" i="2"/>
  <c r="AR60" i="2"/>
  <c r="AS60" i="2"/>
  <c r="AT60" i="2"/>
  <c r="AU60" i="2"/>
  <c r="AV60" i="2"/>
  <c r="AZ60" i="2"/>
  <c r="BA60" i="2"/>
  <c r="BB60" i="2"/>
  <c r="BC60" i="2"/>
  <c r="BD60" i="2"/>
  <c r="BR60" i="2"/>
  <c r="BS60" i="2"/>
  <c r="BT60" i="2"/>
  <c r="BU60" i="2"/>
  <c r="BV60" i="2"/>
  <c r="BW60" i="2"/>
  <c r="BX60" i="2"/>
  <c r="BY60" i="2"/>
  <c r="Y62" i="2"/>
  <c r="Z62" i="2"/>
  <c r="AR62" i="2"/>
  <c r="AS62" i="2"/>
  <c r="AT62" i="2"/>
  <c r="AU62" i="2"/>
  <c r="AV62" i="2"/>
  <c r="AZ62" i="2"/>
  <c r="BA62" i="2"/>
  <c r="BB62" i="2"/>
  <c r="BC62" i="2"/>
  <c r="BD62" i="2"/>
  <c r="BR62" i="2"/>
  <c r="BS62" i="2"/>
  <c r="BT62" i="2"/>
  <c r="BU62" i="2"/>
  <c r="BV62" i="2"/>
  <c r="BW62" i="2"/>
  <c r="BX62" i="2"/>
  <c r="BY62" i="2"/>
  <c r="Y64" i="2"/>
  <c r="Z64" i="2"/>
  <c r="AR64" i="2"/>
  <c r="AV64" i="2"/>
  <c r="AZ64" i="2"/>
  <c r="BA64" i="2"/>
  <c r="BB64" i="2"/>
  <c r="BC64" i="2"/>
  <c r="BD64" i="2"/>
  <c r="BR64" i="2"/>
  <c r="BS64" i="2"/>
  <c r="BT64" i="2"/>
  <c r="BU64" i="2"/>
  <c r="BV64" i="2"/>
  <c r="BW64" i="2"/>
  <c r="BX64" i="2"/>
  <c r="BY64" i="2"/>
  <c r="Y66" i="2"/>
  <c r="Z66" i="2"/>
  <c r="AR66" i="2"/>
  <c r="AS66" i="2"/>
  <c r="AT66" i="2"/>
  <c r="AU66" i="2"/>
  <c r="AV66" i="2"/>
  <c r="AZ66" i="2"/>
  <c r="BA66" i="2"/>
  <c r="BB66" i="2"/>
  <c r="BC66" i="2"/>
  <c r="BD66" i="2"/>
  <c r="BR66" i="2"/>
  <c r="BS66" i="2"/>
  <c r="BT66" i="2"/>
  <c r="BU66" i="2"/>
  <c r="BV66" i="2"/>
  <c r="BW66" i="2"/>
  <c r="BX66" i="2"/>
  <c r="BY66" i="2"/>
  <c r="Y68" i="2"/>
  <c r="Z68" i="2"/>
  <c r="AR68" i="2"/>
  <c r="AS68" i="2"/>
  <c r="AT68" i="2"/>
  <c r="AU68" i="2"/>
  <c r="AV68" i="2"/>
  <c r="AZ68" i="2"/>
  <c r="BB68" i="2"/>
  <c r="BC68" i="2"/>
  <c r="BD68" i="2"/>
  <c r="BR68" i="2"/>
  <c r="BS68" i="2"/>
  <c r="BT68" i="2"/>
  <c r="BU68" i="2"/>
  <c r="BV68" i="2"/>
  <c r="BW68" i="2"/>
  <c r="BX68" i="2"/>
  <c r="BY68" i="2"/>
  <c r="Y70" i="2"/>
  <c r="Z70" i="2"/>
  <c r="AR70" i="2"/>
  <c r="AS70" i="2"/>
  <c r="AT70" i="2"/>
  <c r="AU70" i="2"/>
  <c r="AV70" i="2"/>
  <c r="AW70" i="2"/>
  <c r="AX70" i="2"/>
  <c r="AY70" i="2"/>
  <c r="AZ70" i="2"/>
  <c r="BA70" i="2"/>
  <c r="BB70" i="2"/>
  <c r="BC70" i="2"/>
  <c r="BD70" i="2"/>
  <c r="BR70" i="2"/>
  <c r="BS70" i="2"/>
  <c r="BT70" i="2"/>
  <c r="BU70" i="2"/>
  <c r="BV70" i="2"/>
  <c r="BW70" i="2"/>
  <c r="BX70" i="2"/>
  <c r="BY70" i="2"/>
  <c r="Y72" i="2"/>
  <c r="Z72" i="2"/>
  <c r="AR72" i="2"/>
  <c r="AU72" i="2"/>
  <c r="AV72" i="2"/>
  <c r="AW72" i="2"/>
  <c r="AX72" i="2"/>
  <c r="AY72" i="2"/>
  <c r="AZ72" i="2"/>
  <c r="BA72" i="2"/>
  <c r="BB72" i="2"/>
  <c r="BC72" i="2"/>
  <c r="BD72" i="2"/>
  <c r="BL72" i="2"/>
  <c r="BN72" i="2"/>
  <c r="BP72" i="2"/>
  <c r="BR72" i="2"/>
  <c r="BS72" i="2"/>
  <c r="BT72" i="2"/>
  <c r="BU72" i="2"/>
  <c r="BV72" i="2"/>
  <c r="BW72" i="2"/>
  <c r="BX72" i="2"/>
  <c r="BY72" i="2"/>
  <c r="Y74" i="2"/>
  <c r="Z74" i="2"/>
  <c r="AA74" i="2"/>
  <c r="AB74" i="2"/>
  <c r="AR74" i="2"/>
  <c r="AS74" i="2"/>
  <c r="AT74" i="2"/>
  <c r="AU74" i="2"/>
  <c r="AV74" i="2"/>
  <c r="AW74" i="2"/>
  <c r="AX74" i="2"/>
  <c r="AY74" i="2"/>
  <c r="AZ74" i="2"/>
  <c r="BA74" i="2"/>
  <c r="BB74" i="2"/>
  <c r="BC74" i="2"/>
  <c r="BD74" i="2"/>
  <c r="BE74" i="2"/>
  <c r="BF74" i="2"/>
  <c r="BG74" i="2"/>
  <c r="BH74" i="2"/>
  <c r="BI74" i="2"/>
  <c r="BJ74" i="2"/>
  <c r="BK74" i="2"/>
  <c r="BL74" i="2"/>
  <c r="BM74" i="2"/>
  <c r="BN74" i="2"/>
  <c r="BO74" i="2"/>
  <c r="BP74" i="2"/>
  <c r="BQ74" i="2"/>
  <c r="BR74" i="2"/>
  <c r="BS74" i="2"/>
  <c r="BT74" i="2"/>
  <c r="BU74" i="2"/>
  <c r="BV74" i="2"/>
  <c r="BW74" i="2"/>
  <c r="BX74" i="2"/>
  <c r="BY74" i="2"/>
  <c r="AR76" i="2"/>
  <c r="AT76" i="2"/>
  <c r="AV76" i="2"/>
  <c r="AW76" i="2"/>
  <c r="AX76" i="2"/>
  <c r="AY76" i="2"/>
  <c r="AZ76" i="2"/>
  <c r="BA76" i="2"/>
  <c r="BB76" i="2"/>
  <c r="BC76" i="2"/>
  <c r="BD76" i="2"/>
  <c r="BE76" i="2"/>
  <c r="BF76" i="2"/>
  <c r="BL76" i="2"/>
  <c r="BN76" i="2"/>
  <c r="BO76" i="2"/>
  <c r="BP76" i="2"/>
  <c r="BR76" i="2"/>
  <c r="BS76" i="2"/>
  <c r="BT76" i="2"/>
  <c r="BU76" i="2"/>
  <c r="BV76" i="2"/>
  <c r="BW76" i="2"/>
  <c r="BX76" i="2"/>
  <c r="BY76" i="2"/>
  <c r="AR78" i="2"/>
  <c r="AS78" i="2"/>
  <c r="AT78" i="2"/>
  <c r="AU78" i="2"/>
  <c r="AV78" i="2"/>
  <c r="AW78" i="2"/>
  <c r="AX78" i="2"/>
  <c r="AY78" i="2"/>
  <c r="AZ78" i="2"/>
  <c r="BA78" i="2"/>
  <c r="BB78" i="2"/>
  <c r="BC78" i="2"/>
  <c r="BD78" i="2"/>
  <c r="BE78" i="2"/>
  <c r="BF78" i="2"/>
  <c r="BG78" i="2"/>
  <c r="BH78" i="2"/>
  <c r="BI78" i="2"/>
  <c r="BJ78" i="2"/>
  <c r="BK78" i="2"/>
  <c r="BL78" i="2"/>
  <c r="BM78" i="2"/>
  <c r="BN78" i="2"/>
  <c r="BO78" i="2"/>
  <c r="BP78" i="2"/>
  <c r="BR78" i="2"/>
  <c r="BS78" i="2"/>
  <c r="BT78" i="2"/>
  <c r="BU78" i="2"/>
  <c r="BV78" i="2"/>
  <c r="BW78" i="2"/>
  <c r="BX78" i="2"/>
  <c r="BY78" i="2"/>
  <c r="AR80" i="2"/>
  <c r="AY80" i="2"/>
  <c r="AZ80" i="2"/>
  <c r="BA80" i="2"/>
  <c r="BG80" i="2"/>
  <c r="BH80" i="2"/>
  <c r="BI80" i="2"/>
  <c r="BJ80" i="2"/>
  <c r="BK80" i="2"/>
  <c r="BL80" i="2"/>
  <c r="BM80" i="2"/>
  <c r="BN80" i="2"/>
  <c r="BP80" i="2"/>
  <c r="BR80" i="2"/>
  <c r="BS80" i="2"/>
  <c r="BT80" i="2"/>
  <c r="BU80" i="2"/>
  <c r="BV80" i="2"/>
  <c r="BW80" i="2"/>
  <c r="BX80" i="2"/>
  <c r="BY80" i="2"/>
  <c r="AR82" i="2"/>
  <c r="AS82" i="2"/>
  <c r="BR82" i="2"/>
  <c r="BS82" i="2"/>
  <c r="BT82" i="2"/>
  <c r="BU82" i="2"/>
  <c r="BV82" i="2"/>
  <c r="BW82" i="2"/>
  <c r="BX82" i="2"/>
  <c r="BY82" i="2"/>
  <c r="BG84" i="2"/>
  <c r="BH84" i="2"/>
  <c r="BI84" i="2"/>
  <c r="BR84" i="2"/>
  <c r="BS84" i="2"/>
  <c r="BT84" i="2"/>
  <c r="BU84" i="2"/>
  <c r="BV84" i="2"/>
  <c r="BW84" i="2"/>
  <c r="BX84" i="2"/>
  <c r="BY84" i="2"/>
  <c r="Y86" i="2"/>
  <c r="Z86" i="2"/>
  <c r="AA86" i="2"/>
  <c r="AB86" i="2"/>
  <c r="AR86" i="2"/>
  <c r="AS86" i="2"/>
  <c r="AT86" i="2"/>
  <c r="AU86" i="2"/>
  <c r="AV86" i="2"/>
  <c r="AW86" i="2"/>
  <c r="AX86" i="2"/>
  <c r="AY86" i="2"/>
  <c r="AZ86" i="2"/>
  <c r="BA86" i="2"/>
  <c r="BB86" i="2"/>
  <c r="BC86" i="2"/>
  <c r="BD86" i="2"/>
  <c r="BE86" i="2"/>
  <c r="BF86" i="2"/>
  <c r="BG86" i="2"/>
  <c r="BH86" i="2"/>
  <c r="BI86" i="2"/>
  <c r="BJ86" i="2"/>
  <c r="BP86" i="2"/>
  <c r="BR86" i="2"/>
  <c r="BS86" i="2"/>
  <c r="BT86" i="2"/>
  <c r="BU86" i="2"/>
  <c r="BV86" i="2"/>
  <c r="BW86" i="2"/>
  <c r="BX86" i="2"/>
  <c r="BY86" i="2"/>
  <c r="Y88" i="2"/>
  <c r="Z88" i="2"/>
  <c r="AA88" i="2"/>
  <c r="AB88" i="2"/>
  <c r="AR88" i="2"/>
  <c r="AS88" i="2"/>
  <c r="AT88" i="2"/>
  <c r="AU88" i="2"/>
  <c r="AV88" i="2"/>
  <c r="AW88" i="2"/>
  <c r="AX88" i="2"/>
  <c r="AY88" i="2"/>
  <c r="AZ88" i="2"/>
  <c r="BA88" i="2"/>
  <c r="BB88" i="2"/>
  <c r="BC88" i="2"/>
  <c r="BD88" i="2"/>
  <c r="BE88" i="2"/>
  <c r="BF88" i="2"/>
  <c r="BG88" i="2"/>
  <c r="BH88" i="2"/>
  <c r="BI88" i="2"/>
  <c r="BJ88" i="2"/>
  <c r="BP88" i="2"/>
  <c r="BR88" i="2"/>
  <c r="BS88" i="2"/>
  <c r="BT88" i="2"/>
  <c r="BU88" i="2"/>
  <c r="BV88" i="2"/>
  <c r="BW88" i="2"/>
  <c r="BX88" i="2"/>
  <c r="BY88" i="2"/>
  <c r="Y90" i="2"/>
  <c r="Z90" i="2"/>
  <c r="AA90" i="2"/>
  <c r="AB90" i="2"/>
  <c r="AC90" i="2"/>
  <c r="AD90" i="2"/>
  <c r="AE90" i="2"/>
  <c r="AF90" i="2"/>
  <c r="AG90" i="2"/>
  <c r="AH90" i="2"/>
  <c r="AI90" i="2"/>
  <c r="AJ90" i="2"/>
  <c r="AK90" i="2"/>
  <c r="AL90" i="2"/>
  <c r="AM90" i="2"/>
  <c r="AN90" i="2"/>
  <c r="AO90" i="2"/>
  <c r="AP90" i="2"/>
  <c r="AQ90" i="2"/>
  <c r="AR90" i="2"/>
  <c r="AS90" i="2"/>
  <c r="AT90" i="2"/>
  <c r="AU90" i="2"/>
  <c r="AV90" i="2"/>
  <c r="AW90" i="2"/>
  <c r="AX90" i="2"/>
  <c r="AY90" i="2"/>
  <c r="AZ90" i="2"/>
  <c r="BA90" i="2"/>
  <c r="BB90" i="2"/>
  <c r="BC90" i="2"/>
  <c r="BD90" i="2"/>
  <c r="BE90" i="2"/>
  <c r="BF90" i="2"/>
  <c r="BG90" i="2"/>
  <c r="BH90" i="2"/>
  <c r="BI90" i="2"/>
  <c r="BJ90" i="2"/>
  <c r="BK90" i="2"/>
  <c r="BL90" i="2"/>
  <c r="BM90" i="2"/>
  <c r="BN90" i="2"/>
  <c r="BO90" i="2"/>
  <c r="BP90" i="2"/>
  <c r="BR90" i="2"/>
  <c r="BS90" i="2"/>
  <c r="BT90" i="2"/>
  <c r="BU90" i="2"/>
  <c r="BV90" i="2"/>
  <c r="BW90" i="2"/>
  <c r="BX90" i="2"/>
  <c r="BY90" i="2"/>
  <c r="Y92" i="2"/>
  <c r="Z92" i="2"/>
  <c r="AA92" i="2"/>
  <c r="AB92" i="2"/>
  <c r="AC92" i="2"/>
  <c r="AD92" i="2"/>
  <c r="AE92" i="2"/>
  <c r="AF92" i="2"/>
  <c r="AG92" i="2"/>
  <c r="AH92" i="2"/>
  <c r="AI92" i="2"/>
  <c r="AJ92" i="2"/>
  <c r="AK92" i="2"/>
  <c r="AL92" i="2"/>
  <c r="AM92" i="2"/>
  <c r="AN92" i="2"/>
  <c r="AO92" i="2"/>
  <c r="AP92" i="2"/>
  <c r="AQ92" i="2"/>
  <c r="AR92" i="2"/>
  <c r="AS92" i="2"/>
  <c r="AT92" i="2"/>
  <c r="AU92" i="2"/>
  <c r="AV92" i="2"/>
  <c r="AW92" i="2"/>
  <c r="AX92" i="2"/>
  <c r="AY92" i="2"/>
  <c r="AZ92" i="2"/>
  <c r="BA92" i="2"/>
  <c r="BB92" i="2"/>
  <c r="BC92" i="2"/>
  <c r="BD92" i="2"/>
  <c r="BL92" i="2"/>
  <c r="BM92" i="2"/>
  <c r="BN92" i="2"/>
  <c r="BO92" i="2"/>
  <c r="BP92" i="2"/>
  <c r="BS92" i="2"/>
  <c r="BU92" i="2"/>
  <c r="BV92" i="2"/>
  <c r="BW92" i="2"/>
  <c r="BX92" i="2"/>
  <c r="BY92" i="2"/>
  <c r="Y94" i="2"/>
  <c r="Z94" i="2"/>
  <c r="AA94" i="2"/>
  <c r="AB94" i="2"/>
  <c r="AC94" i="2"/>
  <c r="AD94" i="2"/>
  <c r="AE94" i="2"/>
  <c r="AF94" i="2"/>
  <c r="AG94" i="2"/>
  <c r="AH94" i="2"/>
  <c r="AI94" i="2"/>
  <c r="AJ94" i="2"/>
  <c r="AK94" i="2"/>
  <c r="AL94" i="2"/>
  <c r="AM94" i="2"/>
  <c r="AN94" i="2"/>
  <c r="AO94" i="2"/>
  <c r="AP94" i="2"/>
  <c r="AQ94" i="2"/>
  <c r="AR94" i="2"/>
  <c r="AS94" i="2"/>
  <c r="AT94" i="2"/>
  <c r="AU94" i="2"/>
  <c r="AV94" i="2"/>
  <c r="AW94" i="2"/>
  <c r="AX94" i="2"/>
  <c r="AY94" i="2"/>
  <c r="AZ94" i="2"/>
  <c r="BA94" i="2"/>
  <c r="BB94" i="2"/>
  <c r="BC94" i="2"/>
  <c r="BD94" i="2"/>
  <c r="BL94" i="2"/>
  <c r="BM94" i="2"/>
  <c r="BN94" i="2"/>
  <c r="BO94" i="2"/>
  <c r="BP94" i="2"/>
  <c r="BR94" i="2"/>
  <c r="BS94" i="2"/>
  <c r="BT94" i="2"/>
  <c r="BU94" i="2"/>
  <c r="BV94" i="2"/>
  <c r="BW94" i="2"/>
  <c r="BX94" i="2"/>
  <c r="BY94" i="2"/>
  <c r="Y96" i="2"/>
  <c r="Z96" i="2"/>
  <c r="AA96" i="2"/>
  <c r="AB96" i="2"/>
  <c r="AC96" i="2"/>
  <c r="AD96" i="2"/>
  <c r="AE96" i="2"/>
  <c r="AF96" i="2"/>
  <c r="AG96" i="2"/>
  <c r="AH96" i="2"/>
  <c r="AI96" i="2"/>
  <c r="AJ96" i="2"/>
  <c r="AK96" i="2"/>
  <c r="AL96" i="2"/>
  <c r="AM96" i="2"/>
  <c r="AP96" i="2"/>
  <c r="AQ96" i="2"/>
  <c r="AR96" i="2"/>
  <c r="AT96" i="2"/>
  <c r="AU96" i="2"/>
  <c r="AV96" i="2"/>
  <c r="AW96" i="2"/>
  <c r="AX96" i="2"/>
  <c r="AY96" i="2"/>
  <c r="AZ96" i="2"/>
  <c r="BB96" i="2"/>
  <c r="BD96" i="2"/>
  <c r="BL96" i="2"/>
  <c r="BM96" i="2"/>
  <c r="BN96" i="2"/>
  <c r="BO96" i="2"/>
  <c r="BP96" i="2"/>
  <c r="BR96" i="2"/>
  <c r="BS96" i="2"/>
  <c r="BT96" i="2"/>
  <c r="BU96" i="2"/>
  <c r="Y98" i="2"/>
  <c r="Z98" i="2"/>
  <c r="AA98" i="2"/>
  <c r="AB98" i="2"/>
  <c r="AC98" i="2"/>
  <c r="AD98" i="2"/>
  <c r="AE98" i="2"/>
  <c r="AF98" i="2"/>
  <c r="AG98" i="2"/>
  <c r="AH98" i="2"/>
  <c r="AI98" i="2"/>
  <c r="AJ98" i="2"/>
  <c r="AK98" i="2"/>
  <c r="AL98" i="2"/>
  <c r="AM98" i="2"/>
  <c r="AN98" i="2"/>
  <c r="AO98" i="2"/>
  <c r="AP98" i="2"/>
  <c r="AQ98" i="2"/>
  <c r="AR98" i="2"/>
  <c r="AT98" i="2"/>
  <c r="AU98" i="2"/>
  <c r="AV98" i="2"/>
  <c r="AW98" i="2"/>
  <c r="AX98" i="2"/>
  <c r="AY98" i="2"/>
  <c r="AZ98" i="2"/>
  <c r="BB98" i="2"/>
  <c r="BC98" i="2"/>
  <c r="BD98" i="2"/>
  <c r="BL98" i="2"/>
  <c r="BM98" i="2"/>
  <c r="BN98" i="2"/>
  <c r="BO98" i="2"/>
  <c r="BP98" i="2"/>
  <c r="BQ98" i="2"/>
  <c r="BR98" i="2"/>
  <c r="BS98" i="2"/>
  <c r="BT98" i="2"/>
  <c r="BU98" i="2"/>
  <c r="Y100" i="2"/>
  <c r="Z100" i="2"/>
  <c r="AA100" i="2"/>
  <c r="AB100" i="2"/>
  <c r="AC100" i="2"/>
  <c r="AD100" i="2"/>
  <c r="AE100" i="2"/>
  <c r="AF100" i="2"/>
  <c r="AG100" i="2"/>
  <c r="AH100" i="2"/>
  <c r="AI100" i="2"/>
  <c r="AJ100" i="2"/>
  <c r="AK100" i="2"/>
  <c r="AL100" i="2"/>
  <c r="AM100" i="2"/>
  <c r="AN100" i="2"/>
  <c r="AO100" i="2"/>
  <c r="AP100" i="2"/>
  <c r="AQ100" i="2"/>
  <c r="AR100" i="2"/>
  <c r="AT100" i="2"/>
  <c r="AU100" i="2"/>
  <c r="AV100" i="2"/>
  <c r="AW100" i="2"/>
  <c r="AX100" i="2"/>
  <c r="AY100" i="2"/>
  <c r="AZ100" i="2"/>
  <c r="BB100" i="2"/>
  <c r="BC100" i="2"/>
  <c r="BD100" i="2"/>
  <c r="BL100" i="2"/>
  <c r="BN100" i="2"/>
  <c r="BO100" i="2"/>
  <c r="BP100" i="2"/>
  <c r="BQ100" i="2"/>
  <c r="BR100" i="2"/>
  <c r="BS100" i="2"/>
  <c r="BT100" i="2"/>
  <c r="BU100" i="2"/>
  <c r="Y102" i="2"/>
  <c r="Z102" i="2"/>
  <c r="AA102" i="2"/>
  <c r="AB102" i="2"/>
  <c r="AC102" i="2"/>
  <c r="AD102" i="2"/>
  <c r="AE102" i="2"/>
  <c r="AF102" i="2"/>
  <c r="AG102" i="2"/>
  <c r="AH102" i="2"/>
  <c r="AI102" i="2"/>
  <c r="AJ102" i="2"/>
  <c r="AK102" i="2"/>
  <c r="AL102" i="2"/>
  <c r="AM102" i="2"/>
  <c r="AN102" i="2"/>
  <c r="AO102" i="2"/>
  <c r="AP102" i="2"/>
  <c r="AQ102" i="2"/>
  <c r="AR102" i="2"/>
  <c r="AT102" i="2"/>
  <c r="AU102" i="2"/>
  <c r="AV102" i="2"/>
  <c r="AW102" i="2"/>
  <c r="AX102" i="2"/>
  <c r="AY102" i="2"/>
  <c r="AZ102" i="2"/>
  <c r="BA102" i="2"/>
  <c r="BB102" i="2"/>
  <c r="BC102" i="2"/>
  <c r="BD102" i="2"/>
  <c r="BL102" i="2"/>
  <c r="BM102" i="2"/>
  <c r="BN102" i="2"/>
  <c r="BO102" i="2"/>
  <c r="BP102" i="2"/>
  <c r="BQ102" i="2"/>
  <c r="BR102" i="2"/>
  <c r="BS102" i="2"/>
  <c r="BT102" i="2"/>
  <c r="BU102" i="2"/>
  <c r="Y104" i="2"/>
  <c r="Z104" i="2"/>
  <c r="AA104" i="2"/>
  <c r="AB104" i="2"/>
  <c r="AC104" i="2"/>
  <c r="AD104" i="2"/>
  <c r="AE104" i="2"/>
  <c r="AF104" i="2"/>
  <c r="AG104" i="2"/>
  <c r="AH104" i="2"/>
  <c r="AI104" i="2"/>
  <c r="AJ104" i="2"/>
  <c r="AK104" i="2"/>
  <c r="AL104" i="2"/>
  <c r="AM104" i="2"/>
  <c r="AN104" i="2"/>
  <c r="AO104" i="2"/>
  <c r="AP104" i="2"/>
  <c r="AQ104" i="2"/>
  <c r="AR104" i="2"/>
  <c r="AT104" i="2"/>
  <c r="AU104" i="2"/>
  <c r="AV104" i="2"/>
  <c r="AW104" i="2"/>
  <c r="AX104" i="2"/>
  <c r="AZ104" i="2"/>
  <c r="BA104" i="2"/>
  <c r="BB104" i="2"/>
  <c r="BC104" i="2"/>
  <c r="BD104" i="2"/>
  <c r="BL104" i="2"/>
  <c r="BM104" i="2"/>
  <c r="BN104" i="2"/>
  <c r="BO104" i="2"/>
  <c r="BP104" i="2"/>
  <c r="BQ104" i="2"/>
  <c r="BR104" i="2"/>
  <c r="BT104" i="2"/>
  <c r="BU104" i="2"/>
  <c r="Y106" i="2"/>
  <c r="Z106" i="2"/>
  <c r="AA106" i="2"/>
  <c r="AB106" i="2"/>
  <c r="AC106" i="2"/>
  <c r="AD106" i="2"/>
  <c r="AE106" i="2"/>
  <c r="AF106" i="2"/>
  <c r="AG106" i="2"/>
  <c r="AH106" i="2"/>
  <c r="AI106" i="2"/>
  <c r="AJ106" i="2"/>
  <c r="AK106" i="2"/>
  <c r="AL106" i="2"/>
  <c r="AM106" i="2"/>
  <c r="AN106" i="2"/>
  <c r="AO106" i="2"/>
  <c r="AP106" i="2"/>
  <c r="AQ106" i="2"/>
  <c r="AR106" i="2"/>
  <c r="AS106" i="2"/>
  <c r="AT106" i="2"/>
  <c r="AU106" i="2"/>
  <c r="AV106" i="2"/>
  <c r="AW106" i="2"/>
  <c r="AX106" i="2"/>
  <c r="AZ106" i="2"/>
  <c r="BA106" i="2"/>
  <c r="BB106" i="2"/>
  <c r="BC106" i="2"/>
  <c r="BD106" i="2"/>
  <c r="BL106" i="2"/>
  <c r="BM106" i="2"/>
  <c r="BN106" i="2"/>
  <c r="BO106" i="2"/>
  <c r="BP106" i="2"/>
  <c r="BQ106" i="2"/>
  <c r="BR106" i="2"/>
  <c r="BS106" i="2"/>
  <c r="BT106" i="2"/>
  <c r="BU106" i="2"/>
  <c r="Y108" i="2"/>
  <c r="Z108" i="2"/>
  <c r="AA108" i="2"/>
  <c r="AB108" i="2"/>
  <c r="AC108" i="2"/>
  <c r="AD108" i="2"/>
  <c r="AE108" i="2"/>
  <c r="AF108" i="2"/>
  <c r="AG108" i="2"/>
  <c r="AH108" i="2"/>
  <c r="AI108" i="2"/>
  <c r="AJ108" i="2"/>
  <c r="AK108" i="2"/>
  <c r="AL108" i="2"/>
  <c r="AM108" i="2"/>
  <c r="AN108" i="2"/>
  <c r="AO108" i="2"/>
  <c r="AP108" i="2"/>
  <c r="AQ108" i="2"/>
  <c r="AR108" i="2"/>
  <c r="AS108" i="2"/>
  <c r="AT108" i="2"/>
  <c r="AU108" i="2"/>
  <c r="AV108" i="2"/>
  <c r="AW108" i="2"/>
  <c r="AX108" i="2"/>
  <c r="AZ108" i="2"/>
  <c r="BA108" i="2"/>
  <c r="BB108" i="2"/>
  <c r="BC108" i="2"/>
  <c r="BD108" i="2"/>
  <c r="BL108" i="2"/>
  <c r="BM108" i="2"/>
  <c r="BN108" i="2"/>
  <c r="BO108" i="2"/>
  <c r="BR108" i="2"/>
  <c r="BS108" i="2"/>
  <c r="BT108" i="2"/>
  <c r="BU108" i="2"/>
  <c r="Y110" i="2"/>
  <c r="Z110" i="2"/>
  <c r="AA110" i="2"/>
  <c r="AB110" i="2"/>
  <c r="AC110" i="2"/>
  <c r="AD110" i="2"/>
  <c r="AE110" i="2"/>
  <c r="AF110" i="2"/>
  <c r="AG110" i="2"/>
  <c r="AH110" i="2"/>
  <c r="AI110" i="2"/>
  <c r="AJ110" i="2"/>
  <c r="AK110" i="2"/>
  <c r="AL110" i="2"/>
  <c r="AM110" i="2"/>
  <c r="AN110" i="2"/>
  <c r="AO110" i="2"/>
  <c r="AP110" i="2"/>
  <c r="AQ110" i="2"/>
  <c r="AR110" i="2"/>
  <c r="AS110" i="2"/>
  <c r="AT110" i="2"/>
  <c r="AU110" i="2"/>
  <c r="AV110" i="2"/>
  <c r="AW110" i="2"/>
  <c r="AX110" i="2"/>
  <c r="AZ110" i="2"/>
  <c r="BA110" i="2"/>
  <c r="BB110" i="2"/>
  <c r="BC110" i="2"/>
  <c r="BD110" i="2"/>
  <c r="BL110" i="2"/>
  <c r="BM110" i="2"/>
  <c r="BN110" i="2"/>
  <c r="BO110" i="2"/>
  <c r="BP110" i="2"/>
  <c r="BQ110" i="2"/>
  <c r="BR110" i="2"/>
  <c r="BS110" i="2"/>
  <c r="BT110" i="2"/>
  <c r="BU110" i="2"/>
  <c r="Y112" i="2"/>
  <c r="Z112" i="2"/>
  <c r="AA112" i="2"/>
  <c r="AB112" i="2"/>
  <c r="AC112" i="2"/>
  <c r="AD112" i="2"/>
  <c r="AE112" i="2"/>
  <c r="AF112" i="2"/>
  <c r="AG112" i="2"/>
  <c r="AH112" i="2"/>
  <c r="AI112" i="2"/>
  <c r="AJ112" i="2"/>
  <c r="AK112" i="2"/>
  <c r="AL112" i="2"/>
  <c r="AM112" i="2"/>
  <c r="AN112" i="2"/>
  <c r="AO112" i="2"/>
  <c r="AP112" i="2"/>
  <c r="AQ112" i="2"/>
  <c r="AR112" i="2"/>
  <c r="AS112" i="2"/>
  <c r="AT112" i="2"/>
  <c r="AU112" i="2"/>
  <c r="AV112" i="2"/>
  <c r="AW112" i="2"/>
  <c r="AX112" i="2"/>
  <c r="AZ112" i="2"/>
  <c r="BA112" i="2"/>
  <c r="BB112" i="2"/>
  <c r="BC112" i="2"/>
  <c r="BD112" i="2"/>
  <c r="BL112" i="2"/>
  <c r="BM112" i="2"/>
  <c r="BN112" i="2"/>
  <c r="BO112" i="2"/>
  <c r="BP112" i="2"/>
  <c r="BQ112" i="2"/>
  <c r="BR112" i="2"/>
  <c r="BS112" i="2"/>
  <c r="BT112" i="2"/>
  <c r="BU112" i="2"/>
  <c r="Y114" i="2"/>
  <c r="Z114" i="2"/>
  <c r="AA114" i="2"/>
  <c r="AB114" i="2"/>
  <c r="AC114" i="2"/>
  <c r="AD114" i="2"/>
  <c r="AE114" i="2"/>
  <c r="AF114" i="2"/>
  <c r="AG114" i="2"/>
  <c r="AH114" i="2"/>
  <c r="AI114" i="2"/>
  <c r="AJ114" i="2"/>
  <c r="AK114" i="2"/>
  <c r="AL114" i="2"/>
  <c r="AM114" i="2"/>
  <c r="AN114" i="2"/>
  <c r="AO114" i="2"/>
  <c r="AP114" i="2"/>
  <c r="AQ114" i="2"/>
  <c r="AR114" i="2"/>
  <c r="AS114" i="2"/>
  <c r="AT114" i="2"/>
  <c r="AU114" i="2"/>
  <c r="AV114" i="2"/>
  <c r="AW114" i="2"/>
  <c r="AX114" i="2"/>
  <c r="AZ114" i="2"/>
  <c r="BA114" i="2"/>
  <c r="BB114" i="2"/>
  <c r="BC114" i="2"/>
  <c r="BD114" i="2"/>
  <c r="BE114" i="2"/>
  <c r="BF114" i="2"/>
  <c r="BG114" i="2"/>
  <c r="BH114" i="2"/>
  <c r="BI114" i="2"/>
  <c r="BJ114" i="2"/>
  <c r="BK114" i="2"/>
  <c r="BL114" i="2"/>
  <c r="BM114" i="2"/>
  <c r="BN114" i="2"/>
  <c r="BO114" i="2"/>
  <c r="BP114" i="2"/>
  <c r="BQ114" i="2"/>
  <c r="BR114" i="2"/>
  <c r="BS114" i="2"/>
  <c r="BT114" i="2"/>
  <c r="Y116" i="2"/>
  <c r="Z116" i="2"/>
  <c r="AA116" i="2"/>
  <c r="AB116" i="2"/>
  <c r="AC116" i="2"/>
  <c r="AD116" i="2"/>
  <c r="AE116" i="2"/>
  <c r="AF116" i="2"/>
  <c r="AG116" i="2"/>
  <c r="AH116" i="2"/>
  <c r="AI116" i="2"/>
  <c r="AJ116" i="2"/>
  <c r="AK116" i="2"/>
  <c r="AL116" i="2"/>
  <c r="AM116" i="2"/>
  <c r="AN116" i="2"/>
  <c r="AO116" i="2"/>
  <c r="AP116" i="2"/>
  <c r="AQ116" i="2"/>
  <c r="AR116" i="2"/>
  <c r="AS116" i="2"/>
  <c r="AT116" i="2"/>
  <c r="AU116" i="2"/>
  <c r="AV116" i="2"/>
  <c r="AW116" i="2"/>
  <c r="AX116" i="2"/>
  <c r="AZ116" i="2"/>
  <c r="BB116" i="2"/>
  <c r="BC116" i="2"/>
  <c r="BD116" i="2"/>
  <c r="BF116" i="2"/>
  <c r="BG116" i="2"/>
  <c r="BH116" i="2"/>
  <c r="BI116" i="2"/>
  <c r="BJ116" i="2"/>
  <c r="BK116" i="2"/>
  <c r="BL116" i="2"/>
  <c r="BM116" i="2"/>
  <c r="BN116" i="2"/>
  <c r="BO116" i="2"/>
  <c r="BP116" i="2"/>
  <c r="BQ116" i="2"/>
  <c r="BR116" i="2"/>
  <c r="BS116" i="2"/>
  <c r="BT116" i="2"/>
  <c r="Y118" i="2"/>
  <c r="Z118" i="2"/>
  <c r="AA118" i="2"/>
  <c r="AB118" i="2"/>
  <c r="AC118" i="2"/>
  <c r="AD118" i="2"/>
  <c r="AE118" i="2"/>
  <c r="AF118" i="2"/>
  <c r="AG118" i="2"/>
  <c r="AH118" i="2"/>
  <c r="AI118" i="2"/>
  <c r="AJ118" i="2"/>
  <c r="AK118" i="2"/>
  <c r="AL118" i="2"/>
  <c r="AM118" i="2"/>
  <c r="AN118" i="2"/>
  <c r="AO118" i="2"/>
  <c r="AP118" i="2"/>
  <c r="AQ118" i="2"/>
  <c r="AR118" i="2"/>
  <c r="AS118" i="2"/>
  <c r="AT118" i="2"/>
  <c r="AU118" i="2"/>
  <c r="AV118" i="2"/>
  <c r="AW118" i="2"/>
  <c r="AX118" i="2"/>
  <c r="AY118" i="2"/>
  <c r="AZ118" i="2"/>
  <c r="BB118" i="2"/>
  <c r="BC118" i="2"/>
  <c r="BD118" i="2"/>
  <c r="BE118" i="2"/>
  <c r="BF118" i="2"/>
  <c r="BG118" i="2"/>
  <c r="BH118" i="2"/>
  <c r="BI118" i="2"/>
  <c r="BJ118" i="2"/>
  <c r="BK118" i="2"/>
  <c r="BL118" i="2"/>
  <c r="BM118" i="2"/>
  <c r="BN118" i="2"/>
  <c r="BO118" i="2"/>
  <c r="BP118" i="2"/>
  <c r="BQ118" i="2"/>
  <c r="BR118" i="2"/>
  <c r="BS118" i="2"/>
  <c r="BT118" i="2"/>
  <c r="Y120" i="2"/>
  <c r="Z120" i="2"/>
  <c r="AA120" i="2"/>
  <c r="AB120" i="2"/>
  <c r="AC120" i="2"/>
  <c r="AD120" i="2"/>
  <c r="AE120" i="2"/>
  <c r="AF120" i="2"/>
  <c r="AG120" i="2"/>
  <c r="AH120" i="2"/>
  <c r="AI120" i="2"/>
  <c r="AJ120" i="2"/>
  <c r="AK120" i="2"/>
  <c r="AL120" i="2"/>
  <c r="AM120" i="2"/>
  <c r="AN120" i="2"/>
  <c r="AO120" i="2"/>
  <c r="AP120" i="2"/>
  <c r="AQ120" i="2"/>
  <c r="AR120" i="2"/>
  <c r="AS120" i="2"/>
  <c r="AT120" i="2"/>
  <c r="AU120" i="2"/>
  <c r="AV120" i="2"/>
  <c r="AW120" i="2"/>
  <c r="AX120" i="2"/>
  <c r="AY120" i="2"/>
  <c r="AZ120" i="2"/>
  <c r="BB120" i="2"/>
  <c r="BC120" i="2"/>
  <c r="BD120" i="2"/>
  <c r="BE120" i="2"/>
  <c r="BF120" i="2"/>
  <c r="BG120" i="2"/>
  <c r="BH120" i="2"/>
  <c r="BI120" i="2"/>
  <c r="BJ120" i="2"/>
  <c r="BK120" i="2"/>
  <c r="BL120" i="2"/>
  <c r="BM120" i="2"/>
  <c r="BN120" i="2"/>
  <c r="BO120" i="2"/>
  <c r="BP120" i="2"/>
  <c r="BQ120" i="2"/>
  <c r="BR120" i="2"/>
  <c r="BS120" i="2"/>
  <c r="BT120" i="2"/>
  <c r="Y122" i="2"/>
  <c r="Z122" i="2"/>
  <c r="AA122" i="2"/>
  <c r="AB122" i="2"/>
  <c r="AC122" i="2"/>
  <c r="AD122" i="2"/>
  <c r="AE122" i="2"/>
  <c r="AF122" i="2"/>
  <c r="AG122" i="2"/>
  <c r="AH122" i="2"/>
  <c r="AI122" i="2"/>
  <c r="AJ122" i="2"/>
  <c r="AK122" i="2"/>
  <c r="AL122" i="2"/>
  <c r="AM122" i="2"/>
  <c r="AN122" i="2"/>
  <c r="AO122" i="2"/>
  <c r="AP122" i="2"/>
  <c r="AQ122" i="2"/>
  <c r="AR122" i="2"/>
  <c r="AS122" i="2"/>
  <c r="AT122" i="2"/>
  <c r="AU122" i="2"/>
  <c r="AV122" i="2"/>
  <c r="AW122" i="2"/>
  <c r="AX122" i="2"/>
  <c r="AY122" i="2"/>
  <c r="AZ122" i="2"/>
  <c r="BA122" i="2"/>
  <c r="BB122" i="2"/>
  <c r="BC122" i="2"/>
  <c r="BD122" i="2"/>
  <c r="BE122" i="2"/>
  <c r="BF122" i="2"/>
  <c r="BG122" i="2"/>
  <c r="BH122" i="2"/>
  <c r="BI122" i="2"/>
  <c r="BJ122" i="2"/>
  <c r="BK122" i="2"/>
  <c r="BL122" i="2"/>
  <c r="BM122" i="2"/>
  <c r="BN122" i="2"/>
  <c r="BO122" i="2"/>
  <c r="BP122" i="2"/>
  <c r="BQ122" i="2"/>
  <c r="BR122" i="2"/>
  <c r="BS122" i="2"/>
  <c r="BT122" i="2"/>
  <c r="BU122" i="2"/>
  <c r="BV122" i="2"/>
  <c r="BW122" i="2"/>
  <c r="BX122" i="2"/>
  <c r="BY122" i="2"/>
  <c r="Y124" i="2"/>
  <c r="Z124" i="2"/>
  <c r="AA124" i="2"/>
  <c r="AB124" i="2"/>
  <c r="AC124" i="2"/>
  <c r="AD124" i="2"/>
  <c r="AE124" i="2"/>
  <c r="AF124" i="2"/>
  <c r="AG124" i="2"/>
  <c r="AH124" i="2"/>
  <c r="AI124" i="2"/>
  <c r="AJ124" i="2"/>
  <c r="AK124" i="2"/>
  <c r="AL124" i="2"/>
  <c r="AM124" i="2"/>
  <c r="AN124" i="2"/>
  <c r="AO124" i="2"/>
  <c r="AP124" i="2"/>
  <c r="AQ124" i="2"/>
  <c r="AR124" i="2"/>
  <c r="AS124" i="2"/>
  <c r="AT124" i="2"/>
  <c r="AU124" i="2"/>
  <c r="AV124" i="2"/>
  <c r="AW124" i="2"/>
  <c r="AX124" i="2"/>
  <c r="AY124" i="2"/>
  <c r="AZ124" i="2"/>
  <c r="BA124" i="2"/>
  <c r="BB124" i="2"/>
  <c r="BC124" i="2"/>
  <c r="BD124" i="2"/>
  <c r="BE124" i="2"/>
  <c r="BF124" i="2"/>
  <c r="BG124" i="2"/>
  <c r="BH124" i="2"/>
  <c r="BI124" i="2"/>
  <c r="BJ124" i="2"/>
  <c r="BK124" i="2"/>
  <c r="BL124" i="2"/>
  <c r="BM124" i="2"/>
  <c r="BN124" i="2"/>
  <c r="BO124" i="2"/>
  <c r="BP124" i="2"/>
  <c r="BQ124" i="2"/>
  <c r="BR124" i="2"/>
  <c r="BS124" i="2"/>
  <c r="BT124" i="2"/>
  <c r="BU124" i="2"/>
  <c r="BV124" i="2"/>
  <c r="BW124" i="2"/>
  <c r="BX124" i="2"/>
  <c r="BY124" i="2"/>
  <c r="BZ14" i="2"/>
  <c r="CA14" i="2"/>
  <c r="CB14" i="2"/>
  <c r="CC14" i="2"/>
  <c r="BZ16" i="2"/>
  <c r="CA16" i="2"/>
  <c r="CB16" i="2"/>
  <c r="CC16" i="2"/>
  <c r="BZ18" i="2"/>
  <c r="CA18" i="2"/>
  <c r="CB18" i="2"/>
  <c r="CC18" i="2"/>
  <c r="BZ20" i="2"/>
  <c r="CA20" i="2"/>
  <c r="CB20" i="2"/>
  <c r="CC20" i="2"/>
  <c r="BZ22" i="2"/>
  <c r="CA22" i="2"/>
  <c r="CB22" i="2"/>
  <c r="CC22" i="2"/>
  <c r="BZ24" i="2"/>
  <c r="CA24" i="2"/>
  <c r="CB24" i="2"/>
  <c r="CC24" i="2"/>
  <c r="BZ26" i="2"/>
  <c r="CA26" i="2"/>
  <c r="CB26" i="2"/>
  <c r="CC26" i="2"/>
  <c r="BZ28" i="2"/>
  <c r="CA28" i="2"/>
  <c r="CB28" i="2"/>
  <c r="CC28" i="2"/>
  <c r="BZ30" i="2"/>
  <c r="CA30" i="2"/>
  <c r="CB30" i="2"/>
  <c r="CC30" i="2"/>
  <c r="BZ32" i="2"/>
  <c r="CA32" i="2"/>
  <c r="CB32" i="2"/>
  <c r="CC32" i="2"/>
  <c r="BZ34" i="2"/>
  <c r="CA34" i="2"/>
  <c r="CB34" i="2"/>
  <c r="CC34" i="2"/>
  <c r="BZ36" i="2"/>
  <c r="CA36" i="2"/>
  <c r="CB36" i="2"/>
  <c r="CC36" i="2"/>
  <c r="BZ38" i="2"/>
  <c r="CA38" i="2"/>
  <c r="CB38" i="2"/>
  <c r="CC38" i="2"/>
  <c r="BZ40" i="2"/>
  <c r="CA40" i="2"/>
  <c r="CB40" i="2"/>
  <c r="CC40" i="2"/>
  <c r="BZ42" i="2"/>
  <c r="CA42" i="2"/>
  <c r="CB42" i="2"/>
  <c r="CC42" i="2"/>
  <c r="BZ44" i="2"/>
  <c r="CA44" i="2"/>
  <c r="CB44" i="2"/>
  <c r="CC44" i="2"/>
  <c r="BZ46" i="2"/>
  <c r="CA46" i="2"/>
  <c r="CB46" i="2"/>
  <c r="CC46" i="2"/>
  <c r="BZ48" i="2"/>
  <c r="CA48" i="2"/>
  <c r="CB48" i="2"/>
  <c r="CC48" i="2"/>
  <c r="BZ50" i="2"/>
  <c r="CA50" i="2"/>
  <c r="CB50" i="2"/>
  <c r="CC50" i="2"/>
  <c r="BZ52" i="2"/>
  <c r="CA52" i="2"/>
  <c r="CB52" i="2"/>
  <c r="CC52" i="2"/>
  <c r="BZ54" i="2"/>
  <c r="CA54" i="2"/>
  <c r="CB54" i="2"/>
  <c r="CC54" i="2"/>
  <c r="BZ56" i="2"/>
  <c r="CA56" i="2"/>
  <c r="CB56" i="2"/>
  <c r="CC56" i="2"/>
  <c r="BZ58" i="2"/>
  <c r="CA58" i="2"/>
  <c r="CB58" i="2"/>
  <c r="CC58" i="2"/>
  <c r="BZ60" i="2"/>
  <c r="CA60" i="2"/>
  <c r="CB60" i="2"/>
  <c r="CC60" i="2"/>
  <c r="BZ62" i="2"/>
  <c r="CA62" i="2"/>
  <c r="CB62" i="2"/>
  <c r="CC62" i="2"/>
  <c r="BZ64" i="2"/>
  <c r="CA64" i="2"/>
  <c r="CB64" i="2"/>
  <c r="CC64" i="2"/>
  <c r="BZ66" i="2"/>
  <c r="CA66" i="2"/>
  <c r="CB66" i="2"/>
  <c r="CC66" i="2"/>
  <c r="BZ68" i="2"/>
  <c r="CA68" i="2"/>
  <c r="CB68" i="2"/>
  <c r="CC68" i="2"/>
  <c r="BZ70" i="2"/>
  <c r="CA70" i="2"/>
  <c r="CB70" i="2"/>
  <c r="CC70" i="2"/>
  <c r="BZ72" i="2"/>
  <c r="CA72" i="2"/>
  <c r="CB72" i="2"/>
  <c r="CC72" i="2"/>
  <c r="BZ74" i="2"/>
  <c r="CA74" i="2"/>
  <c r="CB74" i="2"/>
  <c r="CC74" i="2"/>
  <c r="BZ76" i="2"/>
  <c r="CA76" i="2"/>
  <c r="CB76" i="2"/>
  <c r="CC76" i="2"/>
  <c r="BZ78" i="2"/>
  <c r="CA78" i="2"/>
  <c r="CB78" i="2"/>
  <c r="CC78" i="2"/>
  <c r="BZ80" i="2"/>
  <c r="CA80" i="2"/>
  <c r="CB80" i="2"/>
  <c r="CC80" i="2"/>
  <c r="BZ82" i="2"/>
  <c r="CA82" i="2"/>
  <c r="CB82" i="2"/>
  <c r="CC82" i="2"/>
  <c r="BZ84" i="2"/>
  <c r="CA84" i="2"/>
  <c r="CB84" i="2"/>
  <c r="CC84" i="2"/>
  <c r="BZ86" i="2"/>
  <c r="CA86" i="2"/>
  <c r="CB86" i="2"/>
  <c r="CC86" i="2"/>
  <c r="BZ88" i="2"/>
  <c r="CA88" i="2"/>
  <c r="CB88" i="2"/>
  <c r="CC88" i="2"/>
  <c r="BZ90" i="2"/>
  <c r="CA90" i="2"/>
  <c r="CB90" i="2"/>
  <c r="CC90" i="2"/>
  <c r="BZ92" i="2"/>
  <c r="CA92" i="2"/>
  <c r="CB92" i="2"/>
  <c r="CC92" i="2"/>
  <c r="BQ12" i="2"/>
  <c r="BP12" i="2"/>
  <c r="BO12" i="2"/>
  <c r="BN12" i="2"/>
  <c r="BM12" i="2"/>
  <c r="BL12" i="2"/>
  <c r="BK12" i="2"/>
  <c r="BJ12" i="2"/>
  <c r="BI12" i="2"/>
  <c r="BH12" i="2"/>
  <c r="BG12" i="2"/>
  <c r="BF12" i="2"/>
  <c r="BE12" i="2"/>
  <c r="BD12" i="2"/>
  <c r="BC12" i="2"/>
  <c r="AO126" i="2"/>
  <c r="AP126" i="2"/>
  <c r="AQ126" i="2"/>
  <c r="AR126" i="2"/>
  <c r="AS126" i="2"/>
  <c r="AT126" i="2"/>
  <c r="AU126" i="2"/>
  <c r="AV126" i="2"/>
  <c r="AW126" i="2"/>
  <c r="AX126" i="2"/>
  <c r="AY126" i="2"/>
  <c r="AZ126" i="2"/>
  <c r="BA126" i="2"/>
  <c r="BB126" i="2"/>
  <c r="BC126" i="2"/>
  <c r="BD126" i="2"/>
  <c r="BE126" i="2"/>
  <c r="BF126" i="2"/>
  <c r="BG126" i="2"/>
  <c r="BH126" i="2"/>
  <c r="BI126" i="2"/>
  <c r="BJ126" i="2"/>
  <c r="BK126" i="2"/>
  <c r="BL126" i="2"/>
  <c r="BM126" i="2"/>
  <c r="BN126" i="2"/>
  <c r="BO126" i="2"/>
  <c r="AM12" i="2"/>
  <c r="BV12" i="2" l="1"/>
  <c r="BW12" i="2"/>
  <c r="BX12" i="2"/>
  <c r="BY12" i="2"/>
  <c r="BZ12" i="2"/>
  <c r="CA12" i="2"/>
  <c r="CB12" i="2"/>
  <c r="CC12" i="2"/>
  <c r="CD12" i="2"/>
  <c r="CE12" i="2"/>
  <c r="CF12" i="2"/>
  <c r="CG12" i="2"/>
  <c r="CH12" i="2"/>
  <c r="CI12" i="2"/>
  <c r="CJ12" i="2"/>
  <c r="CK12" i="2"/>
  <c r="CL12" i="2"/>
  <c r="CM12" i="2"/>
  <c r="CN12" i="2"/>
  <c r="CO12" i="2"/>
  <c r="CP12" i="2"/>
  <c r="CQ12" i="2"/>
  <c r="CR12" i="2"/>
  <c r="CS12" i="2"/>
  <c r="CT12" i="2"/>
  <c r="CU12" i="2"/>
  <c r="CV12" i="2"/>
  <c r="CW12" i="2"/>
  <c r="CX12" i="2"/>
  <c r="CY12" i="2"/>
  <c r="CD14" i="2"/>
  <c r="CE14" i="2"/>
  <c r="CF14" i="2"/>
  <c r="CG14" i="2"/>
  <c r="CH14" i="2"/>
  <c r="CI14" i="2"/>
  <c r="CJ14" i="2"/>
  <c r="CK14" i="2"/>
  <c r="CL14" i="2"/>
  <c r="CM14" i="2"/>
  <c r="CN14" i="2"/>
  <c r="CO14" i="2"/>
  <c r="CP14" i="2"/>
  <c r="CQ14" i="2"/>
  <c r="CR14" i="2"/>
  <c r="CS14" i="2"/>
  <c r="CT14" i="2"/>
  <c r="CU14" i="2"/>
  <c r="CV14" i="2"/>
  <c r="CW14" i="2"/>
  <c r="CX14" i="2"/>
  <c r="CY14" i="2"/>
  <c r="CD16" i="2"/>
  <c r="CE16" i="2"/>
  <c r="CF16" i="2"/>
  <c r="CG16" i="2"/>
  <c r="CH16" i="2"/>
  <c r="CI16" i="2"/>
  <c r="CJ16" i="2"/>
  <c r="CK16" i="2"/>
  <c r="CL16" i="2"/>
  <c r="CM16" i="2"/>
  <c r="CN16" i="2"/>
  <c r="CO16" i="2"/>
  <c r="CP16" i="2"/>
  <c r="CQ16" i="2"/>
  <c r="CR16" i="2"/>
  <c r="CS16" i="2"/>
  <c r="CT16" i="2"/>
  <c r="CU16" i="2"/>
  <c r="CV16" i="2"/>
  <c r="CW16" i="2"/>
  <c r="CX16" i="2"/>
  <c r="CY16" i="2"/>
  <c r="CD18" i="2"/>
  <c r="CE18" i="2"/>
  <c r="CF18" i="2"/>
  <c r="CG18" i="2"/>
  <c r="CH18" i="2"/>
  <c r="CI18" i="2"/>
  <c r="CJ18" i="2"/>
  <c r="CK18" i="2"/>
  <c r="CL18" i="2"/>
  <c r="CM18" i="2"/>
  <c r="CN18" i="2"/>
  <c r="CO18" i="2"/>
  <c r="CP18" i="2"/>
  <c r="CQ18" i="2"/>
  <c r="CR18" i="2"/>
  <c r="CS18" i="2"/>
  <c r="CT18" i="2"/>
  <c r="CU18" i="2"/>
  <c r="CV18" i="2"/>
  <c r="CW18" i="2"/>
  <c r="CX18" i="2"/>
  <c r="CY18" i="2"/>
  <c r="CD20" i="2"/>
  <c r="CE20" i="2"/>
  <c r="CF20" i="2"/>
  <c r="CG20" i="2"/>
  <c r="CH20" i="2"/>
  <c r="CI20" i="2"/>
  <c r="CJ20" i="2"/>
  <c r="CK20" i="2"/>
  <c r="CL20" i="2"/>
  <c r="CM20" i="2"/>
  <c r="CN20" i="2"/>
  <c r="CO20" i="2"/>
  <c r="CP20" i="2"/>
  <c r="CQ20" i="2"/>
  <c r="CR20" i="2"/>
  <c r="CS20" i="2"/>
  <c r="CT20" i="2"/>
  <c r="CU20" i="2"/>
  <c r="CV20" i="2"/>
  <c r="CW20" i="2"/>
  <c r="CX20" i="2"/>
  <c r="CY20" i="2"/>
  <c r="CD22" i="2"/>
  <c r="CE22" i="2"/>
  <c r="CF22" i="2"/>
  <c r="CG22" i="2"/>
  <c r="CH22" i="2"/>
  <c r="CI22" i="2"/>
  <c r="CJ22" i="2"/>
  <c r="CK22" i="2"/>
  <c r="CL22" i="2"/>
  <c r="CM22" i="2"/>
  <c r="CN22" i="2"/>
  <c r="CO22" i="2"/>
  <c r="CP22" i="2"/>
  <c r="CQ22" i="2"/>
  <c r="CR22" i="2"/>
  <c r="CS22" i="2"/>
  <c r="CT22" i="2"/>
  <c r="CU22" i="2"/>
  <c r="CV22" i="2"/>
  <c r="CW22" i="2"/>
  <c r="CX22" i="2"/>
  <c r="CY22" i="2"/>
  <c r="CD24" i="2"/>
  <c r="CE24" i="2"/>
  <c r="CF24" i="2"/>
  <c r="CG24" i="2"/>
  <c r="CH24" i="2"/>
  <c r="CI24" i="2"/>
  <c r="CJ24" i="2"/>
  <c r="CK24" i="2"/>
  <c r="CL24" i="2"/>
  <c r="CM24" i="2"/>
  <c r="CN24" i="2"/>
  <c r="CO24" i="2"/>
  <c r="CP24" i="2"/>
  <c r="CQ24" i="2"/>
  <c r="CR24" i="2"/>
  <c r="CS24" i="2"/>
  <c r="CT24" i="2"/>
  <c r="CU24" i="2"/>
  <c r="CV24" i="2"/>
  <c r="CW24" i="2"/>
  <c r="CX24" i="2"/>
  <c r="CY24" i="2"/>
  <c r="CD26" i="2"/>
  <c r="CE26" i="2"/>
  <c r="CF26" i="2"/>
  <c r="CG26" i="2"/>
  <c r="CH26" i="2"/>
  <c r="CI26" i="2"/>
  <c r="CJ26" i="2"/>
  <c r="CK26" i="2"/>
  <c r="CL26" i="2"/>
  <c r="CM26" i="2"/>
  <c r="CN26" i="2"/>
  <c r="CO26" i="2"/>
  <c r="CP26" i="2"/>
  <c r="CQ26" i="2"/>
  <c r="CR26" i="2"/>
  <c r="CS26" i="2"/>
  <c r="CT26" i="2"/>
  <c r="CU26" i="2"/>
  <c r="CV26" i="2"/>
  <c r="CW26" i="2"/>
  <c r="CX26" i="2"/>
  <c r="CY26" i="2"/>
  <c r="CD28" i="2"/>
  <c r="CE28" i="2"/>
  <c r="CF28" i="2"/>
  <c r="CG28" i="2"/>
  <c r="CH28" i="2"/>
  <c r="CI28" i="2"/>
  <c r="CJ28" i="2"/>
  <c r="CK28" i="2"/>
  <c r="CL28" i="2"/>
  <c r="CM28" i="2"/>
  <c r="CN28" i="2"/>
  <c r="CO28" i="2"/>
  <c r="CP28" i="2"/>
  <c r="CQ28" i="2"/>
  <c r="CR28" i="2"/>
  <c r="CS28" i="2"/>
  <c r="CT28" i="2"/>
  <c r="CU28" i="2"/>
  <c r="CV28" i="2"/>
  <c r="CW28" i="2"/>
  <c r="CX28" i="2"/>
  <c r="CY28" i="2"/>
  <c r="CD30" i="2"/>
  <c r="CE30" i="2"/>
  <c r="CF30" i="2"/>
  <c r="CG30" i="2"/>
  <c r="CH30" i="2"/>
  <c r="CI30" i="2"/>
  <c r="CJ30" i="2"/>
  <c r="CK30" i="2"/>
  <c r="CL30" i="2"/>
  <c r="CM30" i="2"/>
  <c r="CN30" i="2"/>
  <c r="CO30" i="2"/>
  <c r="CP30" i="2"/>
  <c r="CQ30" i="2"/>
  <c r="CR30" i="2"/>
  <c r="CS30" i="2"/>
  <c r="CT30" i="2"/>
  <c r="CU30" i="2"/>
  <c r="CV30" i="2"/>
  <c r="CW30" i="2"/>
  <c r="CX30" i="2"/>
  <c r="CY30" i="2"/>
  <c r="CD32" i="2"/>
  <c r="CE32" i="2"/>
  <c r="CF32" i="2"/>
  <c r="CG32" i="2"/>
  <c r="CH32" i="2"/>
  <c r="CI32" i="2"/>
  <c r="CJ32" i="2"/>
  <c r="CK32" i="2"/>
  <c r="CL32" i="2"/>
  <c r="CM32" i="2"/>
  <c r="CN32" i="2"/>
  <c r="CO32" i="2"/>
  <c r="CP32" i="2"/>
  <c r="CQ32" i="2"/>
  <c r="CR32" i="2"/>
  <c r="CS32" i="2"/>
  <c r="CT32" i="2"/>
  <c r="CU32" i="2"/>
  <c r="CV32" i="2"/>
  <c r="CW32" i="2"/>
  <c r="CX32" i="2"/>
  <c r="CY32" i="2"/>
  <c r="CD34" i="2"/>
  <c r="CE34" i="2"/>
  <c r="CF34" i="2"/>
  <c r="CG34" i="2"/>
  <c r="CH34" i="2"/>
  <c r="CI34" i="2"/>
  <c r="CJ34" i="2"/>
  <c r="CK34" i="2"/>
  <c r="CL34" i="2"/>
  <c r="CM34" i="2"/>
  <c r="CN34" i="2"/>
  <c r="CO34" i="2"/>
  <c r="CP34" i="2"/>
  <c r="CQ34" i="2"/>
  <c r="CR34" i="2"/>
  <c r="CS34" i="2"/>
  <c r="CT34" i="2"/>
  <c r="CU34" i="2"/>
  <c r="CV34" i="2"/>
  <c r="CW34" i="2"/>
  <c r="CX34" i="2"/>
  <c r="CY34" i="2"/>
  <c r="CD36" i="2"/>
  <c r="CE36" i="2"/>
  <c r="CF36" i="2"/>
  <c r="CG36" i="2"/>
  <c r="CH36" i="2"/>
  <c r="CI36" i="2"/>
  <c r="CJ36" i="2"/>
  <c r="CK36" i="2"/>
  <c r="CL36" i="2"/>
  <c r="CM36" i="2"/>
  <c r="CN36" i="2"/>
  <c r="CO36" i="2"/>
  <c r="CP36" i="2"/>
  <c r="CQ36" i="2"/>
  <c r="CR36" i="2"/>
  <c r="CS36" i="2"/>
  <c r="CT36" i="2"/>
  <c r="CU36" i="2"/>
  <c r="CV36" i="2"/>
  <c r="CW36" i="2"/>
  <c r="CX36" i="2"/>
  <c r="CY36" i="2"/>
  <c r="CD38" i="2"/>
  <c r="CE38" i="2"/>
  <c r="CF38" i="2"/>
  <c r="CG38" i="2"/>
  <c r="CH38" i="2"/>
  <c r="CI38" i="2"/>
  <c r="CJ38" i="2"/>
  <c r="CK38" i="2"/>
  <c r="CL38" i="2"/>
  <c r="CM38" i="2"/>
  <c r="CN38" i="2"/>
  <c r="CO38" i="2"/>
  <c r="CP38" i="2"/>
  <c r="CQ38" i="2"/>
  <c r="CR38" i="2"/>
  <c r="CS38" i="2"/>
  <c r="CT38" i="2"/>
  <c r="CU38" i="2"/>
  <c r="CV38" i="2"/>
  <c r="CW38" i="2"/>
  <c r="CX38" i="2"/>
  <c r="CY38" i="2"/>
  <c r="CD40" i="2"/>
  <c r="CE40" i="2"/>
  <c r="CF40" i="2"/>
  <c r="CG40" i="2"/>
  <c r="CH40" i="2"/>
  <c r="CI40" i="2"/>
  <c r="CJ40" i="2"/>
  <c r="CK40" i="2"/>
  <c r="CL40" i="2"/>
  <c r="CM40" i="2"/>
  <c r="CN40" i="2"/>
  <c r="CO40" i="2"/>
  <c r="CP40" i="2"/>
  <c r="CQ40" i="2"/>
  <c r="CR40" i="2"/>
  <c r="CS40" i="2"/>
  <c r="CT40" i="2"/>
  <c r="CU40" i="2"/>
  <c r="CV40" i="2"/>
  <c r="CW40" i="2"/>
  <c r="CX40" i="2"/>
  <c r="CY40" i="2"/>
  <c r="CD42" i="2"/>
  <c r="CE42" i="2"/>
  <c r="CF42" i="2"/>
  <c r="CG42" i="2"/>
  <c r="CH42" i="2"/>
  <c r="CI42" i="2"/>
  <c r="CJ42" i="2"/>
  <c r="CK42" i="2"/>
  <c r="CL42" i="2"/>
  <c r="CM42" i="2"/>
  <c r="CN42" i="2"/>
  <c r="CO42" i="2"/>
  <c r="CP42" i="2"/>
  <c r="CQ42" i="2"/>
  <c r="CR42" i="2"/>
  <c r="CS42" i="2"/>
  <c r="CT42" i="2"/>
  <c r="CU42" i="2"/>
  <c r="CV42" i="2"/>
  <c r="CW42" i="2"/>
  <c r="CX42" i="2"/>
  <c r="CY42" i="2"/>
  <c r="CD44" i="2"/>
  <c r="CE44" i="2"/>
  <c r="CF44" i="2"/>
  <c r="CG44" i="2"/>
  <c r="CH44" i="2"/>
  <c r="CI44" i="2"/>
  <c r="CJ44" i="2"/>
  <c r="CK44" i="2"/>
  <c r="CL44" i="2"/>
  <c r="CM44" i="2"/>
  <c r="CN44" i="2"/>
  <c r="CO44" i="2"/>
  <c r="CP44" i="2"/>
  <c r="CQ44" i="2"/>
  <c r="CR44" i="2"/>
  <c r="CS44" i="2"/>
  <c r="CT44" i="2"/>
  <c r="CU44" i="2"/>
  <c r="CV44" i="2"/>
  <c r="CW44" i="2"/>
  <c r="CX44" i="2"/>
  <c r="CY44" i="2"/>
  <c r="CD46" i="2"/>
  <c r="CE46" i="2"/>
  <c r="CF46" i="2"/>
  <c r="CG46" i="2"/>
  <c r="CH46" i="2"/>
  <c r="CI46" i="2"/>
  <c r="CJ46" i="2"/>
  <c r="CK46" i="2"/>
  <c r="CL46" i="2"/>
  <c r="CM46" i="2"/>
  <c r="CN46" i="2"/>
  <c r="CO46" i="2"/>
  <c r="CP46" i="2"/>
  <c r="CQ46" i="2"/>
  <c r="CR46" i="2"/>
  <c r="CS46" i="2"/>
  <c r="CT46" i="2"/>
  <c r="CU46" i="2"/>
  <c r="CV46" i="2"/>
  <c r="CW46" i="2"/>
  <c r="CX46" i="2"/>
  <c r="CY46" i="2"/>
  <c r="CD48" i="2"/>
  <c r="CE48" i="2"/>
  <c r="CF48" i="2"/>
  <c r="CG48" i="2"/>
  <c r="CH48" i="2"/>
  <c r="CI48" i="2"/>
  <c r="CJ48" i="2"/>
  <c r="CK48" i="2"/>
  <c r="CL48" i="2"/>
  <c r="CM48" i="2"/>
  <c r="CN48" i="2"/>
  <c r="CO48" i="2"/>
  <c r="CP48" i="2"/>
  <c r="CQ48" i="2"/>
  <c r="CR48" i="2"/>
  <c r="CS48" i="2"/>
  <c r="CT48" i="2"/>
  <c r="CU48" i="2"/>
  <c r="CV48" i="2"/>
  <c r="CW48" i="2"/>
  <c r="CX48" i="2"/>
  <c r="CY48" i="2"/>
  <c r="BR12" i="2"/>
  <c r="BS12" i="2"/>
  <c r="BT12" i="2"/>
  <c r="BU12" i="2"/>
  <c r="BP126" i="2"/>
  <c r="BQ126" i="2"/>
  <c r="BR126" i="2"/>
  <c r="BS126" i="2"/>
  <c r="BT126" i="2"/>
  <c r="BU126" i="2"/>
  <c r="E12" i="2"/>
  <c r="F12" i="2"/>
  <c r="G12" i="2"/>
  <c r="H12" i="2"/>
  <c r="I12" i="2"/>
  <c r="J12" i="2"/>
  <c r="K12" i="2"/>
  <c r="L12" i="2"/>
  <c r="M12" i="2"/>
  <c r="N12" i="2"/>
  <c r="O12" i="2"/>
  <c r="P12" i="2"/>
  <c r="Q12" i="2"/>
  <c r="R12" i="2"/>
  <c r="S12" i="2"/>
  <c r="T12" i="2"/>
  <c r="U12" i="2"/>
  <c r="V12" i="2"/>
  <c r="W12" i="2"/>
  <c r="X12" i="2"/>
  <c r="Y12" i="2"/>
  <c r="Z12" i="2"/>
  <c r="AA12" i="2"/>
  <c r="AB12" i="2"/>
  <c r="AC12" i="2"/>
  <c r="AD12" i="2"/>
  <c r="AE12" i="2"/>
  <c r="AF12" i="2"/>
  <c r="AG12" i="2"/>
  <c r="AH12" i="2"/>
  <c r="AI12" i="2"/>
  <c r="AJ12" i="2"/>
  <c r="AK12" i="2"/>
  <c r="AL12" i="2"/>
  <c r="AN12" i="2"/>
  <c r="AO12" i="2"/>
  <c r="AP12" i="2"/>
  <c r="AQ12" i="2"/>
  <c r="AR12" i="2"/>
  <c r="AS12" i="2"/>
  <c r="AT12" i="2"/>
  <c r="AU12" i="2"/>
  <c r="AV12" i="2"/>
  <c r="AW12" i="2"/>
  <c r="AX12" i="2"/>
  <c r="AZ12" i="2"/>
  <c r="BA12" i="2"/>
  <c r="BB12" i="2"/>
  <c r="E14" i="2"/>
  <c r="F14" i="2"/>
  <c r="G14" i="2"/>
  <c r="H14" i="2"/>
  <c r="I14" i="2"/>
  <c r="J14" i="2"/>
  <c r="K14" i="2"/>
  <c r="L14" i="2"/>
  <c r="M14" i="2"/>
  <c r="N14" i="2"/>
  <c r="O14" i="2"/>
  <c r="P14" i="2"/>
  <c r="Q14" i="2"/>
  <c r="R14" i="2"/>
  <c r="S14" i="2"/>
  <c r="T14" i="2"/>
  <c r="U14" i="2"/>
  <c r="V14" i="2"/>
  <c r="W14" i="2"/>
  <c r="X14" i="2"/>
  <c r="E16" i="2"/>
  <c r="F16" i="2"/>
  <c r="G16" i="2"/>
  <c r="H16" i="2"/>
  <c r="I16" i="2"/>
  <c r="J16" i="2"/>
  <c r="K16" i="2"/>
  <c r="L16" i="2"/>
  <c r="M16" i="2"/>
  <c r="N16" i="2"/>
  <c r="O16" i="2"/>
  <c r="P16" i="2"/>
  <c r="Q16" i="2"/>
  <c r="R16" i="2"/>
  <c r="S16" i="2"/>
  <c r="T16" i="2"/>
  <c r="U16" i="2"/>
  <c r="V16" i="2"/>
  <c r="W16" i="2"/>
  <c r="X16" i="2"/>
  <c r="E18" i="2"/>
  <c r="F18" i="2"/>
  <c r="G18" i="2"/>
  <c r="H18" i="2"/>
  <c r="I18" i="2"/>
  <c r="J18" i="2"/>
  <c r="K18" i="2"/>
  <c r="L18" i="2"/>
  <c r="M18" i="2"/>
  <c r="N18" i="2"/>
  <c r="O18" i="2"/>
  <c r="P18" i="2"/>
  <c r="Q18" i="2"/>
  <c r="R18" i="2"/>
  <c r="S18" i="2"/>
  <c r="T18" i="2"/>
  <c r="U18" i="2"/>
  <c r="V18" i="2"/>
  <c r="W18" i="2"/>
  <c r="X18" i="2"/>
  <c r="E20" i="2"/>
  <c r="F20" i="2"/>
  <c r="G20" i="2"/>
  <c r="H20" i="2"/>
  <c r="I20" i="2"/>
  <c r="J20" i="2"/>
  <c r="K20" i="2"/>
  <c r="L20" i="2"/>
  <c r="M20" i="2"/>
  <c r="N20" i="2"/>
  <c r="O20" i="2"/>
  <c r="P20" i="2"/>
  <c r="Q20" i="2"/>
  <c r="R20" i="2"/>
  <c r="S20" i="2"/>
  <c r="T20" i="2"/>
  <c r="U20" i="2"/>
  <c r="V20" i="2"/>
  <c r="W20" i="2"/>
  <c r="X20" i="2"/>
  <c r="E22" i="2"/>
  <c r="F22" i="2"/>
  <c r="G22" i="2"/>
  <c r="H22" i="2"/>
  <c r="I22" i="2"/>
  <c r="J22" i="2"/>
  <c r="K22" i="2"/>
  <c r="L22" i="2"/>
  <c r="M22" i="2"/>
  <c r="N22" i="2"/>
  <c r="O22" i="2"/>
  <c r="P22" i="2"/>
  <c r="Q22" i="2"/>
  <c r="R22" i="2"/>
  <c r="S22" i="2"/>
  <c r="T22" i="2"/>
  <c r="U22" i="2"/>
  <c r="V22" i="2"/>
  <c r="W22" i="2"/>
  <c r="X22" i="2"/>
  <c r="E24" i="2"/>
  <c r="F24" i="2"/>
  <c r="G24" i="2"/>
  <c r="H24" i="2"/>
  <c r="I24" i="2"/>
  <c r="J24" i="2"/>
  <c r="K24" i="2"/>
  <c r="L24" i="2"/>
  <c r="M24" i="2"/>
  <c r="N24" i="2"/>
  <c r="O24" i="2"/>
  <c r="P24" i="2"/>
  <c r="Q24" i="2"/>
  <c r="R24" i="2"/>
  <c r="S24" i="2"/>
  <c r="T24" i="2"/>
  <c r="U24" i="2"/>
  <c r="V24" i="2"/>
  <c r="W24" i="2"/>
  <c r="X24" i="2"/>
  <c r="E26" i="2"/>
  <c r="F26" i="2"/>
  <c r="G26" i="2"/>
  <c r="H26" i="2"/>
  <c r="I26" i="2"/>
  <c r="J26" i="2"/>
  <c r="K26" i="2"/>
  <c r="L26" i="2"/>
  <c r="M26" i="2"/>
  <c r="N26" i="2"/>
  <c r="O26" i="2"/>
  <c r="P26" i="2"/>
  <c r="Q26" i="2"/>
  <c r="R26" i="2"/>
  <c r="S26" i="2"/>
  <c r="T26" i="2"/>
  <c r="U26" i="2"/>
  <c r="V26" i="2"/>
  <c r="W26" i="2"/>
  <c r="X26" i="2"/>
  <c r="E28" i="2"/>
  <c r="F28" i="2"/>
  <c r="G28" i="2"/>
  <c r="H28" i="2"/>
  <c r="I28" i="2"/>
  <c r="J28" i="2"/>
  <c r="K28" i="2"/>
  <c r="L28" i="2"/>
  <c r="M28" i="2"/>
  <c r="N28" i="2"/>
  <c r="O28" i="2"/>
  <c r="P28" i="2"/>
  <c r="Q28" i="2"/>
  <c r="R28" i="2"/>
  <c r="S28" i="2"/>
  <c r="T28" i="2"/>
  <c r="U28" i="2"/>
  <c r="V28" i="2"/>
  <c r="W28" i="2"/>
  <c r="X28" i="2"/>
  <c r="E30" i="2"/>
  <c r="F30" i="2"/>
  <c r="G30" i="2"/>
  <c r="H30" i="2"/>
  <c r="I30" i="2"/>
  <c r="J30" i="2"/>
  <c r="K30" i="2"/>
  <c r="L30" i="2"/>
  <c r="M30" i="2"/>
  <c r="N30" i="2"/>
  <c r="O30" i="2"/>
  <c r="P30" i="2"/>
  <c r="Q30" i="2"/>
  <c r="R30" i="2"/>
  <c r="S30" i="2"/>
  <c r="T30" i="2"/>
  <c r="U30" i="2"/>
  <c r="V30" i="2"/>
  <c r="W30" i="2"/>
  <c r="X30" i="2"/>
  <c r="E32" i="2"/>
  <c r="F32" i="2"/>
  <c r="G32" i="2"/>
  <c r="H32" i="2"/>
  <c r="I32" i="2"/>
  <c r="J32" i="2"/>
  <c r="K32" i="2"/>
  <c r="L32" i="2"/>
  <c r="M32" i="2"/>
  <c r="N32" i="2"/>
  <c r="O32" i="2"/>
  <c r="P32" i="2"/>
  <c r="Q32" i="2"/>
  <c r="R32" i="2"/>
  <c r="S32" i="2"/>
  <c r="T32" i="2"/>
  <c r="U32" i="2"/>
  <c r="V32" i="2"/>
  <c r="W32" i="2"/>
  <c r="X32" i="2"/>
  <c r="E34" i="2"/>
  <c r="F34" i="2"/>
  <c r="G34" i="2"/>
  <c r="H34" i="2"/>
  <c r="I34" i="2"/>
  <c r="J34" i="2"/>
  <c r="K34" i="2"/>
  <c r="L34" i="2"/>
  <c r="M34" i="2"/>
  <c r="N34" i="2"/>
  <c r="O34" i="2"/>
  <c r="P34" i="2"/>
  <c r="Q34" i="2"/>
  <c r="R34" i="2"/>
  <c r="S34" i="2"/>
  <c r="T34" i="2"/>
  <c r="U34" i="2"/>
  <c r="V34" i="2"/>
  <c r="W34" i="2"/>
  <c r="X34" i="2"/>
  <c r="E36" i="2"/>
  <c r="F36" i="2"/>
  <c r="G36" i="2"/>
  <c r="H36" i="2"/>
  <c r="I36" i="2"/>
  <c r="J36" i="2"/>
  <c r="K36" i="2"/>
  <c r="L36" i="2"/>
  <c r="M36" i="2"/>
  <c r="N36" i="2"/>
  <c r="O36" i="2"/>
  <c r="P36" i="2"/>
  <c r="Q36" i="2"/>
  <c r="R36" i="2"/>
  <c r="S36" i="2"/>
  <c r="T36" i="2"/>
  <c r="U36" i="2"/>
  <c r="V36" i="2"/>
  <c r="W36" i="2"/>
  <c r="X36" i="2"/>
  <c r="E38" i="2"/>
  <c r="F38" i="2"/>
  <c r="G38" i="2"/>
  <c r="H38" i="2"/>
  <c r="I38" i="2"/>
  <c r="J38" i="2"/>
  <c r="K38" i="2"/>
  <c r="L38" i="2"/>
  <c r="M38" i="2"/>
  <c r="N38" i="2"/>
  <c r="O38" i="2"/>
  <c r="P38" i="2"/>
  <c r="Q38" i="2"/>
  <c r="R38" i="2"/>
  <c r="S38" i="2"/>
  <c r="T38" i="2"/>
  <c r="U38" i="2"/>
  <c r="V38" i="2"/>
  <c r="W38" i="2"/>
  <c r="X38" i="2"/>
  <c r="E40" i="2"/>
  <c r="F40" i="2"/>
  <c r="G40" i="2"/>
  <c r="H40" i="2"/>
  <c r="I40" i="2"/>
  <c r="J40" i="2"/>
  <c r="K40" i="2"/>
  <c r="L40" i="2"/>
  <c r="M40" i="2"/>
  <c r="N40" i="2"/>
  <c r="O40" i="2"/>
  <c r="P40" i="2"/>
  <c r="Q40" i="2"/>
  <c r="R40" i="2"/>
  <c r="S40" i="2"/>
  <c r="T40" i="2"/>
  <c r="U40" i="2"/>
  <c r="V40" i="2"/>
  <c r="W40" i="2"/>
  <c r="X40" i="2"/>
  <c r="E42" i="2"/>
  <c r="F42" i="2"/>
  <c r="G42" i="2"/>
  <c r="H42" i="2"/>
  <c r="I42" i="2"/>
  <c r="J42" i="2"/>
  <c r="K42" i="2"/>
  <c r="L42" i="2"/>
  <c r="M42" i="2"/>
  <c r="N42" i="2"/>
  <c r="O42" i="2"/>
  <c r="P42" i="2"/>
  <c r="Q42" i="2"/>
  <c r="R42" i="2"/>
  <c r="S42" i="2"/>
  <c r="T42" i="2"/>
  <c r="U42" i="2"/>
  <c r="V42" i="2"/>
  <c r="W42" i="2"/>
  <c r="X42" i="2"/>
  <c r="E44" i="2"/>
  <c r="F44" i="2"/>
  <c r="G44" i="2"/>
  <c r="H44" i="2"/>
  <c r="I44" i="2"/>
  <c r="J44" i="2"/>
  <c r="K44" i="2"/>
  <c r="L44" i="2"/>
  <c r="M44" i="2"/>
  <c r="N44" i="2"/>
  <c r="O44" i="2"/>
  <c r="P44" i="2"/>
  <c r="Q44" i="2"/>
  <c r="R44" i="2"/>
  <c r="S44" i="2"/>
  <c r="T44" i="2"/>
  <c r="U44" i="2"/>
  <c r="V44" i="2"/>
  <c r="W44" i="2"/>
  <c r="X44" i="2"/>
  <c r="E46" i="2"/>
  <c r="F46" i="2"/>
  <c r="G46" i="2"/>
  <c r="H46" i="2"/>
  <c r="I46" i="2"/>
  <c r="J46" i="2"/>
  <c r="K46" i="2"/>
  <c r="L46" i="2"/>
  <c r="M46" i="2"/>
  <c r="N46" i="2"/>
  <c r="O46" i="2"/>
  <c r="P46" i="2"/>
  <c r="Q46" i="2"/>
  <c r="R46" i="2"/>
  <c r="S46" i="2"/>
  <c r="T46" i="2"/>
  <c r="U46" i="2"/>
  <c r="V46" i="2"/>
  <c r="W46" i="2"/>
  <c r="X46" i="2"/>
  <c r="E48" i="2"/>
  <c r="F48" i="2"/>
  <c r="G48" i="2"/>
  <c r="H48" i="2"/>
  <c r="I48" i="2"/>
  <c r="J48" i="2"/>
  <c r="K48" i="2"/>
  <c r="L48" i="2"/>
  <c r="M48" i="2"/>
  <c r="N48" i="2"/>
  <c r="O48" i="2"/>
  <c r="P48" i="2"/>
  <c r="Q48" i="2"/>
  <c r="R48" i="2"/>
  <c r="S48" i="2"/>
  <c r="T48" i="2"/>
  <c r="U48" i="2"/>
  <c r="V48" i="2"/>
  <c r="W48" i="2"/>
  <c r="X48" i="2"/>
  <c r="E50" i="2"/>
  <c r="F50" i="2"/>
  <c r="G50" i="2"/>
  <c r="H50" i="2"/>
  <c r="I50" i="2"/>
  <c r="J50" i="2"/>
  <c r="K50" i="2"/>
  <c r="L50" i="2"/>
  <c r="M50" i="2"/>
  <c r="N50" i="2"/>
  <c r="O50" i="2"/>
  <c r="P50" i="2"/>
  <c r="Q50" i="2"/>
  <c r="R50" i="2"/>
  <c r="S50" i="2"/>
  <c r="T50" i="2"/>
  <c r="U50" i="2"/>
  <c r="V50" i="2"/>
  <c r="W50" i="2"/>
  <c r="X50" i="2"/>
  <c r="E52" i="2"/>
  <c r="F52" i="2"/>
  <c r="G52" i="2"/>
  <c r="H52" i="2"/>
  <c r="I52" i="2"/>
  <c r="J52" i="2"/>
  <c r="K52" i="2"/>
  <c r="L52" i="2"/>
  <c r="M52" i="2"/>
  <c r="N52" i="2"/>
  <c r="O52" i="2"/>
  <c r="P52" i="2"/>
  <c r="Q52" i="2"/>
  <c r="R52" i="2"/>
  <c r="S52" i="2"/>
  <c r="T52" i="2"/>
  <c r="U52" i="2"/>
  <c r="V52" i="2"/>
  <c r="W52" i="2"/>
  <c r="X52" i="2"/>
  <c r="E54" i="2"/>
  <c r="F54" i="2"/>
  <c r="G54" i="2"/>
  <c r="H54" i="2"/>
  <c r="I54" i="2"/>
  <c r="J54" i="2"/>
  <c r="K54" i="2"/>
  <c r="L54" i="2"/>
  <c r="M54" i="2"/>
  <c r="N54" i="2"/>
  <c r="O54" i="2"/>
  <c r="P54" i="2"/>
  <c r="Q54" i="2"/>
  <c r="R54" i="2"/>
  <c r="S54" i="2"/>
  <c r="T54" i="2"/>
  <c r="U54" i="2"/>
  <c r="V54" i="2"/>
  <c r="W54" i="2"/>
  <c r="X54" i="2"/>
  <c r="E56" i="2"/>
  <c r="F56" i="2"/>
  <c r="G56" i="2"/>
  <c r="H56" i="2"/>
  <c r="I56" i="2"/>
  <c r="J56" i="2"/>
  <c r="K56" i="2"/>
  <c r="L56" i="2"/>
  <c r="M56" i="2"/>
  <c r="N56" i="2"/>
  <c r="O56" i="2"/>
  <c r="P56" i="2"/>
  <c r="Q56" i="2"/>
  <c r="R56" i="2"/>
  <c r="S56" i="2"/>
  <c r="T56" i="2"/>
  <c r="U56" i="2"/>
  <c r="V56" i="2"/>
  <c r="W56" i="2"/>
  <c r="X56" i="2"/>
  <c r="E58" i="2"/>
  <c r="F58" i="2"/>
  <c r="G58" i="2"/>
  <c r="H58" i="2"/>
  <c r="I58" i="2"/>
  <c r="J58" i="2"/>
  <c r="K58" i="2"/>
  <c r="L58" i="2"/>
  <c r="M58" i="2"/>
  <c r="N58" i="2"/>
  <c r="O58" i="2"/>
  <c r="P58" i="2"/>
  <c r="Q58" i="2"/>
  <c r="R58" i="2"/>
  <c r="S58" i="2"/>
  <c r="T58" i="2"/>
  <c r="U58" i="2"/>
  <c r="V58" i="2"/>
  <c r="W58" i="2"/>
  <c r="X58" i="2"/>
  <c r="E60" i="2"/>
  <c r="F60" i="2"/>
  <c r="G60" i="2"/>
  <c r="H60" i="2"/>
  <c r="I60" i="2"/>
  <c r="J60" i="2"/>
  <c r="K60" i="2"/>
  <c r="L60" i="2"/>
  <c r="M60" i="2"/>
  <c r="N60" i="2"/>
  <c r="O60" i="2"/>
  <c r="P60" i="2"/>
  <c r="Q60" i="2"/>
  <c r="R60" i="2"/>
  <c r="S60" i="2"/>
  <c r="T60" i="2"/>
  <c r="U60" i="2"/>
  <c r="V60" i="2"/>
  <c r="W60" i="2"/>
  <c r="X60" i="2"/>
  <c r="E62" i="2"/>
  <c r="F62" i="2"/>
  <c r="G62" i="2"/>
  <c r="H62" i="2"/>
  <c r="I62" i="2"/>
  <c r="J62" i="2"/>
  <c r="K62" i="2"/>
  <c r="L62" i="2"/>
  <c r="M62" i="2"/>
  <c r="N62" i="2"/>
  <c r="O62" i="2"/>
  <c r="P62" i="2"/>
  <c r="Q62" i="2"/>
  <c r="R62" i="2"/>
  <c r="S62" i="2"/>
  <c r="T62" i="2"/>
  <c r="U62" i="2"/>
  <c r="V62" i="2"/>
  <c r="W62" i="2"/>
  <c r="X62" i="2"/>
  <c r="E64" i="2"/>
  <c r="F64" i="2"/>
  <c r="G64" i="2"/>
  <c r="H64" i="2"/>
  <c r="I64" i="2"/>
  <c r="J64" i="2"/>
  <c r="K64" i="2"/>
  <c r="L64" i="2"/>
  <c r="M64" i="2"/>
  <c r="N64" i="2"/>
  <c r="O64" i="2"/>
  <c r="P64" i="2"/>
  <c r="Q64" i="2"/>
  <c r="R64" i="2"/>
  <c r="S64" i="2"/>
  <c r="T64" i="2"/>
  <c r="U64" i="2"/>
  <c r="V64" i="2"/>
  <c r="W64" i="2"/>
  <c r="X64" i="2"/>
  <c r="E66" i="2"/>
  <c r="F66" i="2"/>
  <c r="G66" i="2"/>
  <c r="H66" i="2"/>
  <c r="I66" i="2"/>
  <c r="J66" i="2"/>
  <c r="K66" i="2"/>
  <c r="L66" i="2"/>
  <c r="M66" i="2"/>
  <c r="N66" i="2"/>
  <c r="O66" i="2"/>
  <c r="P66" i="2"/>
  <c r="Q66" i="2"/>
  <c r="R66" i="2"/>
  <c r="S66" i="2"/>
  <c r="T66" i="2"/>
  <c r="U66" i="2"/>
  <c r="V66" i="2"/>
  <c r="W66" i="2"/>
  <c r="X66" i="2"/>
  <c r="E68" i="2"/>
  <c r="F68" i="2"/>
  <c r="G68" i="2"/>
  <c r="H68" i="2"/>
  <c r="I68" i="2"/>
  <c r="J68" i="2"/>
  <c r="K68" i="2"/>
  <c r="L68" i="2"/>
  <c r="M68" i="2"/>
  <c r="N68" i="2"/>
  <c r="O68" i="2"/>
  <c r="P68" i="2"/>
  <c r="Q68" i="2"/>
  <c r="R68" i="2"/>
  <c r="S68" i="2"/>
  <c r="T68" i="2"/>
  <c r="U68" i="2"/>
  <c r="V68" i="2"/>
  <c r="W68" i="2"/>
  <c r="X68" i="2"/>
  <c r="E70" i="2"/>
  <c r="F70" i="2"/>
  <c r="G70" i="2"/>
  <c r="H70" i="2"/>
  <c r="I70" i="2"/>
  <c r="J70" i="2"/>
  <c r="K70" i="2"/>
  <c r="L70" i="2"/>
  <c r="M70" i="2"/>
  <c r="N70" i="2"/>
  <c r="O70" i="2"/>
  <c r="P70" i="2"/>
  <c r="Q70" i="2"/>
  <c r="R70" i="2"/>
  <c r="S70" i="2"/>
  <c r="T70" i="2"/>
  <c r="U70" i="2"/>
  <c r="V70" i="2"/>
  <c r="W70" i="2"/>
  <c r="X70" i="2"/>
  <c r="E72" i="2"/>
  <c r="F72" i="2"/>
  <c r="G72" i="2"/>
  <c r="H72" i="2"/>
  <c r="I72" i="2"/>
  <c r="J72" i="2"/>
  <c r="K72" i="2"/>
  <c r="L72" i="2"/>
  <c r="M72" i="2"/>
  <c r="N72" i="2"/>
  <c r="O72" i="2"/>
  <c r="P72" i="2"/>
  <c r="Q72" i="2"/>
  <c r="R72" i="2"/>
  <c r="S72" i="2"/>
  <c r="T72" i="2"/>
  <c r="U72" i="2"/>
  <c r="V72" i="2"/>
  <c r="W72" i="2"/>
  <c r="X72" i="2"/>
  <c r="E74" i="2"/>
  <c r="F74" i="2"/>
  <c r="G74" i="2"/>
  <c r="H74" i="2"/>
  <c r="I74" i="2"/>
  <c r="J74" i="2"/>
  <c r="K74" i="2"/>
  <c r="L74" i="2"/>
  <c r="M74" i="2"/>
  <c r="N74" i="2"/>
  <c r="O74" i="2"/>
  <c r="P74" i="2"/>
  <c r="Q74" i="2"/>
  <c r="R74" i="2"/>
  <c r="S74" i="2"/>
  <c r="T74" i="2"/>
  <c r="U74" i="2"/>
  <c r="V74" i="2"/>
  <c r="W74" i="2"/>
  <c r="X74" i="2"/>
  <c r="E76" i="2"/>
  <c r="F76" i="2"/>
  <c r="G76" i="2"/>
  <c r="H76" i="2"/>
  <c r="I76" i="2"/>
  <c r="J76" i="2"/>
  <c r="K76" i="2"/>
  <c r="L76" i="2"/>
  <c r="M76" i="2"/>
  <c r="N76" i="2"/>
  <c r="O76" i="2"/>
  <c r="P76" i="2"/>
  <c r="Q76" i="2"/>
  <c r="R76" i="2"/>
  <c r="S76" i="2"/>
  <c r="T76" i="2"/>
  <c r="U76" i="2"/>
  <c r="V76" i="2"/>
  <c r="W76" i="2"/>
  <c r="X76" i="2"/>
  <c r="E78" i="2"/>
  <c r="F78" i="2"/>
  <c r="G78" i="2"/>
  <c r="H78" i="2"/>
  <c r="I78" i="2"/>
  <c r="J78" i="2"/>
  <c r="K78" i="2"/>
  <c r="L78" i="2"/>
  <c r="M78" i="2"/>
  <c r="N78" i="2"/>
  <c r="O78" i="2"/>
  <c r="P78" i="2"/>
  <c r="Q78" i="2"/>
  <c r="R78" i="2"/>
  <c r="S78" i="2"/>
  <c r="T78" i="2"/>
  <c r="U78" i="2"/>
  <c r="V78" i="2"/>
  <c r="W78" i="2"/>
  <c r="X78" i="2"/>
  <c r="E80" i="2"/>
  <c r="F80" i="2"/>
  <c r="G80" i="2"/>
  <c r="H80" i="2"/>
  <c r="I80" i="2"/>
  <c r="J80" i="2"/>
  <c r="K80" i="2"/>
  <c r="L80" i="2"/>
  <c r="M80" i="2"/>
  <c r="N80" i="2"/>
  <c r="O80" i="2"/>
  <c r="P80" i="2"/>
  <c r="Q80" i="2"/>
  <c r="R80" i="2"/>
  <c r="S80" i="2"/>
  <c r="T80" i="2"/>
  <c r="U80" i="2"/>
  <c r="V80" i="2"/>
  <c r="W80" i="2"/>
  <c r="X80" i="2"/>
  <c r="E82" i="2"/>
  <c r="F82" i="2"/>
  <c r="G82" i="2"/>
  <c r="H82" i="2"/>
  <c r="I82" i="2"/>
  <c r="J82" i="2"/>
  <c r="K82" i="2"/>
  <c r="L82" i="2"/>
  <c r="M82" i="2"/>
  <c r="N82" i="2"/>
  <c r="O82" i="2"/>
  <c r="P82" i="2"/>
  <c r="Q82" i="2"/>
  <c r="R82" i="2"/>
  <c r="S82" i="2"/>
  <c r="T82" i="2"/>
  <c r="U82" i="2"/>
  <c r="V82" i="2"/>
  <c r="W82" i="2"/>
  <c r="X82" i="2"/>
  <c r="E84" i="2"/>
  <c r="F84" i="2"/>
  <c r="G84" i="2"/>
  <c r="H84" i="2"/>
  <c r="I84" i="2"/>
  <c r="J84" i="2"/>
  <c r="K84" i="2"/>
  <c r="L84" i="2"/>
  <c r="M84" i="2"/>
  <c r="N84" i="2"/>
  <c r="O84" i="2"/>
  <c r="P84" i="2"/>
  <c r="Q84" i="2"/>
  <c r="R84" i="2"/>
  <c r="S84" i="2"/>
  <c r="T84" i="2"/>
  <c r="U84" i="2"/>
  <c r="V84" i="2"/>
  <c r="W84" i="2"/>
  <c r="X84" i="2"/>
  <c r="E86" i="2"/>
  <c r="F86" i="2"/>
  <c r="G86" i="2"/>
  <c r="H86" i="2"/>
  <c r="I86" i="2"/>
  <c r="J86" i="2"/>
  <c r="K86" i="2"/>
  <c r="L86" i="2"/>
  <c r="M86" i="2"/>
  <c r="N86" i="2"/>
  <c r="O86" i="2"/>
  <c r="P86" i="2"/>
  <c r="Q86" i="2"/>
  <c r="R86" i="2"/>
  <c r="S86" i="2"/>
  <c r="T86" i="2"/>
  <c r="U86" i="2"/>
  <c r="V86" i="2"/>
  <c r="W86" i="2"/>
  <c r="X86" i="2"/>
  <c r="E88" i="2"/>
  <c r="F88" i="2"/>
  <c r="G88" i="2"/>
  <c r="H88" i="2"/>
  <c r="I88" i="2"/>
  <c r="J88" i="2"/>
  <c r="K88" i="2"/>
  <c r="L88" i="2"/>
  <c r="M88" i="2"/>
  <c r="N88" i="2"/>
  <c r="O88" i="2"/>
  <c r="P88" i="2"/>
  <c r="Q88" i="2"/>
  <c r="R88" i="2"/>
  <c r="S88" i="2"/>
  <c r="T88" i="2"/>
  <c r="U88" i="2"/>
  <c r="V88" i="2"/>
  <c r="W88" i="2"/>
  <c r="X88" i="2"/>
  <c r="E90" i="2"/>
  <c r="F90" i="2"/>
  <c r="G90" i="2"/>
  <c r="H90" i="2"/>
  <c r="I90" i="2"/>
  <c r="J90" i="2"/>
  <c r="K90" i="2"/>
  <c r="L90" i="2"/>
  <c r="M90" i="2"/>
  <c r="N90" i="2"/>
  <c r="O90" i="2"/>
  <c r="P90" i="2"/>
  <c r="Q90" i="2"/>
  <c r="R90" i="2"/>
  <c r="S90" i="2"/>
  <c r="T90" i="2"/>
  <c r="U90" i="2"/>
  <c r="V90" i="2"/>
  <c r="W90" i="2"/>
  <c r="X90" i="2"/>
  <c r="E92" i="2"/>
  <c r="F92" i="2"/>
  <c r="G92" i="2"/>
  <c r="H92" i="2"/>
  <c r="I92" i="2"/>
  <c r="J92" i="2"/>
  <c r="K92" i="2"/>
  <c r="L92" i="2"/>
  <c r="M92" i="2"/>
  <c r="N92" i="2"/>
  <c r="O92" i="2"/>
  <c r="P92" i="2"/>
  <c r="Q92" i="2"/>
  <c r="R92" i="2"/>
  <c r="S92" i="2"/>
  <c r="T92" i="2"/>
  <c r="U92" i="2"/>
  <c r="V92" i="2"/>
  <c r="W92" i="2"/>
  <c r="X92" i="2"/>
  <c r="E94" i="2"/>
  <c r="F94" i="2"/>
  <c r="G94" i="2"/>
  <c r="H94" i="2"/>
  <c r="I94" i="2"/>
  <c r="J94" i="2"/>
  <c r="K94" i="2"/>
  <c r="L94" i="2"/>
  <c r="M94" i="2"/>
  <c r="N94" i="2"/>
  <c r="O94" i="2"/>
  <c r="P94" i="2"/>
  <c r="Q94" i="2"/>
  <c r="R94" i="2"/>
  <c r="S94" i="2"/>
  <c r="T94" i="2"/>
  <c r="U94" i="2"/>
  <c r="V94" i="2"/>
  <c r="W94" i="2"/>
  <c r="X94" i="2"/>
  <c r="E96" i="2"/>
  <c r="F96" i="2"/>
  <c r="G96" i="2"/>
  <c r="H96" i="2"/>
  <c r="I96" i="2"/>
  <c r="J96" i="2"/>
  <c r="K96" i="2"/>
  <c r="L96" i="2"/>
  <c r="M96" i="2"/>
  <c r="N96" i="2"/>
  <c r="O96" i="2"/>
  <c r="P96" i="2"/>
  <c r="Q96" i="2"/>
  <c r="R96" i="2"/>
  <c r="S96" i="2"/>
  <c r="T96" i="2"/>
  <c r="U96" i="2"/>
  <c r="V96" i="2"/>
  <c r="W96" i="2"/>
  <c r="X96" i="2"/>
  <c r="E98" i="2"/>
  <c r="F98" i="2"/>
  <c r="G98" i="2"/>
  <c r="H98" i="2"/>
  <c r="I98" i="2"/>
  <c r="J98" i="2"/>
  <c r="K98" i="2"/>
  <c r="L98" i="2"/>
  <c r="M98" i="2"/>
  <c r="N98" i="2"/>
  <c r="O98" i="2"/>
  <c r="P98" i="2"/>
  <c r="Q98" i="2"/>
  <c r="R98" i="2"/>
  <c r="S98" i="2"/>
  <c r="T98" i="2"/>
  <c r="U98" i="2"/>
  <c r="V98" i="2"/>
  <c r="W98" i="2"/>
  <c r="X98" i="2"/>
  <c r="E100" i="2"/>
  <c r="F100" i="2"/>
  <c r="G100" i="2"/>
  <c r="H100" i="2"/>
  <c r="I100" i="2"/>
  <c r="J100" i="2"/>
  <c r="K100" i="2"/>
  <c r="L100" i="2"/>
  <c r="M100" i="2"/>
  <c r="N100" i="2"/>
  <c r="O100" i="2"/>
  <c r="P100" i="2"/>
  <c r="Q100" i="2"/>
  <c r="R100" i="2"/>
  <c r="S100" i="2"/>
  <c r="T100" i="2"/>
  <c r="U100" i="2"/>
  <c r="V100" i="2"/>
  <c r="W100" i="2"/>
  <c r="X100" i="2"/>
  <c r="E102" i="2"/>
  <c r="F102" i="2"/>
  <c r="G102" i="2"/>
  <c r="H102" i="2"/>
  <c r="I102" i="2"/>
  <c r="J102" i="2"/>
  <c r="K102" i="2"/>
  <c r="L102" i="2"/>
  <c r="M102" i="2"/>
  <c r="N102" i="2"/>
  <c r="O102" i="2"/>
  <c r="P102" i="2"/>
  <c r="Q102" i="2"/>
  <c r="R102" i="2"/>
  <c r="S102" i="2"/>
  <c r="T102" i="2"/>
  <c r="U102" i="2"/>
  <c r="V102" i="2"/>
  <c r="W102" i="2"/>
  <c r="X102" i="2"/>
  <c r="E104" i="2"/>
  <c r="F104" i="2"/>
  <c r="G104" i="2"/>
  <c r="H104" i="2"/>
  <c r="I104" i="2"/>
  <c r="J104" i="2"/>
  <c r="K104" i="2"/>
  <c r="L104" i="2"/>
  <c r="M104" i="2"/>
  <c r="N104" i="2"/>
  <c r="O104" i="2"/>
  <c r="P104" i="2"/>
  <c r="Q104" i="2"/>
  <c r="R104" i="2"/>
  <c r="S104" i="2"/>
  <c r="T104" i="2"/>
  <c r="U104" i="2"/>
  <c r="V104" i="2"/>
  <c r="W104" i="2"/>
  <c r="X104" i="2"/>
  <c r="E106" i="2"/>
  <c r="F106" i="2"/>
  <c r="G106" i="2"/>
  <c r="H106" i="2"/>
  <c r="I106" i="2"/>
  <c r="J106" i="2"/>
  <c r="K106" i="2"/>
  <c r="L106" i="2"/>
  <c r="M106" i="2"/>
  <c r="N106" i="2"/>
  <c r="O106" i="2"/>
  <c r="P106" i="2"/>
  <c r="Q106" i="2"/>
  <c r="R106" i="2"/>
  <c r="S106" i="2"/>
  <c r="T106" i="2"/>
  <c r="U106" i="2"/>
  <c r="V106" i="2"/>
  <c r="W106" i="2"/>
  <c r="X106" i="2"/>
  <c r="E108" i="2"/>
  <c r="F108" i="2"/>
  <c r="G108" i="2"/>
  <c r="H108" i="2"/>
  <c r="I108" i="2"/>
  <c r="J108" i="2"/>
  <c r="K108" i="2"/>
  <c r="L108" i="2"/>
  <c r="M108" i="2"/>
  <c r="N108" i="2"/>
  <c r="O108" i="2"/>
  <c r="P108" i="2"/>
  <c r="Q108" i="2"/>
  <c r="R108" i="2"/>
  <c r="S108" i="2"/>
  <c r="T108" i="2"/>
  <c r="U108" i="2"/>
  <c r="V108" i="2"/>
  <c r="W108" i="2"/>
  <c r="X108" i="2"/>
  <c r="E110" i="2"/>
  <c r="F110" i="2"/>
  <c r="G110" i="2"/>
  <c r="H110" i="2"/>
  <c r="I110" i="2"/>
  <c r="J110" i="2"/>
  <c r="K110" i="2"/>
  <c r="L110" i="2"/>
  <c r="M110" i="2"/>
  <c r="N110" i="2"/>
  <c r="O110" i="2"/>
  <c r="P110" i="2"/>
  <c r="Q110" i="2"/>
  <c r="R110" i="2"/>
  <c r="S110" i="2"/>
  <c r="T110" i="2"/>
  <c r="U110" i="2"/>
  <c r="V110" i="2"/>
  <c r="W110" i="2"/>
  <c r="X110" i="2"/>
  <c r="E112" i="2"/>
  <c r="F112" i="2"/>
  <c r="G112" i="2"/>
  <c r="H112" i="2"/>
  <c r="I112" i="2"/>
  <c r="J112" i="2"/>
  <c r="K112" i="2"/>
  <c r="L112" i="2"/>
  <c r="M112" i="2"/>
  <c r="N112" i="2"/>
  <c r="O112" i="2"/>
  <c r="P112" i="2"/>
  <c r="Q112" i="2"/>
  <c r="R112" i="2"/>
  <c r="S112" i="2"/>
  <c r="T112" i="2"/>
  <c r="U112" i="2"/>
  <c r="V112" i="2"/>
  <c r="W112" i="2"/>
  <c r="X112" i="2"/>
  <c r="E114" i="2"/>
  <c r="F114" i="2"/>
  <c r="G114" i="2"/>
  <c r="H114" i="2"/>
  <c r="I114" i="2"/>
  <c r="J114" i="2"/>
  <c r="K114" i="2"/>
  <c r="L114" i="2"/>
  <c r="M114" i="2"/>
  <c r="N114" i="2"/>
  <c r="O114" i="2"/>
  <c r="P114" i="2"/>
  <c r="Q114" i="2"/>
  <c r="R114" i="2"/>
  <c r="S114" i="2"/>
  <c r="T114" i="2"/>
  <c r="U114" i="2"/>
  <c r="V114" i="2"/>
  <c r="W114" i="2"/>
  <c r="X114" i="2"/>
  <c r="E116" i="2"/>
  <c r="F116" i="2"/>
  <c r="G116" i="2"/>
  <c r="H116" i="2"/>
  <c r="I116" i="2"/>
  <c r="J116" i="2"/>
  <c r="K116" i="2"/>
  <c r="L116" i="2"/>
  <c r="M116" i="2"/>
  <c r="N116" i="2"/>
  <c r="O116" i="2"/>
  <c r="P116" i="2"/>
  <c r="Q116" i="2"/>
  <c r="R116" i="2"/>
  <c r="S116" i="2"/>
  <c r="T116" i="2"/>
  <c r="U116" i="2"/>
  <c r="V116" i="2"/>
  <c r="W116" i="2"/>
  <c r="X116" i="2"/>
  <c r="E118" i="2"/>
  <c r="F118" i="2"/>
  <c r="G118" i="2"/>
  <c r="H118" i="2"/>
  <c r="I118" i="2"/>
  <c r="J118" i="2"/>
  <c r="K118" i="2"/>
  <c r="L118" i="2"/>
  <c r="M118" i="2"/>
  <c r="N118" i="2"/>
  <c r="O118" i="2"/>
  <c r="P118" i="2"/>
  <c r="Q118" i="2"/>
  <c r="R118" i="2"/>
  <c r="S118" i="2"/>
  <c r="T118" i="2"/>
  <c r="U118" i="2"/>
  <c r="V118" i="2"/>
  <c r="W118" i="2"/>
  <c r="X118" i="2"/>
  <c r="E120" i="2"/>
  <c r="F120" i="2"/>
  <c r="G120" i="2"/>
  <c r="H120" i="2"/>
  <c r="I120" i="2"/>
  <c r="J120" i="2"/>
  <c r="K120" i="2"/>
  <c r="L120" i="2"/>
  <c r="M120" i="2"/>
  <c r="N120" i="2"/>
  <c r="O120" i="2"/>
  <c r="P120" i="2"/>
  <c r="Q120" i="2"/>
  <c r="R120" i="2"/>
  <c r="S120" i="2"/>
  <c r="T120" i="2"/>
  <c r="U120" i="2"/>
  <c r="V120" i="2"/>
  <c r="W120" i="2"/>
  <c r="X120" i="2"/>
  <c r="E122" i="2"/>
  <c r="F122" i="2"/>
  <c r="G122" i="2"/>
  <c r="H122" i="2"/>
  <c r="I122" i="2"/>
  <c r="J122" i="2"/>
  <c r="K122" i="2"/>
  <c r="L122" i="2"/>
  <c r="M122" i="2"/>
  <c r="N122" i="2"/>
  <c r="O122" i="2"/>
  <c r="P122" i="2"/>
  <c r="Q122" i="2"/>
  <c r="R122" i="2"/>
  <c r="S122" i="2"/>
  <c r="T122" i="2"/>
  <c r="U122" i="2"/>
  <c r="V122" i="2"/>
  <c r="W122" i="2"/>
  <c r="X122" i="2"/>
  <c r="E124" i="2"/>
  <c r="F124" i="2"/>
  <c r="G124" i="2"/>
  <c r="H124" i="2"/>
  <c r="I124" i="2"/>
  <c r="J124" i="2"/>
  <c r="K124" i="2"/>
  <c r="L124" i="2"/>
  <c r="M124" i="2"/>
  <c r="N124" i="2"/>
  <c r="O124" i="2"/>
  <c r="P124" i="2"/>
  <c r="Q124" i="2"/>
  <c r="R124" i="2"/>
  <c r="S124" i="2"/>
  <c r="T124" i="2"/>
  <c r="U124" i="2"/>
  <c r="V124" i="2"/>
  <c r="W124" i="2"/>
  <c r="X124" i="2"/>
  <c r="E126" i="2"/>
  <c r="F126" i="2"/>
  <c r="G126" i="2"/>
  <c r="H126" i="2"/>
  <c r="I126" i="2"/>
  <c r="J126" i="2"/>
  <c r="K126" i="2"/>
  <c r="L126" i="2"/>
  <c r="M126" i="2"/>
  <c r="N126" i="2"/>
  <c r="O126" i="2"/>
  <c r="P126" i="2"/>
  <c r="Q126" i="2"/>
  <c r="R126" i="2"/>
  <c r="S126" i="2"/>
  <c r="T126" i="2"/>
  <c r="U126" i="2"/>
  <c r="V126" i="2"/>
  <c r="W126" i="2"/>
  <c r="X126" i="2"/>
  <c r="Y126" i="2"/>
  <c r="Z126" i="2"/>
  <c r="AA126" i="2"/>
  <c r="AB126" i="2"/>
  <c r="AC126" i="2"/>
  <c r="AD126" i="2"/>
  <c r="AE126" i="2"/>
  <c r="AF126" i="2"/>
  <c r="AG126" i="2"/>
  <c r="AH126" i="2"/>
  <c r="AI126" i="2"/>
  <c r="AJ126" i="2"/>
  <c r="AK126" i="2"/>
  <c r="AL126" i="2"/>
  <c r="AM126" i="2"/>
  <c r="AN126" i="2"/>
  <c r="D14" i="2"/>
  <c r="D16" i="2"/>
  <c r="D18" i="2"/>
  <c r="D20" i="2"/>
  <c r="D22" i="2"/>
  <c r="D24" i="2"/>
  <c r="D26" i="2"/>
  <c r="D28" i="2"/>
  <c r="D30" i="2"/>
  <c r="D32" i="2"/>
  <c r="D34" i="2"/>
  <c r="D36" i="2"/>
  <c r="D38" i="2"/>
  <c r="D40" i="2"/>
  <c r="D42" i="2"/>
  <c r="D44" i="2"/>
  <c r="D46" i="2"/>
  <c r="D48" i="2"/>
  <c r="D50" i="2"/>
  <c r="D52" i="2"/>
  <c r="D54" i="2"/>
  <c r="D56" i="2"/>
  <c r="D58" i="2"/>
  <c r="D60" i="2"/>
  <c r="D62" i="2"/>
  <c r="D64" i="2"/>
  <c r="D66" i="2"/>
  <c r="D68" i="2"/>
  <c r="D70" i="2"/>
  <c r="D72" i="2"/>
  <c r="D74" i="2"/>
  <c r="D76" i="2"/>
  <c r="D78" i="2"/>
  <c r="D80" i="2"/>
  <c r="D82" i="2"/>
  <c r="D84" i="2"/>
  <c r="D86" i="2"/>
  <c r="D88" i="2"/>
  <c r="D90" i="2"/>
  <c r="D92" i="2"/>
  <c r="D94" i="2"/>
  <c r="D96" i="2"/>
  <c r="D98" i="2"/>
  <c r="D100" i="2"/>
  <c r="D102" i="2"/>
  <c r="D104" i="2"/>
  <c r="D106" i="2"/>
  <c r="D108" i="2"/>
  <c r="D110" i="2"/>
  <c r="D112" i="2"/>
  <c r="D114" i="2"/>
  <c r="D116" i="2"/>
  <c r="D118" i="2"/>
  <c r="D120" i="2"/>
  <c r="D122" i="2"/>
  <c r="D124" i="2"/>
  <c r="D126" i="2"/>
  <c r="D12" i="2"/>
  <c r="CX10" i="2"/>
  <c r="CW10" i="2" s="1"/>
  <c r="CV10" i="2" s="1"/>
  <c r="CU10" i="2" s="1"/>
  <c r="CT10" i="2" s="1"/>
  <c r="CS10" i="2" s="1"/>
  <c r="CR10" i="2" s="1"/>
  <c r="CQ10" i="2" s="1"/>
  <c r="CP10" i="2" s="1"/>
  <c r="CO10" i="2" s="1"/>
  <c r="CN10" i="2" s="1"/>
  <c r="CM10" i="2" s="1"/>
  <c r="CL10" i="2" s="1"/>
  <c r="CK10" i="2" s="1"/>
  <c r="CJ10" i="2" s="1"/>
  <c r="CI10" i="2" s="1"/>
  <c r="CH10" i="2" s="1"/>
  <c r="CG10" i="2" s="1"/>
  <c r="CF10" i="2" s="1"/>
  <c r="CE10" i="2" s="1"/>
  <c r="CD10" i="2" s="1"/>
  <c r="CC10" i="2" s="1"/>
  <c r="CB10" i="2" s="1"/>
  <c r="CA10" i="2" s="1"/>
  <c r="BZ10" i="2" s="1"/>
  <c r="BY10" i="2" s="1"/>
  <c r="BX10" i="2" s="1"/>
  <c r="BW10" i="2" s="1"/>
  <c r="BV10" i="2" s="1"/>
  <c r="BU10" i="2" s="1"/>
  <c r="BT10" i="2" s="1"/>
  <c r="BS10" i="2" s="1"/>
  <c r="BR10" i="2" s="1"/>
  <c r="BQ10" i="2" s="1"/>
  <c r="BP10" i="2" s="1"/>
  <c r="BO10" i="2" s="1"/>
  <c r="BN10" i="2" s="1"/>
  <c r="BM10" i="2" s="1"/>
  <c r="BL10" i="2" s="1"/>
  <c r="BK10" i="2" s="1"/>
  <c r="BJ10" i="2" s="1"/>
  <c r="BI10" i="2" s="1"/>
  <c r="BH10" i="2" s="1"/>
  <c r="BG10" i="2" s="1"/>
  <c r="BF10" i="2" s="1"/>
  <c r="BE10" i="2" s="1"/>
  <c r="BD10" i="2" s="1"/>
  <c r="BC10" i="2" s="1"/>
  <c r="BB10" i="2" s="1"/>
  <c r="BA10" i="2" s="1"/>
  <c r="AZ10" i="2" s="1"/>
  <c r="AY10" i="2" s="1"/>
  <c r="AX10" i="2" s="1"/>
  <c r="AW10" i="2" s="1"/>
  <c r="AV10" i="2" s="1"/>
  <c r="AU10" i="2" s="1"/>
  <c r="AT10" i="2" s="1"/>
  <c r="AS10" i="2" s="1"/>
  <c r="AR10" i="2" s="1"/>
  <c r="AQ10" i="2" s="1"/>
  <c r="AP10" i="2" s="1"/>
  <c r="AO10" i="2" s="1"/>
  <c r="AN10" i="2" s="1"/>
  <c r="AM10" i="2" s="1"/>
  <c r="AL10" i="2" s="1"/>
  <c r="AK10" i="2" s="1"/>
  <c r="AJ10" i="2" s="1"/>
  <c r="AI10" i="2" s="1"/>
  <c r="AH10" i="2" s="1"/>
  <c r="AG10" i="2" s="1"/>
  <c r="AF10" i="2" s="1"/>
  <c r="AE10" i="2" s="1"/>
  <c r="AD10" i="2" s="1"/>
  <c r="AC10" i="2" s="1"/>
  <c r="AB10" i="2" s="1"/>
  <c r="AA10" i="2" s="1"/>
  <c r="Z10" i="2" s="1"/>
  <c r="Y10" i="2" s="1"/>
  <c r="X10" i="2" s="1"/>
  <c r="W10" i="2" s="1"/>
  <c r="V10" i="2" s="1"/>
  <c r="U10" i="2" s="1"/>
  <c r="T10" i="2" s="1"/>
  <c r="S10" i="2" s="1"/>
  <c r="R10" i="2" s="1"/>
  <c r="Q10" i="2" s="1"/>
  <c r="P10" i="2" s="1"/>
  <c r="O10" i="2" s="1"/>
  <c r="N10" i="2" s="1"/>
  <c r="M10" i="2" s="1"/>
  <c r="L10" i="2" s="1"/>
  <c r="K10" i="2" s="1"/>
  <c r="J10" i="2" s="1"/>
  <c r="I10" i="2" s="1"/>
  <c r="H10" i="2" s="1"/>
  <c r="G10" i="2" s="1"/>
  <c r="F10" i="2" s="1"/>
  <c r="E10" i="2" s="1"/>
  <c r="D10" i="2" s="1"/>
  <c r="C10" i="2" s="1"/>
  <c r="A2" i="15" s="1" a="1"/>
  <c r="B123" i="2"/>
  <c r="B121" i="2" s="1"/>
  <c r="B119" i="2" s="1"/>
  <c r="B117" i="2" s="1"/>
  <c r="B115" i="2" s="1"/>
  <c r="B113" i="2" s="1"/>
  <c r="B111" i="2" s="1"/>
  <c r="B109" i="2" s="1"/>
  <c r="B107" i="2" s="1"/>
  <c r="B105" i="2" s="1"/>
  <c r="B103" i="2" s="1"/>
  <c r="B101" i="2" s="1"/>
  <c r="B99" i="2" s="1"/>
  <c r="B97" i="2" s="1"/>
  <c r="B95" i="2" s="1"/>
  <c r="B93" i="2" s="1"/>
  <c r="B91" i="2" s="1"/>
  <c r="B89" i="2" s="1"/>
  <c r="B87" i="2" s="1"/>
  <c r="B85" i="2" s="1"/>
  <c r="B83" i="2" s="1"/>
  <c r="B81" i="2" s="1"/>
  <c r="B79" i="2" s="1"/>
  <c r="B77" i="2" s="1"/>
  <c r="B75" i="2" s="1"/>
  <c r="B73" i="2" s="1"/>
  <c r="B71" i="2" s="1"/>
  <c r="B69" i="2" s="1"/>
  <c r="B67" i="2" s="1"/>
  <c r="B65" i="2" s="1"/>
  <c r="B63" i="2" s="1"/>
  <c r="B61" i="2" s="1"/>
  <c r="B59" i="2" s="1"/>
  <c r="B57" i="2" s="1"/>
  <c r="B55" i="2" s="1"/>
  <c r="B53" i="2" s="1"/>
  <c r="B51" i="2" s="1"/>
  <c r="B49" i="2" s="1"/>
  <c r="B47" i="2" s="1"/>
  <c r="B45" i="2" s="1"/>
  <c r="B43" i="2" s="1"/>
  <c r="B41" i="2" s="1"/>
  <c r="B39" i="2" s="1"/>
  <c r="B37" i="2" s="1"/>
  <c r="B35" i="2" s="1"/>
  <c r="B33" i="2" s="1"/>
  <c r="B31" i="2" s="1"/>
  <c r="B29" i="2" s="1"/>
  <c r="B27" i="2" s="1"/>
  <c r="B25" i="2" s="1"/>
  <c r="B23" i="2" s="1"/>
  <c r="B21" i="2" s="1"/>
  <c r="B19" i="2" s="1"/>
  <c r="B17" i="2" s="1"/>
  <c r="B15" i="2" s="1"/>
  <c r="B13" i="2" s="1"/>
  <c r="B11" i="2" s="1"/>
  <c r="CY60" i="2"/>
  <c r="CX60" i="2"/>
  <c r="CW60" i="2"/>
  <c r="CV60" i="2"/>
  <c r="CU60" i="2"/>
  <c r="CT60" i="2"/>
  <c r="CS60" i="2"/>
  <c r="CR60" i="2"/>
  <c r="CQ60" i="2"/>
  <c r="CP60" i="2"/>
  <c r="CO60" i="2"/>
  <c r="CN60" i="2"/>
  <c r="CM60" i="2"/>
  <c r="CL60" i="2"/>
  <c r="CK60" i="2"/>
  <c r="CJ60" i="2"/>
  <c r="CI60" i="2"/>
  <c r="CH60" i="2"/>
  <c r="CG60" i="2"/>
  <c r="CF60" i="2"/>
  <c r="CE60" i="2"/>
  <c r="CD60" i="2"/>
  <c r="CY58" i="2"/>
  <c r="CX58" i="2"/>
  <c r="CW58" i="2"/>
  <c r="CV58" i="2"/>
  <c r="CU58" i="2"/>
  <c r="CT58" i="2"/>
  <c r="CS58" i="2"/>
  <c r="CR58" i="2"/>
  <c r="CQ58" i="2"/>
  <c r="CP58" i="2"/>
  <c r="CO58" i="2"/>
  <c r="CN58" i="2"/>
  <c r="CM58" i="2"/>
  <c r="CL58" i="2"/>
  <c r="CK58" i="2"/>
  <c r="CJ58" i="2"/>
  <c r="CI58" i="2"/>
  <c r="CH58" i="2"/>
  <c r="CG58" i="2"/>
  <c r="CF58" i="2"/>
  <c r="CE58" i="2"/>
  <c r="CD58" i="2"/>
  <c r="CY56" i="2"/>
  <c r="CX56" i="2"/>
  <c r="CW56" i="2"/>
  <c r="CV56" i="2"/>
  <c r="CU56" i="2"/>
  <c r="CT56" i="2"/>
  <c r="CS56" i="2"/>
  <c r="CR56" i="2"/>
  <c r="CQ56" i="2"/>
  <c r="CP56" i="2"/>
  <c r="CO56" i="2"/>
  <c r="CN56" i="2"/>
  <c r="CM56" i="2"/>
  <c r="CL56" i="2"/>
  <c r="CK56" i="2"/>
  <c r="CJ56" i="2"/>
  <c r="CI56" i="2"/>
  <c r="CH56" i="2"/>
  <c r="CG56" i="2"/>
  <c r="CF56" i="2"/>
  <c r="CE56" i="2"/>
  <c r="CD56" i="2"/>
  <c r="CY54" i="2"/>
  <c r="CX54" i="2"/>
  <c r="CW54" i="2"/>
  <c r="CV54" i="2"/>
  <c r="CU54" i="2"/>
  <c r="CT54" i="2"/>
  <c r="CS54" i="2"/>
  <c r="CR54" i="2"/>
  <c r="CQ54" i="2"/>
  <c r="CP54" i="2"/>
  <c r="CO54" i="2"/>
  <c r="CN54" i="2"/>
  <c r="CM54" i="2"/>
  <c r="CL54" i="2"/>
  <c r="CK54" i="2"/>
  <c r="CJ54" i="2"/>
  <c r="CI54" i="2"/>
  <c r="CH54" i="2"/>
  <c r="CG54" i="2"/>
  <c r="CF54" i="2"/>
  <c r="CE54" i="2"/>
  <c r="CD54" i="2"/>
  <c r="CY52" i="2"/>
  <c r="CX52" i="2"/>
  <c r="CW52" i="2"/>
  <c r="CV52" i="2"/>
  <c r="CU52" i="2"/>
  <c r="CT52" i="2"/>
  <c r="CS52" i="2"/>
  <c r="CR52" i="2"/>
  <c r="CQ52" i="2"/>
  <c r="CP52" i="2"/>
  <c r="CO52" i="2"/>
  <c r="CN52" i="2"/>
  <c r="CM52" i="2"/>
  <c r="CL52" i="2"/>
  <c r="CK52" i="2"/>
  <c r="CJ52" i="2"/>
  <c r="CI52" i="2"/>
  <c r="CH52" i="2"/>
  <c r="CG52" i="2"/>
  <c r="CF52" i="2"/>
  <c r="CE52" i="2"/>
  <c r="CD52" i="2"/>
  <c r="CY50" i="2"/>
  <c r="CX50" i="2"/>
  <c r="CW50" i="2"/>
  <c r="CV50" i="2"/>
  <c r="CU50" i="2"/>
  <c r="CT50" i="2"/>
  <c r="CS50" i="2"/>
  <c r="CR50" i="2"/>
  <c r="CQ50" i="2"/>
  <c r="CP50" i="2"/>
  <c r="CO50" i="2"/>
  <c r="CN50" i="2"/>
  <c r="CM50" i="2"/>
  <c r="CL50" i="2"/>
  <c r="CK50" i="2"/>
  <c r="CJ50" i="2"/>
  <c r="CI50" i="2"/>
  <c r="CH50" i="2"/>
  <c r="CG50" i="2"/>
  <c r="CF50" i="2"/>
  <c r="CE50" i="2"/>
  <c r="CD50" i="2"/>
  <c r="A90" i="15" l="1"/>
  <c r="A48" i="15"/>
  <c r="A64" i="15"/>
  <c r="A58" i="15"/>
  <c r="A42" i="15"/>
  <c r="A32" i="15"/>
  <c r="A97" i="15"/>
  <c r="A26" i="15"/>
  <c r="A80" i="15"/>
  <c r="A16" i="15"/>
  <c r="A74" i="15"/>
  <c r="A10" i="15"/>
  <c r="A76" i="15"/>
  <c r="A60" i="15"/>
  <c r="A44" i="15"/>
  <c r="A28" i="15"/>
  <c r="A12" i="15"/>
  <c r="A96" i="15"/>
  <c r="A73" i="15"/>
  <c r="A57" i="15"/>
  <c r="A41" i="15"/>
  <c r="A25" i="15"/>
  <c r="A9" i="15"/>
  <c r="A89" i="15"/>
  <c r="A72" i="15"/>
  <c r="A56" i="15"/>
  <c r="A40" i="15"/>
  <c r="A24" i="15"/>
  <c r="A8" i="15"/>
  <c r="A88" i="15"/>
  <c r="A68" i="15"/>
  <c r="A52" i="15"/>
  <c r="A36" i="15"/>
  <c r="A20" i="15"/>
  <c r="A5" i="15"/>
  <c r="A82" i="15"/>
  <c r="A66" i="15"/>
  <c r="A50" i="15"/>
  <c r="A34" i="15"/>
  <c r="A18" i="15"/>
  <c r="A4" i="15"/>
  <c r="A81" i="15"/>
  <c r="A65" i="15"/>
  <c r="A49" i="15"/>
  <c r="A33" i="15"/>
  <c r="A17" i="15"/>
  <c r="A2" i="15"/>
  <c r="A95" i="15"/>
  <c r="A87" i="15"/>
  <c r="A79" i="15"/>
  <c r="A71" i="15"/>
  <c r="A63" i="15"/>
  <c r="A55" i="15"/>
  <c r="A47" i="15"/>
  <c r="A39" i="15"/>
  <c r="A31" i="15"/>
  <c r="A23" i="15"/>
  <c r="A15" i="15"/>
  <c r="A7" i="15"/>
  <c r="A102" i="15"/>
  <c r="A94" i="15"/>
  <c r="A86" i="15"/>
  <c r="A78" i="15"/>
  <c r="A70" i="15"/>
  <c r="A62" i="15"/>
  <c r="A54" i="15"/>
  <c r="A46" i="15"/>
  <c r="A38" i="15"/>
  <c r="A30" i="15"/>
  <c r="A22" i="15"/>
  <c r="A14" i="15"/>
  <c r="A6" i="15"/>
  <c r="A101" i="15"/>
  <c r="A93" i="15"/>
  <c r="A85" i="15"/>
  <c r="A77" i="15"/>
  <c r="A69" i="15"/>
  <c r="A61" i="15"/>
  <c r="A53" i="15"/>
  <c r="A45" i="15"/>
  <c r="A37" i="15"/>
  <c r="A29" i="15"/>
  <c r="A21" i="15"/>
  <c r="A13" i="15"/>
  <c r="A100" i="15"/>
  <c r="A92" i="15"/>
  <c r="A84" i="15"/>
  <c r="A99" i="15"/>
  <c r="A91" i="15"/>
  <c r="A83" i="15"/>
  <c r="A75" i="15"/>
  <c r="A67" i="15"/>
  <c r="A59" i="15"/>
  <c r="A51" i="15"/>
  <c r="A43" i="15"/>
  <c r="A35" i="15"/>
  <c r="A27" i="15"/>
  <c r="A19" i="15"/>
  <c r="A11" i="15"/>
  <c r="A3" i="15"/>
  <c r="A98" i="15"/>
  <c r="CD62" i="2"/>
  <c r="CE62" i="2"/>
  <c r="CF62" i="2"/>
  <c r="CG62" i="2"/>
  <c r="CH62" i="2"/>
  <c r="CI62" i="2"/>
  <c r="CJ62" i="2"/>
  <c r="CK62" i="2"/>
  <c r="CL62" i="2"/>
  <c r="CM62" i="2"/>
  <c r="CN62" i="2"/>
  <c r="CO62" i="2"/>
  <c r="CP62" i="2"/>
  <c r="CQ62" i="2"/>
  <c r="CR62" i="2"/>
  <c r="CS62" i="2"/>
  <c r="CT62" i="2"/>
  <c r="CU62" i="2"/>
  <c r="CV62" i="2"/>
  <c r="CW62" i="2"/>
  <c r="CX62" i="2"/>
  <c r="CY62" i="2"/>
  <c r="CD64" i="2"/>
  <c r="CE64" i="2"/>
  <c r="CF64" i="2"/>
  <c r="CG64" i="2"/>
  <c r="CH64" i="2"/>
  <c r="CI64" i="2"/>
  <c r="CJ64" i="2"/>
  <c r="CK64" i="2"/>
  <c r="CL64" i="2"/>
  <c r="CM64" i="2"/>
  <c r="CN64" i="2"/>
  <c r="CO64" i="2"/>
  <c r="CP64" i="2"/>
  <c r="CQ64" i="2"/>
  <c r="CR64" i="2"/>
  <c r="CS64" i="2"/>
  <c r="CT64" i="2"/>
  <c r="CU64" i="2"/>
  <c r="CV64" i="2"/>
  <c r="CW64" i="2"/>
  <c r="CX64" i="2"/>
  <c r="CY64" i="2"/>
  <c r="CD66" i="2"/>
  <c r="CE66" i="2"/>
  <c r="CF66" i="2"/>
  <c r="CG66" i="2"/>
  <c r="CH66" i="2"/>
  <c r="CI66" i="2"/>
  <c r="CJ66" i="2"/>
  <c r="CK66" i="2"/>
  <c r="CL66" i="2"/>
  <c r="CM66" i="2"/>
  <c r="CN66" i="2"/>
  <c r="CO66" i="2"/>
  <c r="CP66" i="2"/>
  <c r="CQ66" i="2"/>
  <c r="CR66" i="2"/>
  <c r="CS66" i="2"/>
  <c r="CT66" i="2"/>
  <c r="CU66" i="2"/>
  <c r="CV66" i="2"/>
  <c r="CW66" i="2"/>
  <c r="CX66" i="2"/>
  <c r="CY66" i="2"/>
  <c r="CD68" i="2"/>
  <c r="CE68" i="2"/>
  <c r="CF68" i="2"/>
  <c r="CG68" i="2"/>
  <c r="CH68" i="2"/>
  <c r="CI68" i="2"/>
  <c r="CJ68" i="2"/>
  <c r="CK68" i="2"/>
  <c r="CL68" i="2"/>
  <c r="CM68" i="2"/>
  <c r="CN68" i="2"/>
  <c r="CO68" i="2"/>
  <c r="CP68" i="2"/>
  <c r="CQ68" i="2"/>
  <c r="CR68" i="2"/>
  <c r="CS68" i="2"/>
  <c r="CT68" i="2"/>
  <c r="CU68" i="2"/>
  <c r="CV68" i="2"/>
  <c r="CW68" i="2"/>
  <c r="CX68" i="2"/>
  <c r="CY68" i="2"/>
  <c r="CD70" i="2"/>
  <c r="CE70" i="2"/>
  <c r="CF70" i="2"/>
  <c r="CG70" i="2"/>
  <c r="CH70" i="2"/>
  <c r="CI70" i="2"/>
  <c r="CJ70" i="2"/>
  <c r="CK70" i="2"/>
  <c r="CL70" i="2"/>
  <c r="CM70" i="2"/>
  <c r="CN70" i="2"/>
  <c r="CO70" i="2"/>
  <c r="CP70" i="2"/>
  <c r="CQ70" i="2"/>
  <c r="CR70" i="2"/>
  <c r="CS70" i="2"/>
  <c r="CT70" i="2"/>
  <c r="CU70" i="2"/>
  <c r="CV70" i="2"/>
  <c r="CW70" i="2"/>
  <c r="CX70" i="2"/>
  <c r="CY70" i="2"/>
  <c r="CD72" i="2"/>
  <c r="CE72" i="2"/>
  <c r="CF72" i="2"/>
  <c r="CG72" i="2"/>
  <c r="CH72" i="2"/>
  <c r="CI72" i="2"/>
  <c r="CJ72" i="2"/>
  <c r="CK72" i="2"/>
  <c r="CL72" i="2"/>
  <c r="CM72" i="2"/>
  <c r="CN72" i="2"/>
  <c r="CO72" i="2"/>
  <c r="CP72" i="2"/>
  <c r="CQ72" i="2"/>
  <c r="CR72" i="2"/>
  <c r="CS72" i="2"/>
  <c r="CT72" i="2"/>
  <c r="CU72" i="2"/>
  <c r="CV72" i="2"/>
  <c r="CW72" i="2"/>
  <c r="CX72" i="2"/>
  <c r="CY72" i="2"/>
  <c r="CD74" i="2"/>
  <c r="CE74" i="2"/>
  <c r="CF74" i="2"/>
  <c r="CG74" i="2"/>
  <c r="CH74" i="2"/>
  <c r="CI74" i="2"/>
  <c r="CJ74" i="2"/>
  <c r="CK74" i="2"/>
  <c r="CL74" i="2"/>
  <c r="CM74" i="2"/>
  <c r="CN74" i="2"/>
  <c r="CO74" i="2"/>
  <c r="CP74" i="2"/>
  <c r="CQ74" i="2"/>
  <c r="CR74" i="2"/>
  <c r="CS74" i="2"/>
  <c r="CT74" i="2"/>
  <c r="CU74" i="2"/>
  <c r="CV74" i="2"/>
  <c r="CW74" i="2"/>
  <c r="CX74" i="2"/>
  <c r="CY74" i="2"/>
  <c r="CD76" i="2"/>
  <c r="CE76" i="2"/>
  <c r="CF76" i="2"/>
  <c r="CG76" i="2"/>
  <c r="CH76" i="2"/>
  <c r="CI76" i="2"/>
  <c r="CJ76" i="2"/>
  <c r="CK76" i="2"/>
  <c r="CL76" i="2"/>
  <c r="CM76" i="2"/>
  <c r="CN76" i="2"/>
  <c r="CO76" i="2"/>
  <c r="CP76" i="2"/>
  <c r="CQ76" i="2"/>
  <c r="CR76" i="2"/>
  <c r="CS76" i="2"/>
  <c r="CT76" i="2"/>
  <c r="CU76" i="2"/>
  <c r="CV76" i="2"/>
  <c r="CW76" i="2"/>
  <c r="CX76" i="2"/>
  <c r="CY76" i="2"/>
  <c r="CD78" i="2"/>
  <c r="CE78" i="2"/>
  <c r="CF78" i="2"/>
  <c r="CG78" i="2"/>
  <c r="CH78" i="2"/>
  <c r="CI78" i="2"/>
  <c r="CJ78" i="2"/>
  <c r="CK78" i="2"/>
  <c r="CL78" i="2"/>
  <c r="CM78" i="2"/>
  <c r="CN78" i="2"/>
  <c r="CO78" i="2"/>
  <c r="CP78" i="2"/>
  <c r="CQ78" i="2"/>
  <c r="CR78" i="2"/>
  <c r="CS78" i="2"/>
  <c r="CT78" i="2"/>
  <c r="CU78" i="2"/>
  <c r="CV78" i="2"/>
  <c r="CW78" i="2"/>
  <c r="CX78" i="2"/>
  <c r="CY78" i="2"/>
  <c r="CD80" i="2"/>
  <c r="CE80" i="2"/>
  <c r="CF80" i="2"/>
  <c r="CG80" i="2"/>
  <c r="CH80" i="2"/>
  <c r="CI80" i="2"/>
  <c r="CJ80" i="2"/>
  <c r="CK80" i="2"/>
  <c r="CL80" i="2"/>
  <c r="CM80" i="2"/>
  <c r="CN80" i="2"/>
  <c r="CO80" i="2"/>
  <c r="CP80" i="2"/>
  <c r="CQ80" i="2"/>
  <c r="CR80" i="2"/>
  <c r="CS80" i="2"/>
  <c r="CT80" i="2"/>
  <c r="CU80" i="2"/>
  <c r="CV80" i="2"/>
  <c r="CW80" i="2"/>
  <c r="CX80" i="2"/>
  <c r="CY80" i="2"/>
  <c r="CD82" i="2"/>
  <c r="CE82" i="2"/>
  <c r="CF82" i="2"/>
  <c r="CG82" i="2"/>
  <c r="CH82" i="2"/>
  <c r="CI82" i="2"/>
  <c r="CJ82" i="2"/>
  <c r="CK82" i="2"/>
  <c r="CL82" i="2"/>
  <c r="CM82" i="2"/>
  <c r="CN82" i="2"/>
  <c r="CO82" i="2"/>
  <c r="CP82" i="2"/>
  <c r="CQ82" i="2"/>
  <c r="CR82" i="2"/>
  <c r="CS82" i="2"/>
  <c r="CT82" i="2"/>
  <c r="CU82" i="2"/>
  <c r="CV82" i="2"/>
  <c r="CW82" i="2"/>
  <c r="CX82" i="2"/>
  <c r="CY82" i="2"/>
  <c r="CD84" i="2"/>
  <c r="CE84" i="2"/>
  <c r="CF84" i="2"/>
  <c r="CG84" i="2"/>
  <c r="CH84" i="2"/>
  <c r="CI84" i="2"/>
  <c r="CJ84" i="2"/>
  <c r="CK84" i="2"/>
  <c r="CL84" i="2"/>
  <c r="CM84" i="2"/>
  <c r="CN84" i="2"/>
  <c r="CO84" i="2"/>
  <c r="CP84" i="2"/>
  <c r="CQ84" i="2"/>
  <c r="CR84" i="2"/>
  <c r="CS84" i="2"/>
  <c r="CT84" i="2"/>
  <c r="CU84" i="2"/>
  <c r="CV84" i="2"/>
  <c r="CW84" i="2"/>
  <c r="CX84" i="2"/>
  <c r="CY84" i="2"/>
  <c r="CD86" i="2"/>
  <c r="CE86" i="2"/>
  <c r="CF86" i="2"/>
  <c r="CG86" i="2"/>
  <c r="CH86" i="2"/>
  <c r="CI86" i="2"/>
  <c r="CJ86" i="2"/>
  <c r="CK86" i="2"/>
  <c r="CL86" i="2"/>
  <c r="CM86" i="2"/>
  <c r="CN86" i="2"/>
  <c r="CO86" i="2"/>
  <c r="CP86" i="2"/>
  <c r="CQ86" i="2"/>
  <c r="CR86" i="2"/>
  <c r="CS86" i="2"/>
  <c r="CT86" i="2"/>
  <c r="CU86" i="2"/>
  <c r="CV86" i="2"/>
  <c r="CW86" i="2"/>
  <c r="CX86" i="2"/>
  <c r="CY86" i="2"/>
  <c r="CD88" i="2"/>
  <c r="CE88" i="2"/>
  <c r="CF88" i="2"/>
  <c r="CG88" i="2"/>
  <c r="CH88" i="2"/>
  <c r="CI88" i="2"/>
  <c r="CJ88" i="2"/>
  <c r="CK88" i="2"/>
  <c r="CL88" i="2"/>
  <c r="CM88" i="2"/>
  <c r="CN88" i="2"/>
  <c r="CO88" i="2"/>
  <c r="CP88" i="2"/>
  <c r="CQ88" i="2"/>
  <c r="CR88" i="2"/>
  <c r="CS88" i="2"/>
  <c r="CT88" i="2"/>
  <c r="CU88" i="2"/>
  <c r="CV88" i="2"/>
  <c r="CW88" i="2"/>
  <c r="CX88" i="2"/>
  <c r="CY88" i="2"/>
  <c r="CD90" i="2"/>
  <c r="CE90" i="2"/>
  <c r="CF90" i="2"/>
  <c r="CG90" i="2"/>
  <c r="CH90" i="2"/>
  <c r="CI90" i="2"/>
  <c r="CJ90" i="2"/>
  <c r="CK90" i="2"/>
  <c r="CL90" i="2"/>
  <c r="CM90" i="2"/>
  <c r="CN90" i="2"/>
  <c r="CO90" i="2"/>
  <c r="CP90" i="2"/>
  <c r="CQ90" i="2"/>
  <c r="CR90" i="2"/>
  <c r="CS90" i="2"/>
  <c r="CT90" i="2"/>
  <c r="CU90" i="2"/>
  <c r="CV90" i="2"/>
  <c r="CW90" i="2"/>
  <c r="CX90" i="2"/>
  <c r="CY90" i="2"/>
  <c r="CJ92" i="2"/>
  <c r="CK92" i="2"/>
  <c r="CL92" i="2"/>
  <c r="CM92" i="2"/>
  <c r="CN92" i="2"/>
  <c r="CO92" i="2"/>
  <c r="CP92" i="2"/>
  <c r="CQ92" i="2"/>
  <c r="CR92" i="2"/>
  <c r="CS92" i="2"/>
  <c r="CT92" i="2"/>
  <c r="CU92" i="2"/>
  <c r="CV92" i="2"/>
  <c r="CW92" i="2"/>
  <c r="CX92" i="2"/>
  <c r="CY92" i="2"/>
  <c r="CJ94" i="2"/>
  <c r="CK94" i="2"/>
  <c r="CL94" i="2"/>
  <c r="CM94" i="2"/>
  <c r="CN94" i="2"/>
  <c r="CO94" i="2"/>
  <c r="CP94" i="2"/>
  <c r="CQ94" i="2"/>
  <c r="CR94" i="2"/>
  <c r="CS94" i="2"/>
  <c r="CT94" i="2"/>
  <c r="CU94" i="2"/>
  <c r="CV94" i="2"/>
  <c r="CW94" i="2"/>
  <c r="CX94" i="2"/>
  <c r="CY94" i="2"/>
  <c r="CJ96" i="2"/>
  <c r="CK96" i="2"/>
  <c r="CL96" i="2"/>
  <c r="CM96" i="2"/>
  <c r="CN96" i="2"/>
  <c r="CO96" i="2"/>
  <c r="CP96" i="2"/>
  <c r="CQ96" i="2"/>
  <c r="CR96" i="2"/>
  <c r="CS96" i="2"/>
  <c r="CT96" i="2"/>
  <c r="CU96" i="2"/>
  <c r="CV96" i="2"/>
  <c r="CW96" i="2"/>
  <c r="CX96" i="2"/>
  <c r="CY96" i="2"/>
  <c r="CJ98" i="2"/>
  <c r="CK98" i="2"/>
  <c r="CL98" i="2"/>
  <c r="CM98" i="2"/>
  <c r="CN98" i="2"/>
  <c r="CO98" i="2"/>
  <c r="CP98" i="2"/>
  <c r="CQ98" i="2"/>
  <c r="CR98" i="2"/>
  <c r="CS98" i="2"/>
  <c r="CT98" i="2"/>
  <c r="CU98" i="2"/>
  <c r="CV98" i="2"/>
  <c r="CW98" i="2"/>
  <c r="CX98" i="2"/>
  <c r="CY98" i="2"/>
  <c r="CJ100" i="2"/>
  <c r="CK100" i="2"/>
  <c r="CL100" i="2"/>
  <c r="CM100" i="2"/>
  <c r="CN100" i="2"/>
  <c r="CO100" i="2"/>
  <c r="CP100" i="2"/>
  <c r="CQ100" i="2"/>
  <c r="CR100" i="2"/>
  <c r="CS100" i="2"/>
  <c r="CT100" i="2"/>
  <c r="CU100" i="2"/>
  <c r="CV100" i="2"/>
  <c r="CW100" i="2"/>
  <c r="CX100" i="2"/>
  <c r="CY100" i="2"/>
  <c r="CJ102" i="2"/>
  <c r="CK102" i="2"/>
  <c r="CL102" i="2"/>
  <c r="CM102" i="2"/>
  <c r="CN102" i="2"/>
  <c r="CO102" i="2"/>
  <c r="CP102" i="2"/>
  <c r="CQ102" i="2"/>
  <c r="CR102" i="2"/>
  <c r="CS102" i="2"/>
  <c r="CT102" i="2"/>
  <c r="CU102" i="2"/>
  <c r="CV102" i="2"/>
  <c r="CW102" i="2"/>
  <c r="CX102" i="2"/>
  <c r="CY102" i="2"/>
  <c r="CJ104" i="2"/>
  <c r="CK104" i="2"/>
  <c r="CL104" i="2"/>
  <c r="CM104" i="2"/>
  <c r="CN104" i="2"/>
  <c r="CO104" i="2"/>
  <c r="CP104" i="2"/>
  <c r="CQ104" i="2"/>
  <c r="CR104" i="2"/>
  <c r="CS104" i="2"/>
  <c r="CT104" i="2"/>
  <c r="CU104" i="2"/>
  <c r="CV104" i="2"/>
  <c r="CW104" i="2"/>
  <c r="CX104" i="2"/>
  <c r="CY104" i="2"/>
  <c r="CJ106" i="2"/>
  <c r="CK106" i="2"/>
  <c r="CL106" i="2"/>
  <c r="CM106" i="2"/>
  <c r="CN106" i="2"/>
  <c r="CO106" i="2"/>
  <c r="CP106" i="2"/>
  <c r="CQ106" i="2"/>
  <c r="CR106" i="2"/>
  <c r="CS106" i="2"/>
  <c r="CT106" i="2"/>
  <c r="CU106" i="2"/>
  <c r="CV106" i="2"/>
  <c r="CW106" i="2"/>
  <c r="CX106" i="2"/>
  <c r="CY106" i="2"/>
  <c r="CJ108" i="2"/>
  <c r="CK108" i="2"/>
  <c r="CL108" i="2"/>
  <c r="CM108" i="2"/>
  <c r="CN108" i="2"/>
  <c r="CO108" i="2"/>
  <c r="CP108" i="2"/>
  <c r="CQ108" i="2"/>
  <c r="CR108" i="2"/>
  <c r="CS108" i="2"/>
  <c r="CT108" i="2"/>
  <c r="CU108" i="2"/>
  <c r="CV108" i="2"/>
  <c r="CW108" i="2"/>
  <c r="CX108" i="2"/>
  <c r="CY108" i="2"/>
  <c r="CJ110" i="2"/>
  <c r="CK110" i="2"/>
  <c r="CL110" i="2"/>
  <c r="CM110" i="2"/>
  <c r="CN110" i="2"/>
  <c r="CO110" i="2"/>
  <c r="CP110" i="2"/>
  <c r="CQ110" i="2"/>
  <c r="CR110" i="2"/>
  <c r="CS110" i="2"/>
  <c r="CT110" i="2"/>
  <c r="CU110" i="2"/>
  <c r="CV110" i="2"/>
  <c r="CW110" i="2"/>
  <c r="CX110" i="2"/>
  <c r="CY110" i="2"/>
  <c r="CJ112" i="2"/>
  <c r="CK112" i="2"/>
  <c r="CL112" i="2"/>
  <c r="CM112" i="2"/>
  <c r="CN112" i="2"/>
  <c r="CO112" i="2"/>
  <c r="CP112" i="2"/>
  <c r="CQ112" i="2"/>
  <c r="CR112" i="2"/>
  <c r="CS112" i="2"/>
  <c r="CT112" i="2"/>
  <c r="CU112" i="2"/>
  <c r="CV112" i="2"/>
  <c r="CW112" i="2"/>
  <c r="CX112" i="2"/>
  <c r="CY112" i="2"/>
  <c r="CJ114" i="2"/>
  <c r="CK114" i="2"/>
  <c r="CL114" i="2"/>
  <c r="CM114" i="2"/>
  <c r="CN114" i="2"/>
  <c r="CO114" i="2"/>
  <c r="CP114" i="2"/>
  <c r="CQ114" i="2"/>
  <c r="CR114" i="2"/>
  <c r="CS114" i="2"/>
  <c r="CT114" i="2"/>
  <c r="CU114" i="2"/>
  <c r="CV114" i="2"/>
  <c r="CW114" i="2"/>
  <c r="CX114" i="2"/>
  <c r="CY114" i="2"/>
  <c r="CJ116" i="2"/>
  <c r="CK116" i="2"/>
  <c r="CL116" i="2"/>
  <c r="CM116" i="2"/>
  <c r="CN116" i="2"/>
  <c r="CO116" i="2"/>
  <c r="CP116" i="2"/>
  <c r="CQ116" i="2"/>
  <c r="CR116" i="2"/>
  <c r="CS116" i="2"/>
  <c r="CT116" i="2"/>
  <c r="CU116" i="2"/>
  <c r="CV116" i="2"/>
  <c r="CW116" i="2"/>
  <c r="CX116" i="2"/>
  <c r="CY116" i="2"/>
  <c r="CH118" i="2"/>
  <c r="CI118" i="2"/>
  <c r="CJ118" i="2"/>
  <c r="CK118" i="2"/>
  <c r="CL118" i="2"/>
  <c r="CM118" i="2"/>
  <c r="CN118" i="2"/>
  <c r="CO118" i="2"/>
  <c r="CP118" i="2"/>
  <c r="CQ118" i="2"/>
  <c r="CR118" i="2"/>
  <c r="CS118" i="2"/>
  <c r="CT118" i="2"/>
  <c r="CU118" i="2"/>
  <c r="CV118" i="2"/>
  <c r="CW118" i="2"/>
  <c r="CX118" i="2"/>
  <c r="CY118" i="2"/>
  <c r="CH120" i="2"/>
  <c r="CI120" i="2"/>
  <c r="CJ120" i="2"/>
  <c r="CK120" i="2"/>
  <c r="CL120" i="2"/>
  <c r="CM120" i="2"/>
  <c r="CN120" i="2"/>
  <c r="CO120" i="2"/>
  <c r="CP120" i="2"/>
  <c r="CQ120" i="2"/>
  <c r="CR120" i="2"/>
  <c r="CS120" i="2"/>
  <c r="CT120" i="2"/>
  <c r="CU120" i="2"/>
  <c r="CV120" i="2"/>
  <c r="CW120" i="2"/>
  <c r="CX120" i="2"/>
  <c r="CY120" i="2"/>
  <c r="CH122" i="2"/>
  <c r="CI122" i="2"/>
  <c r="CJ122" i="2"/>
  <c r="CK122" i="2"/>
  <c r="CL122" i="2"/>
  <c r="CM122" i="2"/>
  <c r="CN122" i="2"/>
  <c r="CO122" i="2"/>
  <c r="CP122" i="2"/>
  <c r="CQ122" i="2"/>
  <c r="CR122" i="2"/>
  <c r="CS122" i="2"/>
  <c r="CT122" i="2"/>
  <c r="CU122" i="2"/>
  <c r="CV122" i="2"/>
  <c r="CW122" i="2"/>
  <c r="CX122" i="2"/>
  <c r="CY122" i="2"/>
  <c r="BZ124" i="2"/>
  <c r="CA124" i="2"/>
  <c r="CB124" i="2"/>
  <c r="CC124" i="2"/>
  <c r="CD124" i="2"/>
  <c r="CE124" i="2"/>
  <c r="CF124" i="2"/>
  <c r="CG124" i="2"/>
  <c r="CH124" i="2"/>
  <c r="CI124" i="2"/>
  <c r="CJ124" i="2"/>
  <c r="CK124" i="2"/>
  <c r="CL124" i="2"/>
  <c r="CM124" i="2"/>
  <c r="CN124" i="2"/>
  <c r="CO124" i="2"/>
  <c r="CP124" i="2"/>
  <c r="CQ124" i="2"/>
  <c r="CR124" i="2"/>
  <c r="CS124" i="2"/>
  <c r="CT124" i="2"/>
  <c r="CU124" i="2"/>
  <c r="CV124" i="2"/>
  <c r="CW124" i="2"/>
  <c r="CX124" i="2"/>
  <c r="CY124" i="2"/>
  <c r="BX126" i="2"/>
  <c r="BY126" i="2"/>
  <c r="BZ126" i="2"/>
  <c r="CA126" i="2"/>
  <c r="CB126" i="2"/>
  <c r="CC126" i="2"/>
  <c r="CD126" i="2"/>
  <c r="CE126" i="2"/>
  <c r="CF126" i="2"/>
  <c r="CG126" i="2"/>
  <c r="CH126" i="2"/>
  <c r="CI126" i="2"/>
  <c r="CJ126" i="2"/>
  <c r="CK126" i="2"/>
  <c r="CL126" i="2"/>
  <c r="CM126" i="2"/>
  <c r="CN126" i="2"/>
  <c r="CO126" i="2"/>
  <c r="CP126" i="2"/>
  <c r="CQ126" i="2"/>
  <c r="CR126" i="2"/>
  <c r="CS126" i="2"/>
  <c r="CT126" i="2"/>
  <c r="CU126" i="2"/>
  <c r="CV126" i="2"/>
  <c r="CW126" i="2"/>
  <c r="CX126" i="2"/>
  <c r="CY126" i="2"/>
  <c r="BV126" i="2"/>
  <c r="BW126" i="2"/>
  <c r="CX9" i="2"/>
  <c r="CW9" i="2" s="1"/>
  <c r="CV9" i="2" s="1"/>
  <c r="CU9" i="2" s="1"/>
  <c r="CT9" i="2" s="1"/>
  <c r="CS9" i="2" s="1"/>
  <c r="CR9" i="2" s="1"/>
  <c r="CQ9" i="2" s="1"/>
  <c r="CP9" i="2" s="1"/>
  <c r="CO9" i="2" s="1"/>
  <c r="CN9" i="2" s="1"/>
  <c r="CM9" i="2" s="1"/>
  <c r="CL9" i="2" s="1"/>
  <c r="CK9" i="2" s="1"/>
  <c r="CJ9" i="2" s="1"/>
  <c r="CI9" i="2" s="1"/>
  <c r="CH9" i="2" s="1"/>
  <c r="CG9" i="2" s="1"/>
  <c r="CF9" i="2" s="1"/>
  <c r="CE9" i="2" s="1"/>
  <c r="CD9" i="2" s="1"/>
  <c r="CC9" i="2" s="1"/>
  <c r="CB9" i="2" s="1"/>
  <c r="CA9" i="2" s="1"/>
  <c r="BZ9" i="2" s="1"/>
  <c r="BY9" i="2" s="1"/>
  <c r="BX9" i="2" s="1"/>
  <c r="BW9" i="2" s="1"/>
  <c r="BV9" i="2" s="1"/>
  <c r="BU9" i="2" s="1"/>
  <c r="BT9" i="2" s="1"/>
  <c r="BS9" i="2" s="1"/>
  <c r="BR9" i="2" s="1"/>
  <c r="BQ9" i="2" s="1"/>
  <c r="BP9" i="2" s="1"/>
  <c r="BO9" i="2" s="1"/>
  <c r="BN9" i="2" s="1"/>
  <c r="BM9" i="2" s="1"/>
  <c r="BL9" i="2" s="1"/>
  <c r="BK9" i="2" s="1"/>
  <c r="BJ9" i="2" s="1"/>
  <c r="BI9" i="2" s="1"/>
  <c r="BH9" i="2" s="1"/>
  <c r="BG9" i="2" s="1"/>
  <c r="BF9" i="2" s="1"/>
  <c r="BE9" i="2" s="1"/>
  <c r="BD9" i="2" s="1"/>
  <c r="BC9" i="2" s="1"/>
  <c r="BB9" i="2" s="1"/>
  <c r="BA9" i="2" s="1"/>
  <c r="AZ9" i="2" s="1"/>
  <c r="AY9" i="2" s="1"/>
  <c r="AX9" i="2" s="1"/>
  <c r="AW9" i="2" s="1"/>
  <c r="AV9" i="2" s="1"/>
  <c r="AU9" i="2" s="1"/>
  <c r="AT9" i="2" s="1"/>
  <c r="AS9" i="2" s="1"/>
  <c r="AR9" i="2" s="1"/>
  <c r="AQ9" i="2" s="1"/>
  <c r="AP9" i="2" s="1"/>
  <c r="AO9" i="2" s="1"/>
  <c r="AN9" i="2" s="1"/>
  <c r="AM9" i="2" s="1"/>
  <c r="AL9" i="2" s="1"/>
  <c r="AK9" i="2" s="1"/>
  <c r="AJ9" i="2" s="1"/>
  <c r="AI9" i="2" s="1"/>
  <c r="AH9" i="2" s="1"/>
  <c r="AG9" i="2" s="1"/>
  <c r="AF9" i="2" s="1"/>
  <c r="AE9" i="2" s="1"/>
  <c r="AD9" i="2" s="1"/>
  <c r="AC9" i="2" s="1"/>
  <c r="AB9" i="2" s="1"/>
  <c r="AA9" i="2" s="1"/>
  <c r="Z9" i="2" s="1"/>
  <c r="Y9" i="2" s="1"/>
  <c r="X9" i="2" s="1"/>
  <c r="W9" i="2" s="1"/>
  <c r="V9" i="2" s="1"/>
  <c r="U9" i="2" s="1"/>
  <c r="T9" i="2" s="1"/>
  <c r="S9" i="2" s="1"/>
  <c r="R9" i="2" s="1"/>
  <c r="Q9" i="2" s="1"/>
  <c r="P9" i="2" s="1"/>
  <c r="O9" i="2" s="1"/>
  <c r="N9" i="2" s="1"/>
  <c r="M9" i="2" s="1"/>
  <c r="L9" i="2" s="1"/>
  <c r="K9" i="2" s="1"/>
  <c r="J9" i="2" s="1"/>
  <c r="I9" i="2" s="1"/>
  <c r="H9" i="2" s="1"/>
  <c r="G9" i="2" s="1"/>
  <c r="F9" i="2" s="1"/>
  <c r="E9" i="2" s="1"/>
  <c r="D9" i="2" s="1"/>
  <c r="C9" i="2" s="1"/>
  <c r="A123" i="2"/>
  <c r="A121" i="2" s="1"/>
  <c r="A119" i="2" s="1"/>
  <c r="A117" i="2" s="1"/>
  <c r="A115" i="2" s="1"/>
  <c r="A113" i="2" s="1"/>
  <c r="A111" i="2" s="1"/>
  <c r="A109" i="2" s="1"/>
  <c r="A107" i="2" s="1"/>
  <c r="A105" i="2" s="1"/>
  <c r="A103" i="2" s="1"/>
  <c r="A101" i="2" s="1"/>
  <c r="A99" i="2" s="1"/>
  <c r="A97" i="2" s="1"/>
  <c r="A95" i="2" s="1"/>
  <c r="A93" i="2" s="1"/>
  <c r="A91" i="2" s="1"/>
  <c r="A89" i="2" s="1"/>
  <c r="A87" i="2" s="1"/>
  <c r="A85" i="2" s="1"/>
  <c r="A83" i="2" s="1"/>
  <c r="A81" i="2" s="1"/>
  <c r="A79" i="2" s="1"/>
  <c r="A77" i="2" s="1"/>
  <c r="A75" i="2" s="1"/>
  <c r="A73" i="2" s="1"/>
  <c r="A71" i="2" s="1"/>
  <c r="A69" i="2" s="1"/>
  <c r="A67" i="2" s="1"/>
  <c r="A65" i="2" s="1"/>
  <c r="A63" i="2" s="1"/>
  <c r="A61" i="2" s="1"/>
  <c r="A59" i="2" s="1"/>
  <c r="A57" i="2" s="1"/>
  <c r="A55" i="2" s="1"/>
  <c r="A53" i="2" s="1"/>
  <c r="A51" i="2" s="1"/>
  <c r="A49" i="2" s="1"/>
  <c r="A47" i="2" s="1"/>
  <c r="A45" i="2" s="1"/>
  <c r="A43" i="2" s="1"/>
  <c r="A41" i="2" s="1"/>
  <c r="A39" i="2" s="1"/>
  <c r="A37" i="2" s="1"/>
  <c r="A35" i="2" s="1"/>
  <c r="A33" i="2" s="1"/>
  <c r="A31" i="2" s="1"/>
  <c r="A29" i="2" s="1"/>
  <c r="A27" i="2" s="1"/>
  <c r="A25" i="2" s="1"/>
  <c r="A23" i="2" s="1"/>
  <c r="A21" i="2" s="1"/>
  <c r="A19" i="2" s="1"/>
  <c r="A17" i="2" s="1"/>
  <c r="A15" i="2" s="1"/>
  <c r="A13" i="2" s="1"/>
  <c r="A11" i="2" s="1"/>
  <c r="H38" i="3" l="1" a="1"/>
  <c r="H38" i="3" s="1"/>
  <c r="H41" i="3" a="1"/>
  <c r="H41" i="3" s="1"/>
  <c r="H40" i="3" a="1"/>
  <c r="H40" i="3" s="1"/>
  <c r="H39" i="3" a="1"/>
  <c r="H39" i="3" s="1"/>
  <c r="B2" i="15" a="1"/>
  <c r="D49" i="15" s="1"/>
  <c r="H149" i="3" a="1"/>
  <c r="H149" i="3" s="1"/>
  <c r="H3" i="3" a="1"/>
  <c r="H3" i="3" s="1"/>
  <c r="B86" i="6"/>
  <c r="B85" i="6"/>
  <c r="B84" i="6"/>
  <c r="T76" i="3"/>
  <c r="U76" i="3"/>
  <c r="T78" i="3"/>
  <c r="U78" i="3"/>
  <c r="T80" i="3"/>
  <c r="U80" i="3"/>
  <c r="J80" i="3" l="1"/>
  <c r="J78" i="3"/>
  <c r="J76" i="3"/>
  <c r="BG3" i="15"/>
  <c r="AQ4" i="15"/>
  <c r="CI4" i="15"/>
  <c r="CU2" i="15"/>
  <c r="N4" i="15"/>
  <c r="AE5" i="15"/>
  <c r="CD101" i="15"/>
  <c r="BJ98" i="15"/>
  <c r="CD7" i="15"/>
  <c r="BN2" i="15"/>
  <c r="K7" i="15"/>
  <c r="CQ5" i="15"/>
  <c r="R99" i="15"/>
  <c r="CM4" i="15"/>
  <c r="AR2" i="15"/>
  <c r="DG3" i="15"/>
  <c r="AE2" i="15"/>
  <c r="B89" i="15"/>
  <c r="Y87" i="15"/>
  <c r="AU5" i="15"/>
  <c r="B5" i="15"/>
  <c r="CR5" i="15"/>
  <c r="CQ2" i="15"/>
  <c r="CH88" i="15"/>
  <c r="CF85" i="15"/>
  <c r="G7" i="15"/>
  <c r="BN5" i="15"/>
  <c r="AR6" i="15"/>
  <c r="BX6" i="15"/>
  <c r="AV93" i="15"/>
  <c r="CK5" i="15"/>
  <c r="CV2" i="15"/>
  <c r="CD4" i="15"/>
  <c r="E2" i="15"/>
  <c r="N6" i="15"/>
  <c r="CY3" i="15"/>
  <c r="BO7" i="15"/>
  <c r="U2" i="15"/>
  <c r="BC3" i="15"/>
  <c r="AL3" i="15"/>
  <c r="AW7" i="15"/>
  <c r="BF101" i="15"/>
  <c r="CQ94" i="15"/>
  <c r="AY99" i="15"/>
  <c r="AY97" i="15"/>
  <c r="CA92" i="15"/>
  <c r="AN93" i="15"/>
  <c r="DC4" i="15"/>
  <c r="BY2" i="15"/>
  <c r="BZ4" i="15"/>
  <c r="AS86" i="15"/>
  <c r="CO92" i="15"/>
  <c r="DJ2" i="15"/>
  <c r="BM7" i="15"/>
  <c r="BJ4" i="15"/>
  <c r="S7" i="15"/>
  <c r="BR2" i="15"/>
  <c r="AT88" i="15"/>
  <c r="AY6" i="15"/>
  <c r="DD2" i="15"/>
  <c r="J5" i="15"/>
  <c r="CE7" i="15"/>
  <c r="CE101" i="15"/>
  <c r="AI83" i="15"/>
  <c r="R4" i="15"/>
  <c r="AM3" i="15"/>
  <c r="DC2" i="15"/>
  <c r="CL101" i="15"/>
  <c r="CE99" i="15"/>
  <c r="BK98" i="15"/>
  <c r="CW6" i="15"/>
  <c r="AG5" i="15"/>
  <c r="AD5" i="15"/>
  <c r="BQ2" i="15"/>
  <c r="BW3" i="15"/>
  <c r="AY4" i="15"/>
  <c r="BO2" i="15"/>
  <c r="F4" i="15"/>
  <c r="CZ5" i="15"/>
  <c r="CU6" i="15"/>
  <c r="CG4" i="15"/>
  <c r="CX94" i="15"/>
  <c r="Q88" i="15"/>
  <c r="CA88" i="15"/>
  <c r="AA87" i="15"/>
  <c r="BA100" i="15"/>
  <c r="BW94" i="15"/>
  <c r="DE6" i="15"/>
  <c r="BA6" i="15"/>
  <c r="M2" i="15"/>
  <c r="R5" i="15"/>
  <c r="I5" i="15"/>
  <c r="CJ86" i="15"/>
  <c r="AX99" i="15"/>
  <c r="Y93" i="15"/>
  <c r="AQ7" i="15"/>
  <c r="DM6" i="15"/>
  <c r="AU3" i="15"/>
  <c r="BU5" i="15"/>
  <c r="CL99" i="15"/>
  <c r="AX97" i="15"/>
  <c r="C3" i="15"/>
  <c r="N3" i="15"/>
  <c r="BW7" i="15"/>
  <c r="DK101" i="15"/>
  <c r="BD83" i="15"/>
  <c r="BO3" i="15"/>
  <c r="BZ3" i="15"/>
  <c r="CY5" i="15"/>
  <c r="R3" i="15"/>
  <c r="CS85" i="15"/>
  <c r="AB2" i="15"/>
  <c r="BD3" i="15"/>
  <c r="BV5" i="15"/>
  <c r="CL2" i="15"/>
  <c r="K95" i="15"/>
  <c r="DK95" i="15"/>
  <c r="N2" i="15"/>
  <c r="CS5" i="15"/>
  <c r="CQ3" i="15"/>
  <c r="Q3" i="15"/>
  <c r="W4" i="15"/>
  <c r="AJ6" i="15"/>
  <c r="BA2" i="15"/>
  <c r="BR4" i="15"/>
  <c r="AZ6" i="15"/>
  <c r="AU7" i="15"/>
  <c r="AS6" i="15"/>
  <c r="CL93" i="15"/>
  <c r="CM87" i="15"/>
  <c r="AU88" i="15"/>
  <c r="CI85" i="15"/>
  <c r="AS100" i="15"/>
  <c r="BS89" i="15"/>
  <c r="AC2" i="15"/>
  <c r="CX3" i="15"/>
  <c r="AQ3" i="15"/>
  <c r="AQ6" i="15"/>
  <c r="BF93" i="15"/>
  <c r="BK94" i="15"/>
  <c r="BB88" i="15"/>
  <c r="Z97" i="15"/>
  <c r="W85" i="15"/>
  <c r="BO91" i="15"/>
  <c r="CG92" i="15"/>
  <c r="CZ89" i="15"/>
  <c r="CZ3" i="15"/>
  <c r="V2" i="15"/>
  <c r="CC3" i="15"/>
  <c r="Z4" i="15"/>
  <c r="CQ6" i="15"/>
  <c r="BO4" i="15"/>
  <c r="DC3" i="15"/>
  <c r="Z93" i="15"/>
  <c r="CY98" i="15"/>
  <c r="BC89" i="15"/>
  <c r="DB2" i="15"/>
  <c r="BL5" i="15"/>
  <c r="AL4" i="15"/>
  <c r="CH5" i="15"/>
  <c r="H5" i="15"/>
  <c r="AH3" i="15"/>
  <c r="CM5" i="15"/>
  <c r="AP6" i="15"/>
  <c r="C6" i="15"/>
  <c r="BP4" i="15"/>
  <c r="AC4" i="15"/>
  <c r="CP2" i="15"/>
  <c r="Z7" i="15"/>
  <c r="CU5" i="15"/>
  <c r="CL4" i="15"/>
  <c r="CI7" i="15"/>
  <c r="DI5" i="15"/>
  <c r="S3" i="15"/>
  <c r="V3" i="15"/>
  <c r="AE7" i="15"/>
  <c r="BE5" i="15"/>
  <c r="CA2" i="15"/>
  <c r="AD3" i="15"/>
  <c r="AM7" i="15"/>
  <c r="BM5" i="15"/>
  <c r="CI2" i="15"/>
  <c r="AZ4" i="15"/>
  <c r="AY2" i="15"/>
  <c r="AV5" i="15"/>
  <c r="BV3" i="15"/>
  <c r="CA6" i="15"/>
  <c r="CE5" i="15"/>
  <c r="AH2" i="15"/>
  <c r="BD5" i="15"/>
  <c r="BK4" i="15"/>
  <c r="DB97" i="15"/>
  <c r="B91" i="15"/>
  <c r="S79" i="15"/>
  <c r="DG98" i="15"/>
  <c r="AA91" i="15"/>
  <c r="DL79" i="15"/>
  <c r="AP95" i="15"/>
  <c r="DK79" i="15"/>
  <c r="C95" i="15"/>
  <c r="DL71" i="15"/>
  <c r="J93" i="15"/>
  <c r="CV70" i="15"/>
  <c r="C93" i="15"/>
  <c r="AY70" i="15"/>
  <c r="V92" i="15"/>
  <c r="AX52" i="15"/>
  <c r="H78" i="15"/>
  <c r="Y97" i="15"/>
  <c r="DI89" i="15"/>
  <c r="DH99" i="15"/>
  <c r="AT65" i="15"/>
  <c r="BZ97" i="15"/>
  <c r="Z5" i="15"/>
  <c r="L2" i="15"/>
  <c r="BZ2" i="15"/>
  <c r="CD3" i="15"/>
  <c r="C86" i="15"/>
  <c r="AJ86" i="15"/>
  <c r="S99" i="15"/>
  <c r="AJ85" i="15"/>
  <c r="R97" i="15"/>
  <c r="DI99" i="15"/>
  <c r="BK89" i="15"/>
  <c r="J4" i="15"/>
  <c r="CA4" i="15"/>
  <c r="D4" i="15"/>
  <c r="BZ6" i="15"/>
  <c r="Y3" i="15"/>
  <c r="BG4" i="15"/>
  <c r="AE6" i="15"/>
  <c r="CL5" i="15"/>
  <c r="BX2" i="15"/>
  <c r="CH2" i="15"/>
  <c r="DB5" i="15"/>
  <c r="BP85" i="15"/>
  <c r="DE85" i="15"/>
  <c r="Z99" i="15"/>
  <c r="DF96" i="15"/>
  <c r="BW84" i="15"/>
  <c r="CL70" i="15"/>
  <c r="BN4" i="15"/>
  <c r="L6" i="15"/>
  <c r="AX5" i="15"/>
  <c r="K2" i="15"/>
  <c r="T6" i="15"/>
  <c r="AT4" i="15"/>
  <c r="BF2" i="15"/>
  <c r="S2" i="15"/>
  <c r="BO6" i="15"/>
  <c r="P5" i="15"/>
  <c r="CO4" i="15"/>
  <c r="AP3" i="15"/>
  <c r="CL7" i="15"/>
  <c r="AU6" i="15"/>
  <c r="AL5" i="15"/>
  <c r="AZ2" i="15"/>
  <c r="BI6" i="15"/>
  <c r="CE3" i="15"/>
  <c r="CH3" i="15"/>
  <c r="CQ7" i="15"/>
  <c r="E6" i="15"/>
  <c r="AA3" i="15"/>
  <c r="CP3" i="15"/>
  <c r="D2" i="15"/>
  <c r="M6" i="15"/>
  <c r="AI3" i="15"/>
  <c r="Y5" i="15"/>
  <c r="DK2" i="15"/>
  <c r="DH5" i="15"/>
  <c r="V4" i="15"/>
  <c r="AA7" i="15"/>
  <c r="AX2" i="15"/>
  <c r="CT2" i="15"/>
  <c r="DE2" i="15"/>
  <c r="K5" i="15"/>
  <c r="BV97" i="15"/>
  <c r="CH90" i="15"/>
  <c r="G78" i="15"/>
  <c r="CU97" i="15"/>
  <c r="DG90" i="15"/>
  <c r="CZ78" i="15"/>
  <c r="J95" i="15"/>
  <c r="CY78" i="15"/>
  <c r="K93" i="15"/>
  <c r="CW70" i="15"/>
  <c r="CP92" i="15"/>
  <c r="CI67" i="15"/>
  <c r="CI92" i="15"/>
  <c r="DF102" i="15"/>
  <c r="DB91" i="15"/>
  <c r="CY102" i="15"/>
  <c r="AZ71" i="15"/>
  <c r="Q97" i="15"/>
  <c r="CO88" i="15"/>
  <c r="DL98" i="15"/>
  <c r="BR61" i="15"/>
  <c r="AD97" i="15"/>
  <c r="C4" i="15"/>
  <c r="AP2" i="15"/>
  <c r="U6" i="15"/>
  <c r="BE7" i="15"/>
  <c r="AT100" i="15"/>
  <c r="AY101" i="15"/>
  <c r="BF99" i="15"/>
  <c r="G88" i="15"/>
  <c r="S97" i="15"/>
  <c r="AJ83" i="15"/>
  <c r="L83" i="15"/>
  <c r="Z3" i="15"/>
  <c r="BC5" i="15"/>
  <c r="DK4" i="15"/>
  <c r="CG2" i="15"/>
  <c r="B4" i="15"/>
  <c r="CG6" i="15"/>
  <c r="DC6" i="15"/>
  <c r="S101" i="15"/>
  <c r="P88" i="15"/>
  <c r="CJ84" i="15"/>
  <c r="CY96" i="15"/>
  <c r="Z95" i="15"/>
  <c r="AY79" i="15"/>
  <c r="AQ89" i="15"/>
  <c r="AO99" i="15"/>
  <c r="M92" i="15"/>
  <c r="Z6" i="15"/>
  <c r="DM2" i="15"/>
  <c r="BJ6" i="15"/>
  <c r="W3" i="15"/>
  <c r="BI2" i="15"/>
  <c r="BF5" i="15"/>
  <c r="F3" i="15"/>
  <c r="CE2" i="15"/>
  <c r="O7" i="15"/>
  <c r="CB5" i="15"/>
  <c r="AO5" i="15"/>
  <c r="DB3" i="15"/>
  <c r="BK2" i="15"/>
  <c r="DG6" i="15"/>
  <c r="AX6" i="15"/>
  <c r="DL2" i="15"/>
  <c r="I7" i="15"/>
  <c r="AE4" i="15"/>
  <c r="AH4" i="15"/>
  <c r="BH2" i="15"/>
  <c r="BQ6" i="15"/>
  <c r="CM3" i="15"/>
  <c r="AP4" i="15"/>
  <c r="BP2" i="15"/>
  <c r="BY6" i="15"/>
  <c r="CU3" i="15"/>
  <c r="S5" i="15"/>
  <c r="BK3" i="15"/>
  <c r="BH6" i="15"/>
  <c r="CH4" i="15"/>
  <c r="CM7" i="15"/>
  <c r="BJ3" i="15"/>
  <c r="F5" i="15"/>
  <c r="BE3" i="15"/>
  <c r="BW5" i="15"/>
  <c r="AP97" i="15"/>
  <c r="BB90" i="15"/>
  <c r="BW73" i="15"/>
  <c r="BO97" i="15"/>
  <c r="CA90" i="15"/>
  <c r="BP75" i="15"/>
  <c r="CP94" i="15"/>
  <c r="S71" i="15"/>
  <c r="CQ92" i="15"/>
  <c r="AI68" i="15"/>
  <c r="BJ92" i="15"/>
  <c r="CY61" i="15"/>
  <c r="CQ90" i="15"/>
  <c r="CT101" i="15"/>
  <c r="CP90" i="15"/>
  <c r="CM101" i="15"/>
  <c r="V67" i="15"/>
  <c r="DI95" i="15"/>
  <c r="AS88" i="15"/>
  <c r="DD98" i="15"/>
  <c r="BF60" i="15"/>
  <c r="AD93" i="15"/>
  <c r="DH3" i="15"/>
  <c r="CP5" i="15"/>
  <c r="AD2" i="15"/>
  <c r="AI5" i="15"/>
  <c r="V6" i="15"/>
  <c r="CD5" i="15"/>
  <c r="CO2" i="15"/>
  <c r="AX4" i="15"/>
  <c r="CL3" i="15"/>
  <c r="N100" i="15"/>
  <c r="AY93" i="15"/>
  <c r="AM85" i="15"/>
  <c r="CR89" i="15"/>
  <c r="CA3" i="15"/>
  <c r="M4" i="15"/>
  <c r="BV7" i="15"/>
  <c r="AI4" i="15"/>
  <c r="BU3" i="15"/>
  <c r="BR6" i="15"/>
  <c r="BR3" i="15"/>
  <c r="AE3" i="15"/>
  <c r="CA7" i="15"/>
  <c r="AB6" i="15"/>
  <c r="DA5" i="15"/>
  <c r="BB4" i="15"/>
  <c r="K3" i="15"/>
  <c r="BG7" i="15"/>
  <c r="CM2" i="15"/>
  <c r="BL3" i="15"/>
  <c r="BU7" i="15"/>
  <c r="CQ4" i="15"/>
  <c r="CT4" i="15"/>
  <c r="H3" i="15"/>
  <c r="Q7" i="15"/>
  <c r="AM4" i="15"/>
  <c r="DB4" i="15"/>
  <c r="P3" i="15"/>
  <c r="Y7" i="15"/>
  <c r="AU4" i="15"/>
  <c r="BV4" i="15"/>
  <c r="K4" i="15"/>
  <c r="AK2" i="15"/>
  <c r="AH5" i="15"/>
  <c r="BB3" i="15"/>
  <c r="CI3" i="15"/>
  <c r="BR5" i="15"/>
  <c r="E4" i="15"/>
  <c r="W6" i="15"/>
  <c r="J97" i="15"/>
  <c r="AP89" i="15"/>
  <c r="BK72" i="15"/>
  <c r="AI97" i="15"/>
  <c r="AU90" i="15"/>
  <c r="BD74" i="15"/>
  <c r="CX92" i="15"/>
  <c r="CU68" i="15"/>
  <c r="BK92" i="15"/>
  <c r="DK62" i="15"/>
  <c r="AD92" i="15"/>
  <c r="BO101" i="15"/>
  <c r="BK90" i="15"/>
  <c r="BN101" i="15"/>
  <c r="BJ90" i="15"/>
  <c r="BG101" i="15"/>
  <c r="BV59" i="15"/>
  <c r="BM95" i="15"/>
  <c r="AJ88" i="15"/>
  <c r="CV98" i="15"/>
  <c r="CY101" i="15"/>
  <c r="DK75" i="15"/>
  <c r="CX5" i="15"/>
  <c r="BK5" i="15"/>
  <c r="L4" i="15"/>
  <c r="CK3" i="15"/>
  <c r="AL2" i="15"/>
  <c r="CH6" i="15"/>
  <c r="AQ5" i="15"/>
  <c r="BS7" i="15"/>
  <c r="AT5" i="15"/>
  <c r="G5" i="15"/>
  <c r="BT3" i="15"/>
  <c r="AG3" i="15"/>
  <c r="CC7" i="15"/>
  <c r="AD6" i="15"/>
  <c r="CY4" i="15"/>
  <c r="AV3" i="15"/>
  <c r="BB5" i="15"/>
  <c r="O5" i="15"/>
  <c r="CB3" i="15"/>
  <c r="AO3" i="15"/>
  <c r="CK7" i="15"/>
  <c r="AL6" i="15"/>
  <c r="DG4" i="15"/>
  <c r="BZ5" i="15"/>
  <c r="BG6" i="15"/>
  <c r="DJ4" i="15"/>
  <c r="BW4" i="15"/>
  <c r="X3" i="15"/>
  <c r="CW2" i="15"/>
  <c r="AG7" i="15"/>
  <c r="CT5" i="15"/>
  <c r="BC4" i="15"/>
  <c r="DK6" i="15"/>
  <c r="CX4" i="15"/>
  <c r="CU4" i="15"/>
  <c r="CT3" i="15"/>
  <c r="R6" i="15"/>
  <c r="AF3" i="15"/>
  <c r="BQ4" i="15"/>
  <c r="BB6" i="15"/>
  <c r="CI6" i="15"/>
  <c r="CT99" i="15"/>
  <c r="DJ95" i="15"/>
  <c r="DF92" i="15"/>
  <c r="J89" i="15"/>
  <c r="D85" i="15"/>
  <c r="AY71" i="15"/>
  <c r="G100" i="15"/>
  <c r="C97" i="15"/>
  <c r="S93" i="15"/>
  <c r="O90" i="15"/>
  <c r="BC85" i="15"/>
  <c r="AU69" i="15"/>
  <c r="N98" i="15"/>
  <c r="BR92" i="15"/>
  <c r="BY86" i="15"/>
  <c r="K64" i="15"/>
  <c r="DG96" i="15"/>
  <c r="AE92" i="15"/>
  <c r="CM84" i="15"/>
  <c r="BW54" i="15"/>
  <c r="BZ96" i="15"/>
  <c r="AL90" i="15"/>
  <c r="X84" i="15"/>
  <c r="AI101" i="15"/>
  <c r="BS96" i="15"/>
  <c r="AE90" i="15"/>
  <c r="AN78" i="15"/>
  <c r="AH101" i="15"/>
  <c r="DF94" i="15"/>
  <c r="AD90" i="15"/>
  <c r="AM78" i="15"/>
  <c r="W98" i="15"/>
  <c r="CQ88" i="15"/>
  <c r="U102" i="15"/>
  <c r="AG99" i="15"/>
  <c r="DE94" i="15"/>
  <c r="Q91" i="15"/>
  <c r="BD87" i="15"/>
  <c r="AK70" i="15"/>
  <c r="CN96" i="15"/>
  <c r="CJ89" i="15"/>
  <c r="AQ98" i="15"/>
  <c r="CG87" i="15"/>
  <c r="AM74" i="15"/>
  <c r="K6" i="15"/>
  <c r="BX4" i="15"/>
  <c r="AK4" i="15"/>
  <c r="CX2" i="15"/>
  <c r="AH7" i="15"/>
  <c r="DC5" i="15"/>
  <c r="AM6" i="15"/>
  <c r="DF5" i="15"/>
  <c r="BS5" i="15"/>
  <c r="T4" i="15"/>
  <c r="CS3" i="15"/>
  <c r="AT2" i="15"/>
  <c r="CP6" i="15"/>
  <c r="AY5" i="15"/>
  <c r="AA5" i="15"/>
  <c r="B6" i="15"/>
  <c r="CA5" i="15"/>
  <c r="AB4" i="15"/>
  <c r="DA3" i="15"/>
  <c r="BB2" i="15"/>
  <c r="CX6" i="15"/>
  <c r="BG5" i="15"/>
  <c r="O3" i="15"/>
  <c r="U4" i="15"/>
  <c r="BJ5" i="15"/>
  <c r="W5" i="15"/>
  <c r="CJ3" i="15"/>
  <c r="AW3" i="15"/>
  <c r="CS7" i="15"/>
  <c r="AT6" i="15"/>
  <c r="C5" i="15"/>
  <c r="CN2" i="15"/>
  <c r="DJ5" i="15"/>
  <c r="DG5" i="15"/>
  <c r="BC2" i="15"/>
  <c r="CD6" i="15"/>
  <c r="CR3" i="15"/>
  <c r="Q5" i="15"/>
  <c r="B7" i="15"/>
  <c r="BR102" i="15"/>
  <c r="BN99" i="15"/>
  <c r="CD95" i="15"/>
  <c r="BZ92" i="15"/>
  <c r="CP88" i="15"/>
  <c r="AU82" i="15"/>
  <c r="DF69" i="15"/>
  <c r="CM99" i="15"/>
  <c r="CI96" i="15"/>
  <c r="CY92" i="15"/>
  <c r="C89" i="15"/>
  <c r="DC84" i="15"/>
  <c r="BJ102" i="15"/>
  <c r="CT97" i="15"/>
  <c r="BF91" i="15"/>
  <c r="CZ84" i="15"/>
  <c r="W102" i="15"/>
  <c r="CA96" i="15"/>
  <c r="S91" i="15"/>
  <c r="AA84" i="15"/>
  <c r="J101" i="15"/>
  <c r="AT96" i="15"/>
  <c r="F90" i="15"/>
  <c r="BG83" i="15"/>
  <c r="C101" i="15"/>
  <c r="CA94" i="15"/>
  <c r="DK89" i="15"/>
  <c r="AB77" i="15"/>
  <c r="B101" i="15"/>
  <c r="BZ94" i="15"/>
  <c r="AK88" i="15"/>
  <c r="AA77" i="15"/>
  <c r="BW97" i="15"/>
  <c r="BK88" i="15"/>
  <c r="M102" i="15"/>
  <c r="CK97" i="15"/>
  <c r="CW94" i="15"/>
  <c r="BI90" i="15"/>
  <c r="DD86" i="15"/>
  <c r="AH56" i="15"/>
  <c r="BT95" i="15"/>
  <c r="DA85" i="15"/>
  <c r="AI98" i="15"/>
  <c r="CE84" i="15"/>
  <c r="AS101" i="15"/>
  <c r="AA2" i="15"/>
  <c r="BW6" i="15"/>
  <c r="X5" i="15"/>
  <c r="CW4" i="15"/>
  <c r="AX3" i="15"/>
  <c r="G2" i="15"/>
  <c r="BC6" i="15"/>
  <c r="J2" i="15"/>
  <c r="BF6" i="15"/>
  <c r="S6" i="15"/>
  <c r="CF4" i="15"/>
  <c r="AS4" i="15"/>
  <c r="DF2" i="15"/>
  <c r="AP7" i="15"/>
  <c r="DK5" i="15"/>
  <c r="R2" i="15"/>
  <c r="BN6" i="15"/>
  <c r="AA6" i="15"/>
  <c r="CN4" i="15"/>
  <c r="BA4" i="15"/>
  <c r="B3" i="15"/>
  <c r="AX7" i="15"/>
  <c r="G6" i="15"/>
  <c r="AM5" i="15"/>
  <c r="CY6" i="15"/>
  <c r="J6" i="15"/>
  <c r="CI5" i="15"/>
  <c r="AJ4" i="15"/>
  <c r="DI3" i="15"/>
  <c r="BJ2" i="15"/>
  <c r="DF6" i="15"/>
  <c r="BO5" i="15"/>
  <c r="AN3" i="15"/>
  <c r="G4" i="15"/>
  <c r="AJ2" i="15"/>
  <c r="O4" i="15"/>
  <c r="BG2" i="15"/>
  <c r="AR4" i="15"/>
  <c r="AO7" i="15"/>
  <c r="BN7" i="15"/>
  <c r="AL102" i="15"/>
  <c r="AH99" i="15"/>
  <c r="AX95" i="15"/>
  <c r="BN91" i="15"/>
  <c r="BJ88" i="15"/>
  <c r="AQ81" i="15"/>
  <c r="BK65" i="15"/>
  <c r="BG99" i="15"/>
  <c r="BW95" i="15"/>
  <c r="BS92" i="15"/>
  <c r="CI88" i="15"/>
  <c r="AQ84" i="15"/>
  <c r="AD102" i="15"/>
  <c r="DB95" i="15"/>
  <c r="Z91" i="15"/>
  <c r="W82" i="15"/>
  <c r="DC101" i="15"/>
  <c r="BO95" i="15"/>
  <c r="G90" i="15"/>
  <c r="CR80" i="15"/>
  <c r="CP100" i="15"/>
  <c r="AH95" i="15"/>
  <c r="CL89" i="15"/>
  <c r="AU76" i="15"/>
  <c r="CI100" i="15"/>
  <c r="AU94" i="15"/>
  <c r="CE89" i="15"/>
  <c r="P76" i="15"/>
  <c r="J99" i="15"/>
  <c r="AT94" i="15"/>
  <c r="DG87" i="15"/>
  <c r="O76" i="15"/>
  <c r="AQ97" i="15"/>
  <c r="AF80" i="15"/>
  <c r="E102" i="15"/>
  <c r="CC97" i="15"/>
  <c r="BA94" i="15"/>
  <c r="BA90" i="15"/>
  <c r="S85" i="15"/>
  <c r="AJ102" i="15"/>
  <c r="AZ94" i="15"/>
  <c r="CQ85" i="15"/>
  <c r="DK94" i="15"/>
  <c r="D79" i="15"/>
  <c r="M91" i="15"/>
  <c r="W7" i="15"/>
  <c r="CJ5" i="15"/>
  <c r="AW5" i="15"/>
  <c r="DJ3" i="15"/>
  <c r="BS2" i="15"/>
  <c r="C7" i="15"/>
  <c r="BV2" i="15"/>
  <c r="AI2" i="15"/>
  <c r="CE6" i="15"/>
  <c r="AF5" i="15"/>
  <c r="DE4" i="15"/>
  <c r="BF3" i="15"/>
  <c r="O2" i="15"/>
  <c r="BK6" i="15"/>
  <c r="CD2" i="15"/>
  <c r="AQ2" i="15"/>
  <c r="CM6" i="15"/>
  <c r="AN5" i="15"/>
  <c r="DM4" i="15"/>
  <c r="BN3" i="15"/>
  <c r="W2" i="15"/>
  <c r="BS6" i="15"/>
  <c r="BK7" i="15"/>
  <c r="Z2" i="15"/>
  <c r="BV6" i="15"/>
  <c r="AI6" i="15"/>
  <c r="CV4" i="15"/>
  <c r="BI4" i="15"/>
  <c r="J3" i="15"/>
  <c r="BF7" i="15"/>
  <c r="O6" i="15"/>
  <c r="DL4" i="15"/>
  <c r="BS4" i="15"/>
  <c r="BH4" i="15"/>
  <c r="AY7" i="15"/>
  <c r="CE4" i="15"/>
  <c r="DD4" i="15"/>
  <c r="F2" i="15"/>
  <c r="AM2" i="15"/>
  <c r="F102" i="15"/>
  <c r="V98" i="15"/>
  <c r="R95" i="15"/>
  <c r="AH91" i="15"/>
  <c r="AA88" i="15"/>
  <c r="AE80" i="15"/>
  <c r="AE102" i="15"/>
  <c r="AA99" i="15"/>
  <c r="AQ95" i="15"/>
  <c r="AM92" i="15"/>
  <c r="BC88" i="15"/>
  <c r="L81" i="15"/>
  <c r="DJ101" i="15"/>
  <c r="BV95" i="15"/>
  <c r="DF90" i="15"/>
  <c r="K81" i="15"/>
  <c r="DK99" i="15"/>
  <c r="AI95" i="15"/>
  <c r="DG88" i="15"/>
  <c r="CF79" i="15"/>
  <c r="CD99" i="15"/>
  <c r="V94" i="15"/>
  <c r="BZ88" i="15"/>
  <c r="AI75" i="15"/>
  <c r="BW99" i="15"/>
  <c r="O94" i="15"/>
  <c r="BQ87" i="15"/>
  <c r="D75" i="15"/>
  <c r="CP98" i="15"/>
  <c r="N94" i="15"/>
  <c r="BP87" i="15"/>
  <c r="BW59" i="15"/>
  <c r="K97" i="15"/>
  <c r="T79" i="15"/>
  <c r="BU101" i="15"/>
  <c r="BU97" i="15"/>
  <c r="AG93" i="15"/>
  <c r="E90" i="15"/>
  <c r="C85" i="15"/>
  <c r="AB102" i="15"/>
  <c r="BD93" i="15"/>
  <c r="BO73" i="15"/>
  <c r="CE94" i="15"/>
  <c r="CH97" i="15"/>
  <c r="E91" i="15"/>
  <c r="N5" i="15"/>
  <c r="BM3" i="15"/>
  <c r="J7" i="15"/>
  <c r="V5" i="15"/>
  <c r="BT5" i="15"/>
  <c r="DF4" i="15"/>
  <c r="AT3" i="15"/>
  <c r="G3" i="15"/>
  <c r="BC7" i="15"/>
  <c r="D6" i="15"/>
  <c r="CC5" i="15"/>
  <c r="AD4" i="15"/>
  <c r="CY2" i="15"/>
  <c r="AI7" i="15"/>
  <c r="Z101" i="15"/>
  <c r="B99" i="15"/>
  <c r="CP96" i="15"/>
  <c r="BR94" i="15"/>
  <c r="AT92" i="15"/>
  <c r="V90" i="15"/>
  <c r="CV87" i="15"/>
  <c r="BD84" i="15"/>
  <c r="DG76" i="15"/>
  <c r="V58" i="15"/>
  <c r="CY100" i="15"/>
  <c r="CA98" i="15"/>
  <c r="BC96" i="15"/>
  <c r="AE94" i="15"/>
  <c r="G92" i="15"/>
  <c r="CU89" i="15"/>
  <c r="AV87" i="15"/>
  <c r="CE83" i="15"/>
  <c r="AR73" i="15"/>
  <c r="AX101" i="15"/>
  <c r="BN97" i="15"/>
  <c r="CD93" i="15"/>
  <c r="BZ90" i="15"/>
  <c r="AI86" i="15"/>
  <c r="CM77" i="15"/>
  <c r="BW101" i="15"/>
  <c r="CM97" i="15"/>
  <c r="CI94" i="15"/>
  <c r="CY90" i="15"/>
  <c r="CB87" i="15"/>
  <c r="BT78" i="15"/>
  <c r="DB101" i="15"/>
  <c r="CX98" i="15"/>
  <c r="B95" i="15"/>
  <c r="DJ91" i="15"/>
  <c r="E88" i="15"/>
  <c r="CE79" i="15"/>
  <c r="BV54" i="15"/>
  <c r="AQ99" i="15"/>
  <c r="AM96" i="15"/>
  <c r="BC92" i="15"/>
  <c r="BS88" i="15"/>
  <c r="H84" i="15"/>
  <c r="W67" i="15"/>
  <c r="CH100" i="15"/>
  <c r="CX96" i="15"/>
  <c r="B93" i="15"/>
  <c r="DJ89" i="15"/>
  <c r="T85" i="15"/>
  <c r="C75" i="15"/>
  <c r="DG100" i="15"/>
  <c r="CM93" i="15"/>
  <c r="AB88" i="15"/>
  <c r="BV66" i="15"/>
  <c r="BM101" i="15"/>
  <c r="CW98" i="15"/>
  <c r="BI96" i="15"/>
  <c r="AS94" i="15"/>
  <c r="CC91" i="15"/>
  <c r="DA89" i="15"/>
  <c r="CS86" i="15"/>
  <c r="AB75" i="15"/>
  <c r="T102" i="15"/>
  <c r="CF96" i="15"/>
  <c r="AR92" i="15"/>
  <c r="CB85" i="15"/>
  <c r="K100" i="15"/>
  <c r="G93" i="15"/>
  <c r="BO84" i="15"/>
  <c r="CT92" i="15"/>
  <c r="DD101" i="15"/>
  <c r="C2" i="15"/>
  <c r="BY4" i="15"/>
  <c r="AU2" i="15"/>
  <c r="AH6" i="15"/>
  <c r="CF6" i="15"/>
  <c r="F6" i="15"/>
  <c r="DF3" i="15"/>
  <c r="BS3" i="15"/>
  <c r="T2" i="15"/>
  <c r="BP6" i="15"/>
  <c r="AC6" i="15"/>
  <c r="CP4" i="15"/>
  <c r="AY3" i="15"/>
  <c r="CU7" i="15"/>
  <c r="DF100" i="15"/>
  <c r="CH98" i="15"/>
  <c r="BJ96" i="15"/>
  <c r="AL94" i="15"/>
  <c r="N92" i="15"/>
  <c r="DB89" i="15"/>
  <c r="BE87" i="15"/>
  <c r="CV83" i="15"/>
  <c r="CU75" i="15"/>
  <c r="CQ102" i="15"/>
  <c r="BS100" i="15"/>
  <c r="AU98" i="15"/>
  <c r="W96" i="15"/>
  <c r="DK93" i="15"/>
  <c r="CM91" i="15"/>
  <c r="BO89" i="15"/>
  <c r="E87" i="15"/>
  <c r="DH82" i="15"/>
  <c r="AF72" i="15"/>
  <c r="AL100" i="15"/>
  <c r="AH97" i="15"/>
  <c r="AX93" i="15"/>
  <c r="AT90" i="15"/>
  <c r="DD85" i="15"/>
  <c r="AQ73" i="15"/>
  <c r="AQ101" i="15"/>
  <c r="BG97" i="15"/>
  <c r="BC94" i="15"/>
  <c r="BS90" i="15"/>
  <c r="Y86" i="15"/>
  <c r="BH77" i="15"/>
  <c r="BV101" i="15"/>
  <c r="BR98" i="15"/>
  <c r="CH94" i="15"/>
  <c r="CX90" i="15"/>
  <c r="CA87" i="15"/>
  <c r="BS78" i="15"/>
  <c r="DG102" i="15"/>
  <c r="K99" i="15"/>
  <c r="AA95" i="15"/>
  <c r="W92" i="15"/>
  <c r="AM88" i="15"/>
  <c r="AN83" i="15"/>
  <c r="CM60" i="15"/>
  <c r="BV99" i="15"/>
  <c r="BR96" i="15"/>
  <c r="CH92" i="15"/>
  <c r="CD89" i="15"/>
  <c r="BT84" i="15"/>
  <c r="AX70" i="15"/>
  <c r="CA100" i="15"/>
  <c r="AA93" i="15"/>
  <c r="CK86" i="15"/>
  <c r="CX61" i="15"/>
  <c r="DE100" i="15"/>
  <c r="CO98" i="15"/>
  <c r="M96" i="15"/>
  <c r="AK94" i="15"/>
  <c r="BU91" i="15"/>
  <c r="DE88" i="15"/>
  <c r="CI86" i="15"/>
  <c r="DH74" i="15"/>
  <c r="X101" i="15"/>
  <c r="BX96" i="15"/>
  <c r="X91" i="15"/>
  <c r="CU81" i="15"/>
  <c r="C100" i="15"/>
  <c r="DK92" i="15"/>
  <c r="BP79" i="15"/>
  <c r="BK87" i="15"/>
  <c r="CV101" i="15"/>
  <c r="AA4" i="15"/>
  <c r="AK6" i="15"/>
  <c r="DG2" i="15"/>
  <c r="BW2" i="15"/>
  <c r="I3" i="15"/>
  <c r="R7" i="15"/>
  <c r="BF4" i="15"/>
  <c r="S4" i="15"/>
  <c r="CF2" i="15"/>
  <c r="AS2" i="15"/>
  <c r="CO6" i="15"/>
  <c r="AP5" i="15"/>
  <c r="DK3" i="15"/>
  <c r="CX102" i="15"/>
  <c r="BZ100" i="15"/>
  <c r="BB98" i="15"/>
  <c r="AD96" i="15"/>
  <c r="F94" i="15"/>
  <c r="CT91" i="15"/>
  <c r="BV89" i="15"/>
  <c r="O87" i="15"/>
  <c r="P83" i="15"/>
  <c r="CI74" i="15"/>
  <c r="BK102" i="15"/>
  <c r="AM100" i="15"/>
  <c r="O98" i="15"/>
  <c r="DC95" i="15"/>
  <c r="CE93" i="15"/>
  <c r="BG91" i="15"/>
  <c r="AI89" i="15"/>
  <c r="CA86" i="15"/>
  <c r="X82" i="15"/>
  <c r="T71" i="15"/>
  <c r="F100" i="15"/>
  <c r="B97" i="15"/>
  <c r="R93" i="15"/>
  <c r="AH89" i="15"/>
  <c r="AZ85" i="15"/>
  <c r="AE72" i="15"/>
  <c r="K101" i="15"/>
  <c r="AA97" i="15"/>
  <c r="AQ93" i="15"/>
  <c r="AM90" i="15"/>
  <c r="CU85" i="15"/>
  <c r="AV76" i="15"/>
  <c r="AP101" i="15"/>
  <c r="BF97" i="15"/>
  <c r="BB94" i="15"/>
  <c r="BR90" i="15"/>
  <c r="AJ87" i="15"/>
  <c r="BG77" i="15"/>
  <c r="CU101" i="15"/>
  <c r="CQ98" i="15"/>
  <c r="DG94" i="15"/>
  <c r="DC91" i="15"/>
  <c r="DH87" i="15"/>
  <c r="AZ79" i="15"/>
  <c r="AY52" i="15"/>
  <c r="AP99" i="15"/>
  <c r="AL96" i="15"/>
  <c r="BB92" i="15"/>
  <c r="BR88" i="15"/>
  <c r="G84" i="15"/>
  <c r="BW66" i="15"/>
  <c r="AU100" i="15"/>
  <c r="DG92" i="15"/>
  <c r="AV82" i="15"/>
  <c r="CL60" i="15"/>
  <c r="BI100" i="15"/>
  <c r="CG98" i="15"/>
  <c r="E96" i="15"/>
  <c r="AO93" i="15"/>
  <c r="BM91" i="15"/>
  <c r="CW88" i="15"/>
  <c r="W86" i="15"/>
  <c r="CB74" i="15"/>
  <c r="D100" i="15"/>
  <c r="CB95" i="15"/>
  <c r="P91" i="15"/>
  <c r="BO81" i="15"/>
  <c r="AY98" i="15"/>
  <c r="W91" i="15"/>
  <c r="AJ79" i="15"/>
  <c r="AE76" i="15"/>
  <c r="BT98" i="15"/>
  <c r="CN77" i="15"/>
  <c r="DK64" i="15"/>
  <c r="R101" i="15"/>
  <c r="DF98" i="15"/>
  <c r="CH96" i="15"/>
  <c r="BJ94" i="15"/>
  <c r="AL92" i="15"/>
  <c r="N90" i="15"/>
  <c r="CK87" i="15"/>
  <c r="AN84" i="15"/>
  <c r="CA76" i="15"/>
  <c r="CE56" i="15"/>
  <c r="CQ100" i="15"/>
  <c r="BS98" i="15"/>
  <c r="AU96" i="15"/>
  <c r="W94" i="15"/>
  <c r="DK91" i="15"/>
  <c r="CM89" i="15"/>
  <c r="AK87" i="15"/>
  <c r="BH83" i="15"/>
  <c r="AJ75" i="15"/>
  <c r="CH102" i="15"/>
  <c r="BJ100" i="15"/>
  <c r="AL98" i="15"/>
  <c r="N96" i="15"/>
  <c r="DB93" i="15"/>
  <c r="CD91" i="15"/>
  <c r="BF89" i="15"/>
  <c r="DE86" i="15"/>
  <c r="CJ82" i="15"/>
  <c r="W74" i="15"/>
  <c r="CA102" i="15"/>
  <c r="BC100" i="15"/>
  <c r="AE98" i="15"/>
  <c r="G96" i="15"/>
  <c r="CU93" i="15"/>
  <c r="BW91" i="15"/>
  <c r="AY89" i="15"/>
  <c r="CV86" i="15"/>
  <c r="BS82" i="15"/>
  <c r="DD73" i="15"/>
  <c r="BZ102" i="15"/>
  <c r="BB100" i="15"/>
  <c r="AD98" i="15"/>
  <c r="F96" i="15"/>
  <c r="CT93" i="15"/>
  <c r="BV91" i="15"/>
  <c r="AX89" i="15"/>
  <c r="CU86" i="15"/>
  <c r="BP82" i="15"/>
  <c r="DC73" i="15"/>
  <c r="BS102" i="15"/>
  <c r="CU99" i="15"/>
  <c r="AY95" i="15"/>
  <c r="C91" i="15"/>
  <c r="D86" i="15"/>
  <c r="DG69" i="15"/>
  <c r="CG102" i="15"/>
  <c r="BE101" i="15"/>
  <c r="DA99" i="15"/>
  <c r="AK98" i="15"/>
  <c r="I97" i="15"/>
  <c r="BE95" i="15"/>
  <c r="DA93" i="15"/>
  <c r="BY92" i="15"/>
  <c r="I91" i="15"/>
  <c r="BE89" i="15"/>
  <c r="Y88" i="15"/>
  <c r="L86" i="15"/>
  <c r="BX79" i="15"/>
  <c r="CQ69" i="15"/>
  <c r="P101" i="15"/>
  <c r="CZ97" i="15"/>
  <c r="BL95" i="15"/>
  <c r="AJ92" i="15"/>
  <c r="X88" i="15"/>
  <c r="AI81" i="15"/>
  <c r="CQ101" i="15"/>
  <c r="CE96" i="15"/>
  <c r="DC92" i="15"/>
  <c r="BW87" i="15"/>
  <c r="Z102" i="15"/>
  <c r="Z92" i="15"/>
  <c r="DI100" i="15"/>
  <c r="CE73" i="15"/>
  <c r="CB76" i="15"/>
  <c r="CG56" i="15"/>
  <c r="CX100" i="15"/>
  <c r="BZ98" i="15"/>
  <c r="BB96" i="15"/>
  <c r="AD94" i="15"/>
  <c r="F92" i="15"/>
  <c r="CT89" i="15"/>
  <c r="AU87" i="15"/>
  <c r="CB83" i="15"/>
  <c r="BO75" i="15"/>
  <c r="CI102" i="15"/>
  <c r="BK100" i="15"/>
  <c r="AM98" i="15"/>
  <c r="O96" i="15"/>
  <c r="DC93" i="15"/>
  <c r="CE91" i="15"/>
  <c r="BG89" i="15"/>
  <c r="DG86" i="15"/>
  <c r="CN82" i="15"/>
  <c r="X74" i="15"/>
  <c r="BB102" i="15"/>
  <c r="AD100" i="15"/>
  <c r="F98" i="15"/>
  <c r="CT95" i="15"/>
  <c r="BV93" i="15"/>
  <c r="AX91" i="15"/>
  <c r="Z89" i="15"/>
  <c r="BO86" i="15"/>
  <c r="DC81" i="15"/>
  <c r="K73" i="15"/>
  <c r="AU102" i="15"/>
  <c r="W100" i="15"/>
  <c r="DK97" i="15"/>
  <c r="CM95" i="15"/>
  <c r="BO93" i="15"/>
  <c r="AQ91" i="15"/>
  <c r="S89" i="15"/>
  <c r="BE86" i="15"/>
  <c r="BX81" i="15"/>
  <c r="CR72" i="15"/>
  <c r="AT102" i="15"/>
  <c r="V100" i="15"/>
  <c r="DJ97" i="15"/>
  <c r="CL95" i="15"/>
  <c r="BN93" i="15"/>
  <c r="AP91" i="15"/>
  <c r="R89" i="15"/>
  <c r="BD86" i="15"/>
  <c r="BW81" i="15"/>
  <c r="CQ72" i="15"/>
  <c r="AM102" i="15"/>
  <c r="BO99" i="15"/>
  <c r="S95" i="15"/>
  <c r="CI90" i="15"/>
  <c r="BS85" i="15"/>
  <c r="K66" i="15"/>
  <c r="BY102" i="15"/>
  <c r="I101" i="15"/>
  <c r="CS99" i="15"/>
  <c r="AC98" i="15"/>
  <c r="BY96" i="15"/>
  <c r="AW95" i="15"/>
  <c r="CS93" i="15"/>
  <c r="AC92" i="15"/>
  <c r="DM90" i="15"/>
  <c r="AW89" i="15"/>
  <c r="BY87" i="15"/>
  <c r="DM85" i="15"/>
  <c r="AR79" i="15"/>
  <c r="AI59" i="15"/>
  <c r="H101" i="15"/>
  <c r="CR97" i="15"/>
  <c r="BP94" i="15"/>
  <c r="AB92" i="15"/>
  <c r="M88" i="15"/>
  <c r="DG74" i="15"/>
  <c r="CI101" i="15"/>
  <c r="BW96" i="15"/>
  <c r="AM91" i="15"/>
  <c r="AF87" i="15"/>
  <c r="R102" i="15"/>
  <c r="AX88" i="15"/>
  <c r="DA100" i="15"/>
  <c r="F86" i="15"/>
  <c r="CP102" i="15"/>
  <c r="BR100" i="15"/>
  <c r="AT98" i="15"/>
  <c r="V96" i="15"/>
  <c r="DJ93" i="15"/>
  <c r="CL91" i="15"/>
  <c r="BN89" i="15"/>
  <c r="D87" i="15"/>
  <c r="DG82" i="15"/>
  <c r="BC74" i="15"/>
  <c r="BC102" i="15"/>
  <c r="AE100" i="15"/>
  <c r="G98" i="15"/>
  <c r="CU95" i="15"/>
  <c r="BW93" i="15"/>
  <c r="AY91" i="15"/>
  <c r="AA89" i="15"/>
  <c r="BP86" i="15"/>
  <c r="DD81" i="15"/>
  <c r="L73" i="15"/>
  <c r="V102" i="15"/>
  <c r="DJ99" i="15"/>
  <c r="CL97" i="15"/>
  <c r="BN95" i="15"/>
  <c r="AP93" i="15"/>
  <c r="R91" i="15"/>
  <c r="DF88" i="15"/>
  <c r="X86" i="15"/>
  <c r="CQ80" i="15"/>
  <c r="DK71" i="15"/>
  <c r="O102" i="15"/>
  <c r="DC99" i="15"/>
  <c r="CE97" i="15"/>
  <c r="BG95" i="15"/>
  <c r="AI93" i="15"/>
  <c r="K91" i="15"/>
  <c r="CY88" i="15"/>
  <c r="O86" i="15"/>
  <c r="BL80" i="15"/>
  <c r="CF71" i="15"/>
  <c r="N102" i="15"/>
  <c r="DB99" i="15"/>
  <c r="CD97" i="15"/>
  <c r="BF95" i="15"/>
  <c r="AH93" i="15"/>
  <c r="J91" i="15"/>
  <c r="CX88" i="15"/>
  <c r="M86" i="15"/>
  <c r="BK80" i="15"/>
  <c r="CE71" i="15"/>
  <c r="G102" i="15"/>
  <c r="AI99" i="15"/>
  <c r="CY94" i="15"/>
  <c r="BC90" i="15"/>
  <c r="G85" i="15"/>
  <c r="CH67" i="15"/>
  <c r="BQ102" i="15"/>
  <c r="DM100" i="15"/>
  <c r="AW99" i="15"/>
  <c r="U98" i="15"/>
  <c r="BQ96" i="15"/>
  <c r="DM94" i="15"/>
  <c r="CK93" i="15"/>
  <c r="U92" i="15"/>
  <c r="BQ90" i="15"/>
  <c r="AO89" i="15"/>
  <c r="BO87" i="15"/>
  <c r="AI85" i="15"/>
  <c r="L79" i="15"/>
  <c r="CS57" i="15"/>
  <c r="L100" i="15"/>
  <c r="CJ97" i="15"/>
  <c r="BH94" i="15"/>
  <c r="AF91" i="15"/>
  <c r="C88" i="15"/>
  <c r="CA74" i="15"/>
  <c r="S100" i="15"/>
  <c r="AQ96" i="15"/>
  <c r="AE91" i="15"/>
  <c r="AE85" i="15"/>
  <c r="J102" i="15"/>
  <c r="BU87" i="15"/>
  <c r="BI91" i="15"/>
  <c r="CP84" i="15"/>
  <c r="AA101" i="15"/>
  <c r="C99" i="15"/>
  <c r="CQ96" i="15"/>
  <c r="BS94" i="15"/>
  <c r="AU92" i="15"/>
  <c r="W90" i="15"/>
  <c r="CW87" i="15"/>
  <c r="BG84" i="15"/>
  <c r="DH76" i="15"/>
  <c r="W58" i="15"/>
  <c r="J66" i="15"/>
  <c r="BT47" i="15"/>
  <c r="BI102" i="15"/>
  <c r="DI101" i="15"/>
  <c r="AW101" i="15"/>
  <c r="CW100" i="15"/>
  <c r="AK100" i="15"/>
  <c r="CK99" i="15"/>
  <c r="Y99" i="15"/>
  <c r="BY98" i="15"/>
  <c r="M98" i="15"/>
  <c r="BM97" i="15"/>
  <c r="DM96" i="15"/>
  <c r="BA96" i="15"/>
  <c r="DA95" i="15"/>
  <c r="AO95" i="15"/>
  <c r="CO94" i="15"/>
  <c r="AC94" i="15"/>
  <c r="CC93" i="15"/>
  <c r="Q93" i="15"/>
  <c r="BQ92" i="15"/>
  <c r="E92" i="15"/>
  <c r="BE91" i="15"/>
  <c r="DE90" i="15"/>
  <c r="AS90" i="15"/>
  <c r="CS89" i="15"/>
  <c r="AG89" i="15"/>
  <c r="CG88" i="15"/>
  <c r="O88" i="15"/>
  <c r="AS87" i="15"/>
  <c r="BX86" i="15"/>
  <c r="DC85" i="15"/>
  <c r="CY84" i="15"/>
  <c r="DD82" i="15"/>
  <c r="CR78" i="15"/>
  <c r="AV74" i="15"/>
  <c r="AE69" i="15"/>
  <c r="K54" i="15"/>
  <c r="L102" i="15"/>
  <c r="DL100" i="15"/>
  <c r="CZ99" i="15"/>
  <c r="CN98" i="15"/>
  <c r="CB97" i="15"/>
  <c r="BP96" i="15"/>
  <c r="BD95" i="15"/>
  <c r="AR94" i="15"/>
  <c r="AF93" i="15"/>
  <c r="T92" i="15"/>
  <c r="H91" i="15"/>
  <c r="CB89" i="15"/>
  <c r="DD87" i="15"/>
  <c r="BL85" i="15"/>
  <c r="W80" i="15"/>
  <c r="AI73" i="15"/>
  <c r="AH59" i="15"/>
  <c r="CA101" i="15"/>
  <c r="DG99" i="15"/>
  <c r="C98" i="15"/>
  <c r="AI96" i="15"/>
  <c r="BO94" i="15"/>
  <c r="CU92" i="15"/>
  <c r="O91" i="15"/>
  <c r="W89" i="15"/>
  <c r="U87" i="15"/>
  <c r="AY84" i="15"/>
  <c r="CJ78" i="15"/>
  <c r="BZ101" i="15"/>
  <c r="BV96" i="15"/>
  <c r="R92" i="15"/>
  <c r="DK86" i="15"/>
  <c r="G74" i="15"/>
  <c r="CS100" i="15"/>
  <c r="AO88" i="15"/>
  <c r="BL98" i="15"/>
  <c r="CH84" i="15"/>
  <c r="CI98" i="15"/>
  <c r="BK96" i="15"/>
  <c r="AM94" i="15"/>
  <c r="O92" i="15"/>
  <c r="DC89" i="15"/>
  <c r="BG87" i="15"/>
  <c r="CZ83" i="15"/>
  <c r="CV75" i="15"/>
  <c r="BU47" i="15"/>
  <c r="BJ65" i="15"/>
  <c r="DM102" i="15"/>
  <c r="BA102" i="15"/>
  <c r="DA101" i="15"/>
  <c r="AO101" i="15"/>
  <c r="CO100" i="15"/>
  <c r="AC100" i="15"/>
  <c r="CC99" i="15"/>
  <c r="Q99" i="15"/>
  <c r="BQ98" i="15"/>
  <c r="E98" i="15"/>
  <c r="BE97" i="15"/>
  <c r="DE96" i="15"/>
  <c r="AS96" i="15"/>
  <c r="CS95" i="15"/>
  <c r="AG95" i="15"/>
  <c r="CG94" i="15"/>
  <c r="U94" i="15"/>
  <c r="BU93" i="15"/>
  <c r="I93" i="15"/>
  <c r="BI92" i="15"/>
  <c r="DI91" i="15"/>
  <c r="AW91" i="15"/>
  <c r="CW90" i="15"/>
  <c r="AK90" i="15"/>
  <c r="CK89" i="15"/>
  <c r="Y89" i="15"/>
  <c r="BY88" i="15"/>
  <c r="D88" i="15"/>
  <c r="AI87" i="15"/>
  <c r="BM86" i="15"/>
  <c r="CR85" i="15"/>
  <c r="CI84" i="15"/>
  <c r="CV81" i="15"/>
  <c r="AZ77" i="15"/>
  <c r="D73" i="15"/>
  <c r="BG66" i="15"/>
  <c r="CV102" i="15"/>
  <c r="CJ101" i="15"/>
  <c r="BX100" i="15"/>
  <c r="BL99" i="15"/>
  <c r="AZ98" i="15"/>
  <c r="AN97" i="15"/>
  <c r="AB96" i="15"/>
  <c r="P95" i="15"/>
  <c r="D94" i="15"/>
  <c r="DD92" i="15"/>
  <c r="CR91" i="15"/>
  <c r="CF90" i="15"/>
  <c r="X89" i="15"/>
  <c r="W87" i="15"/>
  <c r="AZ84" i="15"/>
  <c r="DK77" i="15"/>
  <c r="K71" i="15"/>
  <c r="CU102" i="15"/>
  <c r="O101" i="15"/>
  <c r="AU99" i="15"/>
  <c r="BC97" i="15"/>
  <c r="CI95" i="15"/>
  <c r="C94" i="15"/>
  <c r="AI92" i="15"/>
  <c r="BO90" i="15"/>
  <c r="BW88" i="15"/>
  <c r="AZ86" i="15"/>
  <c r="H83" i="15"/>
  <c r="AV72" i="15"/>
  <c r="AX100" i="15"/>
  <c r="F95" i="15"/>
  <c r="BN90" i="15"/>
  <c r="L85" i="15"/>
  <c r="BV64" i="15"/>
  <c r="CC98" i="15"/>
  <c r="BX82" i="15"/>
  <c r="BT92" i="15"/>
  <c r="CO68" i="15"/>
  <c r="BC98" i="15"/>
  <c r="AE96" i="15"/>
  <c r="G94" i="15"/>
  <c r="CU91" i="15"/>
  <c r="BW89" i="15"/>
  <c r="P87" i="15"/>
  <c r="S83" i="15"/>
  <c r="CJ74" i="15"/>
  <c r="AT69" i="15"/>
  <c r="DJ64" i="15"/>
  <c r="DE102" i="15"/>
  <c r="AS102" i="15"/>
  <c r="CS101" i="15"/>
  <c r="AG101" i="15"/>
  <c r="CG100" i="15"/>
  <c r="U100" i="15"/>
  <c r="BU99" i="15"/>
  <c r="I99" i="15"/>
  <c r="BI98" i="15"/>
  <c r="DI97" i="15"/>
  <c r="AW97" i="15"/>
  <c r="CW96" i="15"/>
  <c r="AK96" i="15"/>
  <c r="CK95" i="15"/>
  <c r="Y95" i="15"/>
  <c r="BY94" i="15"/>
  <c r="M94" i="15"/>
  <c r="BM93" i="15"/>
  <c r="DM92" i="15"/>
  <c r="BA92" i="15"/>
  <c r="DA91" i="15"/>
  <c r="AO91" i="15"/>
  <c r="CO90" i="15"/>
  <c r="AC90" i="15"/>
  <c r="CC89" i="15"/>
  <c r="Q89" i="15"/>
  <c r="BQ88" i="15"/>
  <c r="DE87" i="15"/>
  <c r="X87" i="15"/>
  <c r="BC86" i="15"/>
  <c r="CE85" i="15"/>
  <c r="BS84" i="15"/>
  <c r="BP81" i="15"/>
  <c r="T77" i="15"/>
  <c r="CJ72" i="15"/>
  <c r="DG65" i="15"/>
  <c r="CN102" i="15"/>
  <c r="CB101" i="15"/>
  <c r="BP100" i="15"/>
  <c r="BD99" i="15"/>
  <c r="AR98" i="15"/>
  <c r="AF97" i="15"/>
  <c r="T96" i="15"/>
  <c r="H95" i="15"/>
  <c r="DH93" i="15"/>
  <c r="CV92" i="15"/>
  <c r="CJ91" i="15"/>
  <c r="BH90" i="15"/>
  <c r="P89" i="15"/>
  <c r="L87" i="15"/>
  <c r="CR83" i="15"/>
  <c r="CE77" i="15"/>
  <c r="CI70" i="15"/>
  <c r="CM102" i="15"/>
  <c r="G101" i="15"/>
  <c r="O99" i="15"/>
  <c r="AU97" i="15"/>
  <c r="CA95" i="15"/>
  <c r="DG93" i="15"/>
  <c r="AA92" i="15"/>
  <c r="AI90" i="15"/>
  <c r="BO88" i="15"/>
  <c r="AO86" i="15"/>
  <c r="CY82" i="15"/>
  <c r="P72" i="15"/>
  <c r="BB99" i="15"/>
  <c r="DJ94" i="15"/>
  <c r="BF90" i="15"/>
  <c r="AF84" i="15"/>
  <c r="BJ63" i="15"/>
  <c r="E97" i="15"/>
  <c r="AV78" i="15"/>
  <c r="BL92" i="15"/>
  <c r="BY68" i="15"/>
  <c r="BX73" i="15"/>
  <c r="CT68" i="15"/>
  <c r="J64" i="15"/>
  <c r="CW102" i="15"/>
  <c r="AK102" i="15"/>
  <c r="CK101" i="15"/>
  <c r="Y101" i="15"/>
  <c r="BY100" i="15"/>
  <c r="M100" i="15"/>
  <c r="BM99" i="15"/>
  <c r="DM98" i="15"/>
  <c r="BA98" i="15"/>
  <c r="DA97" i="15"/>
  <c r="AO97" i="15"/>
  <c r="CO96" i="15"/>
  <c r="AC96" i="15"/>
  <c r="CC95" i="15"/>
  <c r="Q95" i="15"/>
  <c r="BQ94" i="15"/>
  <c r="E94" i="15"/>
  <c r="BE93" i="15"/>
  <c r="DE92" i="15"/>
  <c r="AS92" i="15"/>
  <c r="CS91" i="15"/>
  <c r="AG91" i="15"/>
  <c r="CG90" i="15"/>
  <c r="U90" i="15"/>
  <c r="BU89" i="15"/>
  <c r="I89" i="15"/>
  <c r="BI88" i="15"/>
  <c r="CU87" i="15"/>
  <c r="M87" i="15"/>
  <c r="AR86" i="15"/>
  <c r="BO85" i="15"/>
  <c r="BC84" i="15"/>
  <c r="AJ81" i="15"/>
  <c r="CZ76" i="15"/>
  <c r="BD72" i="15"/>
  <c r="AU65" i="15"/>
  <c r="CF102" i="15"/>
  <c r="BT101" i="15"/>
  <c r="BH100" i="15"/>
  <c r="AV99" i="15"/>
  <c r="AJ98" i="15"/>
  <c r="X97" i="15"/>
  <c r="L96" i="15"/>
  <c r="DL94" i="15"/>
  <c r="CZ93" i="15"/>
  <c r="CN92" i="15"/>
  <c r="CB91" i="15"/>
  <c r="AZ90" i="15"/>
  <c r="H89" i="15"/>
  <c r="CG86" i="15"/>
  <c r="BW83" i="15"/>
  <c r="AY77" i="15"/>
  <c r="AJ70" i="15"/>
  <c r="CE102" i="15"/>
  <c r="CM100" i="15"/>
  <c r="G99" i="15"/>
  <c r="AM97" i="15"/>
  <c r="BS95" i="15"/>
  <c r="CY93" i="15"/>
  <c r="DG91" i="15"/>
  <c r="AA90" i="15"/>
  <c r="BG88" i="15"/>
  <c r="AE86" i="15"/>
  <c r="CB82" i="15"/>
  <c r="CQ65" i="15"/>
  <c r="AT99" i="15"/>
  <c r="DB94" i="15"/>
  <c r="J90" i="15"/>
  <c r="P84" i="15"/>
  <c r="S43" i="15"/>
  <c r="DE95" i="15"/>
  <c r="P78" i="15"/>
  <c r="BP91" i="15"/>
  <c r="AW85" i="15"/>
  <c r="O100" i="15"/>
  <c r="DC97" i="15"/>
  <c r="CE95" i="15"/>
  <c r="BG93" i="15"/>
  <c r="AI91" i="15"/>
  <c r="K89" i="15"/>
  <c r="AU86" i="15"/>
  <c r="AR81" i="15"/>
  <c r="BL72" i="15"/>
  <c r="AH68" i="15"/>
  <c r="DJ62" i="15"/>
  <c r="CO102" i="15"/>
  <c r="AC102" i="15"/>
  <c r="CC101" i="15"/>
  <c r="Q101" i="15"/>
  <c r="BQ100" i="15"/>
  <c r="E100" i="15"/>
  <c r="BE99" i="15"/>
  <c r="DE98" i="15"/>
  <c r="AS98" i="15"/>
  <c r="CS97" i="15"/>
  <c r="AG97" i="15"/>
  <c r="CG96" i="15"/>
  <c r="U96" i="15"/>
  <c r="BU95" i="15"/>
  <c r="I95" i="15"/>
  <c r="BI94" i="15"/>
  <c r="DI93" i="15"/>
  <c r="AW93" i="15"/>
  <c r="CW92" i="15"/>
  <c r="AK92" i="15"/>
  <c r="CK91" i="15"/>
  <c r="Y91" i="15"/>
  <c r="BY90" i="15"/>
  <c r="M90" i="15"/>
  <c r="BM89" i="15"/>
  <c r="DM88" i="15"/>
  <c r="BA88" i="15"/>
  <c r="CJ87" i="15"/>
  <c r="C87" i="15"/>
  <c r="AG86" i="15"/>
  <c r="AY85" i="15"/>
  <c r="AM84" i="15"/>
  <c r="D81" i="15"/>
  <c r="BT76" i="15"/>
  <c r="X72" i="15"/>
  <c r="CU64" i="15"/>
  <c r="BX102" i="15"/>
  <c r="BL101" i="15"/>
  <c r="AZ100" i="15"/>
  <c r="AN99" i="15"/>
  <c r="AB98" i="15"/>
  <c r="P97" i="15"/>
  <c r="D96" i="15"/>
  <c r="DD94" i="15"/>
  <c r="CR93" i="15"/>
  <c r="CF92" i="15"/>
  <c r="BT91" i="15"/>
  <c r="AR90" i="15"/>
  <c r="CN88" i="15"/>
  <c r="BW86" i="15"/>
  <c r="AZ83" i="15"/>
  <c r="S77" i="15"/>
  <c r="CP69" i="15"/>
  <c r="AY102" i="15"/>
  <c r="CE100" i="15"/>
  <c r="DK98" i="15"/>
  <c r="AE97" i="15"/>
  <c r="BK95" i="15"/>
  <c r="BS93" i="15"/>
  <c r="CY91" i="15"/>
  <c r="S90" i="15"/>
  <c r="AY88" i="15"/>
  <c r="T86" i="15"/>
  <c r="CN81" i="15"/>
  <c r="AE65" i="15"/>
  <c r="AL99" i="15"/>
  <c r="BF94" i="15"/>
  <c r="B90" i="15"/>
  <c r="BD82" i="15"/>
  <c r="BU102" i="15"/>
  <c r="BI95" i="15"/>
  <c r="CV77" i="15"/>
  <c r="AR89" i="15"/>
  <c r="BQ76" i="15"/>
  <c r="W84" i="15"/>
  <c r="CI82" i="15"/>
  <c r="CJ80" i="15"/>
  <c r="BL78" i="15"/>
  <c r="AN76" i="15"/>
  <c r="P74" i="15"/>
  <c r="DD71" i="15"/>
  <c r="CE68" i="15"/>
  <c r="CQ63" i="15"/>
  <c r="CY51" i="15"/>
  <c r="BP102" i="15"/>
  <c r="D102" i="15"/>
  <c r="BD101" i="15"/>
  <c r="DD100" i="15"/>
  <c r="AR100" i="15"/>
  <c r="CR99" i="15"/>
  <c r="AF99" i="15"/>
  <c r="CF98" i="15"/>
  <c r="T98" i="15"/>
  <c r="BT97" i="15"/>
  <c r="H97" i="15"/>
  <c r="BH96" i="15"/>
  <c r="DH95" i="15"/>
  <c r="AV95" i="15"/>
  <c r="CV94" i="15"/>
  <c r="AJ94" i="15"/>
  <c r="CJ93" i="15"/>
  <c r="X93" i="15"/>
  <c r="BX92" i="15"/>
  <c r="L92" i="15"/>
  <c r="BL91" i="15"/>
  <c r="DL90" i="15"/>
  <c r="AJ90" i="15"/>
  <c r="BT89" i="15"/>
  <c r="CF88" i="15"/>
  <c r="CS87" i="15"/>
  <c r="BL86" i="15"/>
  <c r="DL84" i="15"/>
  <c r="AF83" i="15"/>
  <c r="DC79" i="15"/>
  <c r="CY76" i="15"/>
  <c r="C73" i="15"/>
  <c r="BR67" i="15"/>
  <c r="CQ57" i="15"/>
  <c r="AQ102" i="15"/>
  <c r="BS101" i="15"/>
  <c r="BW100" i="15"/>
  <c r="CA99" i="15"/>
  <c r="DC98" i="15"/>
  <c r="DG97" i="15"/>
  <c r="W97" i="15"/>
  <c r="AA96" i="15"/>
  <c r="AE95" i="15"/>
  <c r="BG94" i="15"/>
  <c r="BK93" i="15"/>
  <c r="CM92" i="15"/>
  <c r="CQ91" i="15"/>
  <c r="CU90" i="15"/>
  <c r="K90" i="15"/>
  <c r="O89" i="15"/>
  <c r="AQ88" i="15"/>
  <c r="K87" i="15"/>
  <c r="CO85" i="15"/>
  <c r="AI84" i="15"/>
  <c r="BH81" i="15"/>
  <c r="L77" i="15"/>
  <c r="BW64" i="15"/>
  <c r="F101" i="15"/>
  <c r="DB98" i="15"/>
  <c r="BN96" i="15"/>
  <c r="AX94" i="15"/>
  <c r="CH91" i="15"/>
  <c r="AT89" i="15"/>
  <c r="CZ86" i="15"/>
  <c r="DG80" i="15"/>
  <c r="CM73" i="15"/>
  <c r="BM102" i="15"/>
  <c r="CW99" i="15"/>
  <c r="BA95" i="15"/>
  <c r="AE88" i="15"/>
  <c r="AZ73" i="15"/>
  <c r="DL97" i="15"/>
  <c r="H85" i="15"/>
  <c r="CT81" i="15"/>
  <c r="M76" i="15"/>
  <c r="D84" i="15"/>
  <c r="BL82" i="15"/>
  <c r="BD80" i="15"/>
  <c r="AF78" i="15"/>
  <c r="H76" i="15"/>
  <c r="CV73" i="15"/>
  <c r="BX71" i="15"/>
  <c r="S68" i="15"/>
  <c r="CE62" i="15"/>
  <c r="AW45" i="15"/>
  <c r="BH102" i="15"/>
  <c r="DH101" i="15"/>
  <c r="AV101" i="15"/>
  <c r="CV100" i="15"/>
  <c r="AJ100" i="15"/>
  <c r="CJ99" i="15"/>
  <c r="X99" i="15"/>
  <c r="BX98" i="15"/>
  <c r="L98" i="15"/>
  <c r="BL97" i="15"/>
  <c r="DL96" i="15"/>
  <c r="AZ96" i="15"/>
  <c r="CZ95" i="15"/>
  <c r="AN95" i="15"/>
  <c r="CN94" i="15"/>
  <c r="AB94" i="15"/>
  <c r="CB93" i="15"/>
  <c r="P93" i="15"/>
  <c r="BP92" i="15"/>
  <c r="D92" i="15"/>
  <c r="BD91" i="15"/>
  <c r="DD90" i="15"/>
  <c r="AB90" i="15"/>
  <c r="AV89" i="15"/>
  <c r="BX88" i="15"/>
  <c r="BC87" i="15"/>
  <c r="BA86" i="15"/>
  <c r="CV84" i="15"/>
  <c r="K83" i="15"/>
  <c r="BW79" i="15"/>
  <c r="CM75" i="15"/>
  <c r="CI72" i="15"/>
  <c r="F67" i="15"/>
  <c r="AG56" i="15"/>
  <c r="AI102" i="15"/>
  <c r="AM101" i="15"/>
  <c r="BO100" i="15"/>
  <c r="BS99" i="15"/>
  <c r="CU98" i="15"/>
  <c r="CY97" i="15"/>
  <c r="DC96" i="15"/>
  <c r="S96" i="15"/>
  <c r="W95" i="15"/>
  <c r="AY94" i="15"/>
  <c r="BC93" i="15"/>
  <c r="BG92" i="15"/>
  <c r="CI91" i="15"/>
  <c r="CM90" i="15"/>
  <c r="C90" i="15"/>
  <c r="G89" i="15"/>
  <c r="DM87" i="15"/>
  <c r="DL86" i="15"/>
  <c r="CA85" i="15"/>
  <c r="S84" i="15"/>
  <c r="AB81" i="15"/>
  <c r="BT74" i="15"/>
  <c r="BB57" i="15"/>
  <c r="DJ100" i="15"/>
  <c r="CT98" i="15"/>
  <c r="R96" i="15"/>
  <c r="CP93" i="15"/>
  <c r="BZ91" i="15"/>
  <c r="DJ88" i="15"/>
  <c r="CO86" i="15"/>
  <c r="CA80" i="15"/>
  <c r="N69" i="15"/>
  <c r="BE102" i="15"/>
  <c r="CO99" i="15"/>
  <c r="AO94" i="15"/>
  <c r="T88" i="15"/>
  <c r="G61" i="15"/>
  <c r="BD96" i="15"/>
  <c r="DD84" i="15"/>
  <c r="CD81" i="15"/>
  <c r="CZ69" i="15"/>
  <c r="CU83" i="15"/>
  <c r="AR82" i="15"/>
  <c r="X80" i="15"/>
  <c r="DL77" i="15"/>
  <c r="CN75" i="15"/>
  <c r="BP73" i="15"/>
  <c r="AR71" i="15"/>
  <c r="BS67" i="15"/>
  <c r="BS61" i="15"/>
  <c r="DL102" i="15"/>
  <c r="AZ102" i="15"/>
  <c r="CZ101" i="15"/>
  <c r="AN101" i="15"/>
  <c r="CN100" i="15"/>
  <c r="AB100" i="15"/>
  <c r="CB99" i="15"/>
  <c r="P99" i="15"/>
  <c r="BP98" i="15"/>
  <c r="D98" i="15"/>
  <c r="BD97" i="15"/>
  <c r="DD96" i="15"/>
  <c r="AR96" i="15"/>
  <c r="CR95" i="15"/>
  <c r="AF95" i="15"/>
  <c r="CF94" i="15"/>
  <c r="T94" i="15"/>
  <c r="BT93" i="15"/>
  <c r="H93" i="15"/>
  <c r="BH92" i="15"/>
  <c r="DH91" i="15"/>
  <c r="AV91" i="15"/>
  <c r="CV90" i="15"/>
  <c r="T90" i="15"/>
  <c r="AN89" i="15"/>
  <c r="BP88" i="15"/>
  <c r="AR87" i="15"/>
  <c r="AQ86" i="15"/>
  <c r="CF84" i="15"/>
  <c r="AN82" i="15"/>
  <c r="AQ79" i="15"/>
  <c r="BG75" i="15"/>
  <c r="BC72" i="15"/>
  <c r="BF66" i="15"/>
  <c r="DK102" i="15"/>
  <c r="AA102" i="15"/>
  <c r="AE101" i="15"/>
  <c r="BG100" i="15"/>
  <c r="BK99" i="15"/>
  <c r="BO98" i="15"/>
  <c r="CQ97" i="15"/>
  <c r="CU96" i="15"/>
  <c r="K96" i="15"/>
  <c r="O95" i="15"/>
  <c r="S94" i="15"/>
  <c r="AU93" i="15"/>
  <c r="AY92" i="15"/>
  <c r="CA91" i="15"/>
  <c r="CE90" i="15"/>
  <c r="CI89" i="15"/>
  <c r="DK88" i="15"/>
  <c r="DC87" i="15"/>
  <c r="DA86" i="15"/>
  <c r="BK85" i="15"/>
  <c r="AY83" i="15"/>
  <c r="DH80" i="15"/>
  <c r="AN74" i="15"/>
  <c r="CI55" i="15"/>
  <c r="BN100" i="15"/>
  <c r="Z98" i="15"/>
  <c r="J96" i="15"/>
  <c r="AT93" i="15"/>
  <c r="BR91" i="15"/>
  <c r="DB88" i="15"/>
  <c r="AR85" i="15"/>
  <c r="AU80" i="15"/>
  <c r="BN68" i="15"/>
  <c r="I102" i="15"/>
  <c r="BY99" i="15"/>
  <c r="CC92" i="15"/>
  <c r="CC86" i="15"/>
  <c r="BV49" i="15"/>
  <c r="AV96" i="15"/>
  <c r="CU77" i="15"/>
  <c r="DJ75" i="15"/>
  <c r="DD64" i="15"/>
  <c r="BX83" i="15"/>
  <c r="P82" i="15"/>
  <c r="DD79" i="15"/>
  <c r="CF77" i="15"/>
  <c r="BH75" i="15"/>
  <c r="AJ73" i="15"/>
  <c r="L71" i="15"/>
  <c r="G67" i="15"/>
  <c r="BG60" i="15"/>
  <c r="DD102" i="15"/>
  <c r="AR102" i="15"/>
  <c r="CR101" i="15"/>
  <c r="AF101" i="15"/>
  <c r="CF100" i="15"/>
  <c r="T100" i="15"/>
  <c r="BT99" i="15"/>
  <c r="H99" i="15"/>
  <c r="BH98" i="15"/>
  <c r="DH97" i="15"/>
  <c r="AV97" i="15"/>
  <c r="CV96" i="15"/>
  <c r="AJ96" i="15"/>
  <c r="CJ95" i="15"/>
  <c r="X95" i="15"/>
  <c r="BX94" i="15"/>
  <c r="L94" i="15"/>
  <c r="BL93" i="15"/>
  <c r="DL92" i="15"/>
  <c r="AZ92" i="15"/>
  <c r="CZ91" i="15"/>
  <c r="AN91" i="15"/>
  <c r="CN90" i="15"/>
  <c r="DH89" i="15"/>
  <c r="AF89" i="15"/>
  <c r="BH88" i="15"/>
  <c r="AG87" i="15"/>
  <c r="DL85" i="15"/>
  <c r="BP84" i="15"/>
  <c r="O82" i="15"/>
  <c r="K79" i="15"/>
  <c r="AA75" i="15"/>
  <c r="AQ71" i="15"/>
  <c r="DF65" i="15"/>
  <c r="DC102" i="15"/>
  <c r="S102" i="15"/>
  <c r="W101" i="15"/>
  <c r="AA100" i="15"/>
  <c r="BC99" i="15"/>
  <c r="BG98" i="15"/>
  <c r="CI97" i="15"/>
  <c r="CM96" i="15"/>
  <c r="CQ95" i="15"/>
  <c r="G95" i="15"/>
  <c r="K94" i="15"/>
  <c r="AM93" i="15"/>
  <c r="AQ92" i="15"/>
  <c r="AU91" i="15"/>
  <c r="BW90" i="15"/>
  <c r="CA89" i="15"/>
  <c r="DC88" i="15"/>
  <c r="CR87" i="15"/>
  <c r="BK86" i="15"/>
  <c r="AU85" i="15"/>
  <c r="AB83" i="15"/>
  <c r="CB80" i="15"/>
  <c r="CB72" i="15"/>
  <c r="BV102" i="15"/>
  <c r="BF100" i="15"/>
  <c r="CP97" i="15"/>
  <c r="B96" i="15"/>
  <c r="AL93" i="15"/>
  <c r="BV90" i="15"/>
  <c r="CT88" i="15"/>
  <c r="AB85" i="15"/>
  <c r="CI78" i="15"/>
  <c r="B68" i="15"/>
  <c r="BA101" i="15"/>
  <c r="CK98" i="15"/>
  <c r="BU92" i="15"/>
  <c r="Q86" i="15"/>
  <c r="DL101" i="15"/>
  <c r="X94" i="15"/>
  <c r="BO77" i="15"/>
  <c r="BN71" i="15"/>
  <c r="CN64" i="15"/>
  <c r="BX90" i="15"/>
  <c r="L90" i="15"/>
  <c r="BL89" i="15"/>
  <c r="DL88" i="15"/>
  <c r="AZ88" i="15"/>
  <c r="CI87" i="15"/>
  <c r="DM86" i="15"/>
  <c r="AF86" i="15"/>
  <c r="AV85" i="15"/>
  <c r="AJ84" i="15"/>
  <c r="CZ82" i="15"/>
  <c r="C81" i="15"/>
  <c r="CQ78" i="15"/>
  <c r="BS76" i="15"/>
  <c r="AU74" i="15"/>
  <c r="W72" i="15"/>
  <c r="AD69" i="15"/>
  <c r="CT64" i="15"/>
  <c r="J54" i="15"/>
  <c r="BW102" i="15"/>
  <c r="K102" i="15"/>
  <c r="BK101" i="15"/>
  <c r="DK100" i="15"/>
  <c r="AY100" i="15"/>
  <c r="CY99" i="15"/>
  <c r="AM99" i="15"/>
  <c r="CM98" i="15"/>
  <c r="AA98" i="15"/>
  <c r="CA97" i="15"/>
  <c r="O97" i="15"/>
  <c r="BO96" i="15"/>
  <c r="C96" i="15"/>
  <c r="BC95" i="15"/>
  <c r="DC94" i="15"/>
  <c r="AQ94" i="15"/>
  <c r="CQ93" i="15"/>
  <c r="AE93" i="15"/>
  <c r="CE92" i="15"/>
  <c r="S92" i="15"/>
  <c r="BS91" i="15"/>
  <c r="G91" i="15"/>
  <c r="BG90" i="15"/>
  <c r="DG89" i="15"/>
  <c r="AU89" i="15"/>
  <c r="CU88" i="15"/>
  <c r="AG88" i="15"/>
  <c r="BL87" i="15"/>
  <c r="CQ86" i="15"/>
  <c r="I86" i="15"/>
  <c r="O85" i="15"/>
  <c r="DK83" i="15"/>
  <c r="BH82" i="15"/>
  <c r="AV80" i="15"/>
  <c r="CR76" i="15"/>
  <c r="Z70" i="15"/>
  <c r="BK53" i="15"/>
  <c r="BR101" i="15"/>
  <c r="B100" i="15"/>
  <c r="CL98" i="15"/>
  <c r="V97" i="15"/>
  <c r="BR95" i="15"/>
  <c r="AP94" i="15"/>
  <c r="CL92" i="15"/>
  <c r="V91" i="15"/>
  <c r="DF89" i="15"/>
  <c r="AP88" i="15"/>
  <c r="AC86" i="15"/>
  <c r="DH83" i="15"/>
  <c r="BC78" i="15"/>
  <c r="O72" i="15"/>
  <c r="AX62" i="15"/>
  <c r="DM101" i="15"/>
  <c r="AW100" i="15"/>
  <c r="AG98" i="15"/>
  <c r="AG94" i="15"/>
  <c r="DE89" i="15"/>
  <c r="G86" i="15"/>
  <c r="CN71" i="15"/>
  <c r="CJ100" i="15"/>
  <c r="AN96" i="15"/>
  <c r="AJ89" i="15"/>
  <c r="CE39" i="15"/>
  <c r="AT80" i="15"/>
  <c r="DE84" i="15"/>
  <c r="DL70" i="15"/>
  <c r="BP90" i="15"/>
  <c r="D90" i="15"/>
  <c r="BD89" i="15"/>
  <c r="DD88" i="15"/>
  <c r="AR88" i="15"/>
  <c r="BX87" i="15"/>
  <c r="DC86" i="15"/>
  <c r="U86" i="15"/>
  <c r="AF85" i="15"/>
  <c r="T84" i="15"/>
  <c r="CF82" i="15"/>
  <c r="CI80" i="15"/>
  <c r="BK78" i="15"/>
  <c r="AM76" i="15"/>
  <c r="O74" i="15"/>
  <c r="DC71" i="15"/>
  <c r="CD68" i="15"/>
  <c r="CP63" i="15"/>
  <c r="CX51" i="15"/>
  <c r="BO102" i="15"/>
  <c r="C102" i="15"/>
  <c r="BC101" i="15"/>
  <c r="DC100" i="15"/>
  <c r="AQ100" i="15"/>
  <c r="CQ99" i="15"/>
  <c r="AE99" i="15"/>
  <c r="CE98" i="15"/>
  <c r="S98" i="15"/>
  <c r="BS97" i="15"/>
  <c r="G97" i="15"/>
  <c r="BG96" i="15"/>
  <c r="DG95" i="15"/>
  <c r="AU95" i="15"/>
  <c r="CU94" i="15"/>
  <c r="AI94" i="15"/>
  <c r="CI93" i="15"/>
  <c r="W93" i="15"/>
  <c r="BW92" i="15"/>
  <c r="K92" i="15"/>
  <c r="BK91" i="15"/>
  <c r="DK90" i="15"/>
  <c r="AY90" i="15"/>
  <c r="CY89" i="15"/>
  <c r="AM89" i="15"/>
  <c r="CM88" i="15"/>
  <c r="W88" i="15"/>
  <c r="BA87" i="15"/>
  <c r="CF86" i="15"/>
  <c r="DK85" i="15"/>
  <c r="DK84" i="15"/>
  <c r="CN83" i="15"/>
  <c r="AM82" i="15"/>
  <c r="P80" i="15"/>
  <c r="BL76" i="15"/>
  <c r="CA69" i="15"/>
  <c r="CL102" i="15"/>
  <c r="BJ101" i="15"/>
  <c r="DF99" i="15"/>
  <c r="AP98" i="15"/>
  <c r="N97" i="15"/>
  <c r="BJ95" i="15"/>
  <c r="DF93" i="15"/>
  <c r="CD92" i="15"/>
  <c r="N91" i="15"/>
  <c r="BJ89" i="15"/>
  <c r="AF88" i="15"/>
  <c r="S86" i="15"/>
  <c r="CV82" i="15"/>
  <c r="W78" i="15"/>
  <c r="CU71" i="15"/>
  <c r="BJ53" i="15"/>
  <c r="DE101" i="15"/>
  <c r="AO100" i="15"/>
  <c r="U97" i="15"/>
  <c r="CW93" i="15"/>
  <c r="CW89" i="15"/>
  <c r="DD83" i="15"/>
  <c r="BH71" i="15"/>
  <c r="X100" i="15"/>
  <c r="CR94" i="15"/>
  <c r="AB89" i="15"/>
  <c r="AL88" i="15"/>
  <c r="AT76" i="15"/>
  <c r="BQ82" i="15"/>
  <c r="DC68" i="15"/>
  <c r="CV88" i="15"/>
  <c r="AI88" i="15"/>
  <c r="BM87" i="15"/>
  <c r="CR86" i="15"/>
  <c r="K86" i="15"/>
  <c r="P85" i="15"/>
  <c r="DL83" i="15"/>
  <c r="BK82" i="15"/>
  <c r="BC80" i="15"/>
  <c r="AE78" i="15"/>
  <c r="G76" i="15"/>
  <c r="CU73" i="15"/>
  <c r="BW71" i="15"/>
  <c r="R68" i="15"/>
  <c r="CD62" i="15"/>
  <c r="AV45" i="15"/>
  <c r="BG102" i="15"/>
  <c r="DG101" i="15"/>
  <c r="AU101" i="15"/>
  <c r="CU100" i="15"/>
  <c r="AI100" i="15"/>
  <c r="CI99" i="15"/>
  <c r="W99" i="15"/>
  <c r="BW98" i="15"/>
  <c r="K98" i="15"/>
  <c r="BK97" i="15"/>
  <c r="DK96" i="15"/>
  <c r="AY96" i="15"/>
  <c r="CY95" i="15"/>
  <c r="AM95" i="15"/>
  <c r="CM94" i="15"/>
  <c r="AA94" i="15"/>
  <c r="CA93" i="15"/>
  <c r="O93" i="15"/>
  <c r="BO92" i="15"/>
  <c r="C92" i="15"/>
  <c r="BC91" i="15"/>
  <c r="DC90" i="15"/>
  <c r="AQ90" i="15"/>
  <c r="CQ89" i="15"/>
  <c r="AE89" i="15"/>
  <c r="CE88" i="15"/>
  <c r="L88" i="15"/>
  <c r="AQ87" i="15"/>
  <c r="BU86" i="15"/>
  <c r="CZ85" i="15"/>
  <c r="CU84" i="15"/>
  <c r="BT83" i="15"/>
  <c r="H82" i="15"/>
  <c r="CV79" i="15"/>
  <c r="CZ74" i="15"/>
  <c r="O69" i="15"/>
  <c r="CD102" i="15"/>
  <c r="N101" i="15"/>
  <c r="CX99" i="15"/>
  <c r="AH98" i="15"/>
  <c r="CD96" i="15"/>
  <c r="BB95" i="15"/>
  <c r="CX93" i="15"/>
  <c r="AH92" i="15"/>
  <c r="F91" i="15"/>
  <c r="BB89" i="15"/>
  <c r="CF87" i="15"/>
  <c r="H86" i="15"/>
  <c r="CA82" i="15"/>
  <c r="BK76" i="15"/>
  <c r="BO71" i="15"/>
  <c r="K51" i="15"/>
  <c r="BI101" i="15"/>
  <c r="AG100" i="15"/>
  <c r="M97" i="15"/>
  <c r="CK92" i="15"/>
  <c r="BA89" i="15"/>
  <c r="CJ83" i="15"/>
  <c r="S62" i="15"/>
  <c r="DL99" i="15"/>
  <c r="AF94" i="15"/>
  <c r="BQ86" i="15"/>
  <c r="AD88" i="15"/>
  <c r="AL76" i="15"/>
  <c r="BY76" i="15"/>
  <c r="AY76" i="15"/>
  <c r="BD78" i="15"/>
  <c r="AF76" i="15"/>
  <c r="H74" i="15"/>
  <c r="CV71" i="15"/>
  <c r="BO68" i="15"/>
  <c r="BK63" i="15"/>
  <c r="N51" i="15"/>
  <c r="BN102" i="15"/>
  <c r="B102" i="15"/>
  <c r="BB101" i="15"/>
  <c r="DB100" i="15"/>
  <c r="AP100" i="15"/>
  <c r="CP99" i="15"/>
  <c r="AD99" i="15"/>
  <c r="CD98" i="15"/>
  <c r="R98" i="15"/>
  <c r="BR97" i="15"/>
  <c r="F97" i="15"/>
  <c r="BF96" i="15"/>
  <c r="DF95" i="15"/>
  <c r="AT95" i="15"/>
  <c r="CT94" i="15"/>
  <c r="AH94" i="15"/>
  <c r="CH93" i="15"/>
  <c r="V93" i="15"/>
  <c r="BV92" i="15"/>
  <c r="J92" i="15"/>
  <c r="BJ91" i="15"/>
  <c r="DJ90" i="15"/>
  <c r="AX90" i="15"/>
  <c r="CX89" i="15"/>
  <c r="AL89" i="15"/>
  <c r="CL88" i="15"/>
  <c r="U88" i="15"/>
  <c r="AZ87" i="15"/>
  <c r="CE86" i="15"/>
  <c r="DI85" i="15"/>
  <c r="DH84" i="15"/>
  <c r="CM83" i="15"/>
  <c r="AJ82" i="15"/>
  <c r="O80" i="15"/>
  <c r="DC77" i="15"/>
  <c r="CE75" i="15"/>
  <c r="BG73" i="15"/>
  <c r="AI71" i="15"/>
  <c r="BB67" i="15"/>
  <c r="AL61" i="15"/>
  <c r="DI102" i="15"/>
  <c r="AW102" i="15"/>
  <c r="CW101" i="15"/>
  <c r="AK101" i="15"/>
  <c r="CK100" i="15"/>
  <c r="Y100" i="15"/>
  <c r="BQ99" i="15"/>
  <c r="Y98" i="15"/>
  <c r="BU96" i="15"/>
  <c r="AS95" i="15"/>
  <c r="CO93" i="15"/>
  <c r="Y92" i="15"/>
  <c r="DI90" i="15"/>
  <c r="AS89" i="15"/>
  <c r="BT87" i="15"/>
  <c r="DH85" i="15"/>
  <c r="BC82" i="15"/>
  <c r="X76" i="15"/>
  <c r="AB71" i="15"/>
  <c r="CF39" i="15"/>
  <c r="AZ101" i="15"/>
  <c r="DD99" i="15"/>
  <c r="CN97" i="15"/>
  <c r="CN95" i="15"/>
  <c r="P94" i="15"/>
  <c r="BH91" i="15"/>
  <c r="AC88" i="15"/>
  <c r="CN84" i="15"/>
  <c r="AY73" i="15"/>
  <c r="AH87" i="15"/>
  <c r="BZ84" i="15"/>
  <c r="AL80" i="15"/>
  <c r="V74" i="15"/>
  <c r="DI67" i="15"/>
  <c r="BI82" i="15"/>
  <c r="CK73" i="15"/>
  <c r="DB62" i="15"/>
  <c r="S76" i="15"/>
  <c r="X78" i="15"/>
  <c r="DL75" i="15"/>
  <c r="CN73" i="15"/>
  <c r="BP71" i="15"/>
  <c r="C68" i="15"/>
  <c r="AY62" i="15"/>
  <c r="T43" i="15"/>
  <c r="BF102" i="15"/>
  <c r="DF101" i="15"/>
  <c r="AT101" i="15"/>
  <c r="CT100" i="15"/>
  <c r="AH100" i="15"/>
  <c r="CH99" i="15"/>
  <c r="V99" i="15"/>
  <c r="BV98" i="15"/>
  <c r="J98" i="15"/>
  <c r="BJ97" i="15"/>
  <c r="DJ96" i="15"/>
  <c r="AX96" i="15"/>
  <c r="CX95" i="15"/>
  <c r="AL95" i="15"/>
  <c r="CL94" i="15"/>
  <c r="Z94" i="15"/>
  <c r="BZ93" i="15"/>
  <c r="N93" i="15"/>
  <c r="BN92" i="15"/>
  <c r="B92" i="15"/>
  <c r="BB91" i="15"/>
  <c r="DB90" i="15"/>
  <c r="AP90" i="15"/>
  <c r="CP89" i="15"/>
  <c r="AD89" i="15"/>
  <c r="CD88" i="15"/>
  <c r="K88" i="15"/>
  <c r="AO87" i="15"/>
  <c r="BT86" i="15"/>
  <c r="CY85" i="15"/>
  <c r="CR84" i="15"/>
  <c r="BP83" i="15"/>
  <c r="G82" i="15"/>
  <c r="CU79" i="15"/>
  <c r="BW77" i="15"/>
  <c r="AY75" i="15"/>
  <c r="AA73" i="15"/>
  <c r="C71" i="15"/>
  <c r="DB66" i="15"/>
  <c r="Z60" i="15"/>
  <c r="DA102" i="15"/>
  <c r="AO102" i="15"/>
  <c r="CO101" i="15"/>
  <c r="AC101" i="15"/>
  <c r="CC100" i="15"/>
  <c r="Q100" i="15"/>
  <c r="AS99" i="15"/>
  <c r="Q98" i="15"/>
  <c r="BM96" i="15"/>
  <c r="DI94" i="15"/>
  <c r="CG93" i="15"/>
  <c r="Q92" i="15"/>
  <c r="BM90" i="15"/>
  <c r="AK89" i="15"/>
  <c r="BI87" i="15"/>
  <c r="AA85" i="15"/>
  <c r="AF82" i="15"/>
  <c r="DD75" i="15"/>
  <c r="AY68" i="15"/>
  <c r="DH102" i="15"/>
  <c r="AR101" i="15"/>
  <c r="AR99" i="15"/>
  <c r="CF97" i="15"/>
  <c r="BP95" i="15"/>
  <c r="BP93" i="15"/>
  <c r="AZ91" i="15"/>
  <c r="S88" i="15"/>
  <c r="AZ82" i="15"/>
  <c r="S73" i="15"/>
  <c r="Z87" i="15"/>
  <c r="AP83" i="15"/>
  <c r="AD80" i="15"/>
  <c r="N74" i="15"/>
  <c r="C64" i="15"/>
  <c r="E82" i="15"/>
  <c r="CC73" i="15"/>
  <c r="CZ79" i="15"/>
  <c r="AY72" i="15"/>
  <c r="DD77" i="15"/>
  <c r="CF75" i="15"/>
  <c r="BH73" i="15"/>
  <c r="AJ71" i="15"/>
  <c r="BC67" i="15"/>
  <c r="AM61" i="15"/>
  <c r="DJ102" i="15"/>
  <c r="AX102" i="15"/>
  <c r="CX101" i="15"/>
  <c r="AL101" i="15"/>
  <c r="CL100" i="15"/>
  <c r="Z100" i="15"/>
  <c r="BZ99" i="15"/>
  <c r="N99" i="15"/>
  <c r="BN98" i="15"/>
  <c r="B98" i="15"/>
  <c r="BB97" i="15"/>
  <c r="DB96" i="15"/>
  <c r="AP96" i="15"/>
  <c r="CP95" i="15"/>
  <c r="AD95" i="15"/>
  <c r="CD94" i="15"/>
  <c r="R94" i="15"/>
  <c r="BR93" i="15"/>
  <c r="F93" i="15"/>
  <c r="BF92" i="15"/>
  <c r="DF91" i="15"/>
  <c r="AT91" i="15"/>
  <c r="CT90" i="15"/>
  <c r="AH90" i="15"/>
  <c r="CH89" i="15"/>
  <c r="V89" i="15"/>
  <c r="BV88" i="15"/>
  <c r="DL87" i="15"/>
  <c r="AE87" i="15"/>
  <c r="BI86" i="15"/>
  <c r="CN85" i="15"/>
  <c r="CB84" i="15"/>
  <c r="AV83" i="15"/>
  <c r="CM81" i="15"/>
  <c r="BO79" i="15"/>
  <c r="AQ77" i="15"/>
  <c r="S75" i="15"/>
  <c r="DG72" i="15"/>
  <c r="BW70" i="15"/>
  <c r="AP66" i="15"/>
  <c r="DC58" i="15"/>
  <c r="CS102" i="15"/>
  <c r="AG102" i="15"/>
  <c r="CG101" i="15"/>
  <c r="U101" i="15"/>
  <c r="BU100" i="15"/>
  <c r="I100" i="15"/>
  <c r="AK99" i="15"/>
  <c r="CG97" i="15"/>
  <c r="BE96" i="15"/>
  <c r="DA94" i="15"/>
  <c r="AK93" i="15"/>
  <c r="I92" i="15"/>
  <c r="BE90" i="15"/>
  <c r="DA88" i="15"/>
  <c r="AY87" i="15"/>
  <c r="K85" i="15"/>
  <c r="BT80" i="15"/>
  <c r="BX75" i="15"/>
  <c r="CY67" i="15"/>
  <c r="BL102" i="15"/>
  <c r="AJ101" i="15"/>
  <c r="AJ99" i="15"/>
  <c r="T97" i="15"/>
  <c r="BH95" i="15"/>
  <c r="AR93" i="15"/>
  <c r="BD90" i="15"/>
  <c r="H88" i="15"/>
  <c r="AE82" i="15"/>
  <c r="CX67" i="15"/>
  <c r="R87" i="15"/>
  <c r="AH83" i="15"/>
  <c r="BR78" i="15"/>
  <c r="CL73" i="15"/>
  <c r="BC63" i="15"/>
  <c r="CC79" i="15"/>
  <c r="Y73" i="15"/>
  <c r="CR79" i="15"/>
  <c r="R74" i="15"/>
  <c r="BX77" i="15"/>
  <c r="AZ75" i="15"/>
  <c r="AB73" i="15"/>
  <c r="D71" i="15"/>
  <c r="DC66" i="15"/>
  <c r="AA60" i="15"/>
  <c r="DB102" i="15"/>
  <c r="AP102" i="15"/>
  <c r="CP101" i="15"/>
  <c r="AD101" i="15"/>
  <c r="CD100" i="15"/>
  <c r="R100" i="15"/>
  <c r="BR99" i="15"/>
  <c r="F99" i="15"/>
  <c r="BF98" i="15"/>
  <c r="DF97" i="15"/>
  <c r="AT97" i="15"/>
  <c r="CT96" i="15"/>
  <c r="AH96" i="15"/>
  <c r="CH95" i="15"/>
  <c r="V95" i="15"/>
  <c r="BV94" i="15"/>
  <c r="J94" i="15"/>
  <c r="BJ93" i="15"/>
  <c r="DJ92" i="15"/>
  <c r="AX92" i="15"/>
  <c r="CX91" i="15"/>
  <c r="AL91" i="15"/>
  <c r="CL90" i="15"/>
  <c r="Z90" i="15"/>
  <c r="BZ89" i="15"/>
  <c r="N89" i="15"/>
  <c r="BN88" i="15"/>
  <c r="DA87" i="15"/>
  <c r="T87" i="15"/>
  <c r="AY86" i="15"/>
  <c r="BX85" i="15"/>
  <c r="BL84" i="15"/>
  <c r="AA83" i="15"/>
  <c r="BG81" i="15"/>
  <c r="AI79" i="15"/>
  <c r="K77" i="15"/>
  <c r="CY74" i="15"/>
  <c r="CA72" i="15"/>
  <c r="W70" i="15"/>
  <c r="CP65" i="15"/>
  <c r="BA57" i="15"/>
  <c r="CK102" i="15"/>
  <c r="Y102" i="15"/>
  <c r="BY101" i="15"/>
  <c r="M101" i="15"/>
  <c r="BM100" i="15"/>
  <c r="DM99" i="15"/>
  <c r="AC99" i="15"/>
  <c r="BY97" i="15"/>
  <c r="I96" i="15"/>
  <c r="CS94" i="15"/>
  <c r="AC93" i="15"/>
  <c r="BY91" i="15"/>
  <c r="AW90" i="15"/>
  <c r="CS88" i="15"/>
  <c r="CY86" i="15"/>
  <c r="DG84" i="15"/>
  <c r="AN80" i="15"/>
  <c r="DL73" i="15"/>
  <c r="AM67" i="15"/>
  <c r="BD102" i="15"/>
  <c r="CZ100" i="15"/>
  <c r="AB99" i="15"/>
  <c r="L97" i="15"/>
  <c r="DH94" i="15"/>
  <c r="AJ93" i="15"/>
  <c r="AV90" i="15"/>
  <c r="CM86" i="15"/>
  <c r="DK81" i="15"/>
  <c r="AL67" i="15"/>
  <c r="V86" i="15"/>
  <c r="R83" i="15"/>
  <c r="BJ78" i="15"/>
  <c r="DJ71" i="15"/>
  <c r="CQ61" i="15"/>
  <c r="BM79" i="15"/>
  <c r="CT70" i="15"/>
  <c r="BX78" i="15"/>
  <c r="BE67" i="15"/>
  <c r="AR77" i="15"/>
  <c r="T75" i="15"/>
  <c r="DH72" i="15"/>
  <c r="BX70" i="15"/>
  <c r="AQ66" i="15"/>
  <c r="DE58" i="15"/>
  <c r="CT102" i="15"/>
  <c r="AH102" i="15"/>
  <c r="CH101" i="15"/>
  <c r="V101" i="15"/>
  <c r="BV100" i="15"/>
  <c r="J100" i="15"/>
  <c r="BJ99" i="15"/>
  <c r="DJ98" i="15"/>
  <c r="AX98" i="15"/>
  <c r="CX97" i="15"/>
  <c r="AL97" i="15"/>
  <c r="CL96" i="15"/>
  <c r="Z96" i="15"/>
  <c r="BZ95" i="15"/>
  <c r="N95" i="15"/>
  <c r="BN94" i="15"/>
  <c r="B94" i="15"/>
  <c r="BB93" i="15"/>
  <c r="DB92" i="15"/>
  <c r="AP92" i="15"/>
  <c r="CP91" i="15"/>
  <c r="AD91" i="15"/>
  <c r="CD90" i="15"/>
  <c r="R90" i="15"/>
  <c r="BR89" i="15"/>
  <c r="F89" i="15"/>
  <c r="BF88" i="15"/>
  <c r="CQ87" i="15"/>
  <c r="I87" i="15"/>
  <c r="AN86" i="15"/>
  <c r="BH85" i="15"/>
  <c r="AV84" i="15"/>
  <c r="D83" i="15"/>
  <c r="AA81" i="15"/>
  <c r="C79" i="15"/>
  <c r="CQ76" i="15"/>
  <c r="BS74" i="15"/>
  <c r="AU72" i="15"/>
  <c r="BZ69" i="15"/>
  <c r="AD65" i="15"/>
  <c r="CH55" i="15"/>
  <c r="CC102" i="15"/>
  <c r="Q102" i="15"/>
  <c r="BQ101" i="15"/>
  <c r="E101" i="15"/>
  <c r="BE100" i="15"/>
  <c r="DE99" i="15"/>
  <c r="CS98" i="15"/>
  <c r="BQ97" i="15"/>
  <c r="DM95" i="15"/>
  <c r="AW94" i="15"/>
  <c r="U93" i="15"/>
  <c r="BQ91" i="15"/>
  <c r="DM89" i="15"/>
  <c r="CK88" i="15"/>
  <c r="CN86" i="15"/>
  <c r="O84" i="15"/>
  <c r="H80" i="15"/>
  <c r="CF73" i="15"/>
  <c r="AE63" i="15"/>
  <c r="AV102" i="15"/>
  <c r="CR100" i="15"/>
  <c r="CB98" i="15"/>
  <c r="D97" i="15"/>
  <c r="CZ94" i="15"/>
  <c r="CB92" i="15"/>
  <c r="AN90" i="15"/>
  <c r="CB86" i="15"/>
  <c r="O78" i="15"/>
  <c r="CL66" i="15"/>
  <c r="N86" i="15"/>
  <c r="DB81" i="15"/>
  <c r="V78" i="15"/>
  <c r="DB71" i="15"/>
  <c r="BE85" i="15"/>
  <c r="Q79" i="15"/>
  <c r="BS70" i="15"/>
  <c r="H71" i="15"/>
  <c r="AO67" i="15"/>
  <c r="CG99" i="15"/>
  <c r="U99" i="15"/>
  <c r="BU98" i="15"/>
  <c r="I98" i="15"/>
  <c r="BI97" i="15"/>
  <c r="DI96" i="15"/>
  <c r="AW96" i="15"/>
  <c r="CW95" i="15"/>
  <c r="AK95" i="15"/>
  <c r="CK94" i="15"/>
  <c r="Y94" i="15"/>
  <c r="BY93" i="15"/>
  <c r="M93" i="15"/>
  <c r="BM92" i="15"/>
  <c r="DM91" i="15"/>
  <c r="BA91" i="15"/>
  <c r="DA90" i="15"/>
  <c r="AO90" i="15"/>
  <c r="CO89" i="15"/>
  <c r="AC89" i="15"/>
  <c r="CC88" i="15"/>
  <c r="I88" i="15"/>
  <c r="AN87" i="15"/>
  <c r="BS86" i="15"/>
  <c r="CW85" i="15"/>
  <c r="CQ84" i="15"/>
  <c r="BO83" i="15"/>
  <c r="DL81" i="15"/>
  <c r="CN79" i="15"/>
  <c r="BP77" i="15"/>
  <c r="AR75" i="15"/>
  <c r="T73" i="15"/>
  <c r="DH70" i="15"/>
  <c r="CM66" i="15"/>
  <c r="DG59" i="15"/>
  <c r="CZ102" i="15"/>
  <c r="AN102" i="15"/>
  <c r="CN101" i="15"/>
  <c r="AB101" i="15"/>
  <c r="BL100" i="15"/>
  <c r="CV99" i="15"/>
  <c r="T99" i="15"/>
  <c r="AN98" i="15"/>
  <c r="BX97" i="15"/>
  <c r="DH96" i="15"/>
  <c r="P96" i="15"/>
  <c r="AZ95" i="15"/>
  <c r="CJ94" i="15"/>
  <c r="DD93" i="15"/>
  <c r="AB93" i="15"/>
  <c r="BD92" i="15"/>
  <c r="AR91" i="15"/>
  <c r="AF90" i="15"/>
  <c r="T89" i="15"/>
  <c r="DI87" i="15"/>
  <c r="BG86" i="15"/>
  <c r="BX84" i="15"/>
  <c r="CE81" i="15"/>
  <c r="AI77" i="15"/>
  <c r="CY72" i="15"/>
  <c r="Z66" i="15"/>
  <c r="V88" i="15"/>
  <c r="J87" i="15"/>
  <c r="DJ85" i="15"/>
  <c r="BR84" i="15"/>
  <c r="J83" i="15"/>
  <c r="BV81" i="15"/>
  <c r="V80" i="15"/>
  <c r="N78" i="15"/>
  <c r="DB75" i="15"/>
  <c r="CD73" i="15"/>
  <c r="BF71" i="15"/>
  <c r="CS67" i="15"/>
  <c r="AE61" i="15"/>
  <c r="CW84" i="15"/>
  <c r="DI81" i="15"/>
  <c r="DM78" i="15"/>
  <c r="E76" i="15"/>
  <c r="Q73" i="15"/>
  <c r="BT69" i="15"/>
  <c r="BV62" i="15"/>
  <c r="CJ77" i="15"/>
  <c r="O67" i="15"/>
  <c r="AI72" i="15"/>
  <c r="Y67" i="15"/>
  <c r="M99" i="15"/>
  <c r="BM98" i="15"/>
  <c r="DM97" i="15"/>
  <c r="BA97" i="15"/>
  <c r="DA96" i="15"/>
  <c r="AO96" i="15"/>
  <c r="CO95" i="15"/>
  <c r="AC95" i="15"/>
  <c r="CC94" i="15"/>
  <c r="Q94" i="15"/>
  <c r="BQ93" i="15"/>
  <c r="E93" i="15"/>
  <c r="BE92" i="15"/>
  <c r="DE91" i="15"/>
  <c r="AS91" i="15"/>
  <c r="CS90" i="15"/>
  <c r="AG90" i="15"/>
  <c r="CG89" i="15"/>
  <c r="U89" i="15"/>
  <c r="BU88" i="15"/>
  <c r="DK87" i="15"/>
  <c r="AC87" i="15"/>
  <c r="BH86" i="15"/>
  <c r="CM85" i="15"/>
  <c r="CA84" i="15"/>
  <c r="AR83" i="15"/>
  <c r="CF81" i="15"/>
  <c r="BH79" i="15"/>
  <c r="AJ77" i="15"/>
  <c r="L75" i="15"/>
  <c r="CZ72" i="15"/>
  <c r="BK70" i="15"/>
  <c r="AA66" i="15"/>
  <c r="BN58" i="15"/>
  <c r="CR102" i="15"/>
  <c r="AF102" i="15"/>
  <c r="CF101" i="15"/>
  <c r="T101" i="15"/>
  <c r="BD100" i="15"/>
  <c r="CN99" i="15"/>
  <c r="L99" i="15"/>
  <c r="AF98" i="15"/>
  <c r="BP97" i="15"/>
  <c r="CZ96" i="15"/>
  <c r="H96" i="15"/>
  <c r="AR95" i="15"/>
  <c r="CB94" i="15"/>
  <c r="CV93" i="15"/>
  <c r="T93" i="15"/>
  <c r="P92" i="15"/>
  <c r="D91" i="15"/>
  <c r="DD89" i="15"/>
  <c r="CR88" i="15"/>
  <c r="BH87" i="15"/>
  <c r="E86" i="15"/>
  <c r="DC83" i="15"/>
  <c r="AM80" i="15"/>
  <c r="DC75" i="15"/>
  <c r="BG71" i="15"/>
  <c r="R62" i="15"/>
  <c r="CT87" i="15"/>
  <c r="CH86" i="15"/>
  <c r="BN85" i="15"/>
  <c r="N84" i="15"/>
  <c r="BR82" i="15"/>
  <c r="R81" i="15"/>
  <c r="CD79" i="15"/>
  <c r="BF77" i="15"/>
  <c r="AH75" i="15"/>
  <c r="J73" i="15"/>
  <c r="CU70" i="15"/>
  <c r="BQ66" i="15"/>
  <c r="AQ57" i="15"/>
  <c r="M84" i="15"/>
  <c r="I81" i="15"/>
  <c r="U78" i="15"/>
  <c r="AG75" i="15"/>
  <c r="AC72" i="15"/>
  <c r="DH67" i="15"/>
  <c r="AP57" i="15"/>
  <c r="BD75" i="15"/>
  <c r="K60" i="15"/>
  <c r="BJ85" i="15"/>
  <c r="I70" i="15"/>
  <c r="E99" i="15"/>
  <c r="BE98" i="15"/>
  <c r="DE97" i="15"/>
  <c r="AS97" i="15"/>
  <c r="CS96" i="15"/>
  <c r="AG96" i="15"/>
  <c r="CG95" i="15"/>
  <c r="U95" i="15"/>
  <c r="BU94" i="15"/>
  <c r="I94" i="15"/>
  <c r="BI93" i="15"/>
  <c r="DI92" i="15"/>
  <c r="AW92" i="15"/>
  <c r="CW91" i="15"/>
  <c r="AK91" i="15"/>
  <c r="CK90" i="15"/>
  <c r="Y90" i="15"/>
  <c r="BY89" i="15"/>
  <c r="M89" i="15"/>
  <c r="BM88" i="15"/>
  <c r="CZ87" i="15"/>
  <c r="S87" i="15"/>
  <c r="AW86" i="15"/>
  <c r="BW85" i="15"/>
  <c r="BK84" i="15"/>
  <c r="X83" i="15"/>
  <c r="AZ81" i="15"/>
  <c r="AB79" i="15"/>
  <c r="D77" i="15"/>
  <c r="CR74" i="15"/>
  <c r="BT72" i="15"/>
  <c r="K70" i="15"/>
  <c r="CA65" i="15"/>
  <c r="K57" i="15"/>
  <c r="CJ102" i="15"/>
  <c r="X102" i="15"/>
  <c r="BX101" i="15"/>
  <c r="L101" i="15"/>
  <c r="AV100" i="15"/>
  <c r="CF99" i="15"/>
  <c r="CZ98" i="15"/>
  <c r="X98" i="15"/>
  <c r="BH97" i="15"/>
  <c r="CB96" i="15"/>
  <c r="DL95" i="15"/>
  <c r="AJ95" i="15"/>
  <c r="BD94" i="15"/>
  <c r="CN93" i="15"/>
  <c r="L93" i="15"/>
  <c r="H92" i="15"/>
  <c r="DH90" i="15"/>
  <c r="CV89" i="15"/>
  <c r="CJ88" i="15"/>
  <c r="AW87" i="15"/>
  <c r="DG85" i="15"/>
  <c r="CF83" i="15"/>
  <c r="G80" i="15"/>
  <c r="BW75" i="15"/>
  <c r="AA71" i="15"/>
  <c r="F61" i="15"/>
  <c r="CL87" i="15"/>
  <c r="BZ86" i="15"/>
  <c r="BF85" i="15"/>
  <c r="F84" i="15"/>
  <c r="BJ82" i="15"/>
  <c r="J81" i="15"/>
  <c r="BV79" i="15"/>
  <c r="AX77" i="15"/>
  <c r="Z75" i="15"/>
  <c r="B73" i="15"/>
  <c r="CG70" i="15"/>
  <c r="BA66" i="15"/>
  <c r="DM56" i="15"/>
  <c r="DI83" i="15"/>
  <c r="DM80" i="15"/>
  <c r="M78" i="15"/>
  <c r="Q75" i="15"/>
  <c r="U72" i="15"/>
  <c r="CR67" i="15"/>
  <c r="DK56" i="15"/>
  <c r="AV75" i="15"/>
  <c r="BS83" i="15"/>
  <c r="F85" i="15"/>
  <c r="DM69" i="15"/>
  <c r="BI99" i="15"/>
  <c r="DI98" i="15"/>
  <c r="AW98" i="15"/>
  <c r="CW97" i="15"/>
  <c r="AK97" i="15"/>
  <c r="CK96" i="15"/>
  <c r="Y96" i="15"/>
  <c r="BY95" i="15"/>
  <c r="M95" i="15"/>
  <c r="BM94" i="15"/>
  <c r="DM93" i="15"/>
  <c r="BA93" i="15"/>
  <c r="DA92" i="15"/>
  <c r="AO92" i="15"/>
  <c r="CO91" i="15"/>
  <c r="AC91" i="15"/>
  <c r="CC90" i="15"/>
  <c r="Q90" i="15"/>
  <c r="BQ89" i="15"/>
  <c r="E89" i="15"/>
  <c r="BE88" i="15"/>
  <c r="CO87" i="15"/>
  <c r="H87" i="15"/>
  <c r="AM86" i="15"/>
  <c r="BG85" i="15"/>
  <c r="AU84" i="15"/>
  <c r="C83" i="15"/>
  <c r="T81" i="15"/>
  <c r="DH78" i="15"/>
  <c r="CJ76" i="15"/>
  <c r="BL74" i="15"/>
  <c r="AN72" i="15"/>
  <c r="BK69" i="15"/>
  <c r="O65" i="15"/>
  <c r="W55" i="15"/>
  <c r="CB102" i="15"/>
  <c r="P102" i="15"/>
  <c r="BP101" i="15"/>
  <c r="D101" i="15"/>
  <c r="AN100" i="15"/>
  <c r="BX99" i="15"/>
  <c r="CR98" i="15"/>
  <c r="P98" i="15"/>
  <c r="AZ97" i="15"/>
  <c r="BT96" i="15"/>
  <c r="DD95" i="15"/>
  <c r="AB95" i="15"/>
  <c r="AV94" i="15"/>
  <c r="CF93" i="15"/>
  <c r="D93" i="15"/>
  <c r="DL91" i="15"/>
  <c r="CZ90" i="15"/>
  <c r="CN89" i="15"/>
  <c r="CB88" i="15"/>
  <c r="AM87" i="15"/>
  <c r="CV85" i="15"/>
  <c r="BL83" i="15"/>
  <c r="CM79" i="15"/>
  <c r="AQ75" i="15"/>
  <c r="DG70" i="15"/>
  <c r="DF59" i="15"/>
  <c r="CD87" i="15"/>
  <c r="BR86" i="15"/>
  <c r="AP85" i="15"/>
  <c r="DB83" i="15"/>
  <c r="BB82" i="15"/>
  <c r="DF80" i="15"/>
  <c r="AH79" i="15"/>
  <c r="J77" i="15"/>
  <c r="CX74" i="15"/>
  <c r="BZ72" i="15"/>
  <c r="U70" i="15"/>
  <c r="CK65" i="15"/>
  <c r="AU53" i="15"/>
  <c r="BM83" i="15"/>
  <c r="BI80" i="15"/>
  <c r="BU77" i="15"/>
  <c r="CG74" i="15"/>
  <c r="CC71" i="15"/>
  <c r="CV66" i="15"/>
  <c r="AH52" i="15"/>
  <c r="AB74" i="15"/>
  <c r="AM83" i="15"/>
  <c r="DJ84" i="15"/>
  <c r="BQ48" i="15"/>
  <c r="BA99" i="15"/>
  <c r="DA98" i="15"/>
  <c r="AO98" i="15"/>
  <c r="CO97" i="15"/>
  <c r="AC97" i="15"/>
  <c r="CC96" i="15"/>
  <c r="Q96" i="15"/>
  <c r="BQ95" i="15"/>
  <c r="E95" i="15"/>
  <c r="BE94" i="15"/>
  <c r="DE93" i="15"/>
  <c r="AS93" i="15"/>
  <c r="CS92" i="15"/>
  <c r="AG92" i="15"/>
  <c r="CG91" i="15"/>
  <c r="U91" i="15"/>
  <c r="BU90" i="15"/>
  <c r="I90" i="15"/>
  <c r="BI89" i="15"/>
  <c r="DI88" i="15"/>
  <c r="AW88" i="15"/>
  <c r="CE87" i="15"/>
  <c r="DI86" i="15"/>
  <c r="AB86" i="15"/>
  <c r="AQ85" i="15"/>
  <c r="AE84" i="15"/>
  <c r="CR82" i="15"/>
  <c r="CZ80" i="15"/>
  <c r="CB78" i="15"/>
  <c r="BD76" i="15"/>
  <c r="AF74" i="15"/>
  <c r="H72" i="15"/>
  <c r="DK68" i="15"/>
  <c r="AQ64" i="15"/>
  <c r="DK52" i="15"/>
  <c r="BT102" i="15"/>
  <c r="H102" i="15"/>
  <c r="BH101" i="15"/>
  <c r="DH100" i="15"/>
  <c r="AF100" i="15"/>
  <c r="AZ99" i="15"/>
  <c r="CJ98" i="15"/>
  <c r="H98" i="15"/>
  <c r="AB97" i="15"/>
  <c r="BL96" i="15"/>
  <c r="CV95" i="15"/>
  <c r="D95" i="15"/>
  <c r="AN94" i="15"/>
  <c r="BX93" i="15"/>
  <c r="CR92" i="15"/>
  <c r="DD91" i="15"/>
  <c r="CR90" i="15"/>
  <c r="CF89" i="15"/>
  <c r="BT88" i="15"/>
  <c r="AB87" i="15"/>
  <c r="CJ85" i="15"/>
  <c r="AQ83" i="15"/>
  <c r="BG79" i="15"/>
  <c r="K75" i="15"/>
  <c r="BI70" i="15"/>
  <c r="BM58" i="15"/>
  <c r="BV87" i="15"/>
  <c r="BJ86" i="15"/>
  <c r="AH85" i="15"/>
  <c r="CT83" i="15"/>
  <c r="AT82" i="15"/>
  <c r="CX80" i="15"/>
  <c r="Z79" i="15"/>
  <c r="B77" i="15"/>
  <c r="CP74" i="15"/>
  <c r="BR72" i="15"/>
  <c r="E70" i="15"/>
  <c r="BU65" i="15"/>
  <c r="CU52" i="15"/>
  <c r="AW83" i="15"/>
  <c r="BA80" i="15"/>
  <c r="BM77" i="15"/>
  <c r="BQ74" i="15"/>
  <c r="BU71" i="15"/>
  <c r="CF66" i="15"/>
  <c r="T82" i="15"/>
  <c r="AN73" i="15"/>
  <c r="AE83" i="15"/>
  <c r="DF79" i="15"/>
  <c r="BH41" i="15"/>
  <c r="CB100" i="15"/>
  <c r="P100" i="15"/>
  <c r="BP99" i="15"/>
  <c r="D99" i="15"/>
  <c r="BD98" i="15"/>
  <c r="DD97" i="15"/>
  <c r="AR97" i="15"/>
  <c r="CR96" i="15"/>
  <c r="AF96" i="15"/>
  <c r="CF95" i="15"/>
  <c r="T95" i="15"/>
  <c r="BT94" i="15"/>
  <c r="H94" i="15"/>
  <c r="BH93" i="15"/>
  <c r="DH92" i="15"/>
  <c r="AV92" i="15"/>
  <c r="CV91" i="15"/>
  <c r="AJ91" i="15"/>
  <c r="CJ90" i="15"/>
  <c r="X90" i="15"/>
  <c r="BX89" i="15"/>
  <c r="L89" i="15"/>
  <c r="BL88" i="15"/>
  <c r="CY87" i="15"/>
  <c r="Q87" i="15"/>
  <c r="AV86" i="15"/>
  <c r="BT85" i="15"/>
  <c r="BH84" i="15"/>
  <c r="T83" i="15"/>
  <c r="AY81" i="15"/>
  <c r="AA79" i="15"/>
  <c r="C77" i="15"/>
  <c r="CQ74" i="15"/>
  <c r="BS72" i="15"/>
  <c r="J70" i="15"/>
  <c r="BZ65" i="15"/>
  <c r="J57" i="15"/>
  <c r="N88" i="15"/>
  <c r="BN87" i="15"/>
  <c r="B87" i="15"/>
  <c r="BB86" i="15"/>
  <c r="DB85" i="15"/>
  <c r="Z85" i="15"/>
  <c r="BB84" i="15"/>
  <c r="CD83" i="15"/>
  <c r="B83" i="15"/>
  <c r="AD82" i="15"/>
  <c r="BF81" i="15"/>
  <c r="CP80" i="15"/>
  <c r="F80" i="15"/>
  <c r="R79" i="15"/>
  <c r="F78" i="15"/>
  <c r="DF76" i="15"/>
  <c r="CT75" i="15"/>
  <c r="CH74" i="15"/>
  <c r="BV73" i="15"/>
  <c r="BJ72" i="15"/>
  <c r="AX71" i="15"/>
  <c r="DA69" i="15"/>
  <c r="CC67" i="15"/>
  <c r="BE65" i="15"/>
  <c r="CE60" i="15"/>
  <c r="AI52" i="15"/>
  <c r="CO84" i="15"/>
  <c r="AG83" i="15"/>
  <c r="DA81" i="15"/>
  <c r="AS80" i="15"/>
  <c r="CW78" i="15"/>
  <c r="BE77" i="15"/>
  <c r="DI75" i="15"/>
  <c r="BA74" i="15"/>
  <c r="I73" i="15"/>
  <c r="BM71" i="15"/>
  <c r="AN69" i="15"/>
  <c r="BP66" i="15"/>
  <c r="AP62" i="15"/>
  <c r="L82" i="15"/>
  <c r="CB77" i="15"/>
  <c r="AF73" i="15"/>
  <c r="DK66" i="15"/>
  <c r="DG79" i="15"/>
  <c r="AA72" i="15"/>
  <c r="CP79" i="15"/>
  <c r="AO78" i="15"/>
  <c r="BL40" i="15"/>
  <c r="BT100" i="15"/>
  <c r="H100" i="15"/>
  <c r="BH99" i="15"/>
  <c r="DH98" i="15"/>
  <c r="AV98" i="15"/>
  <c r="CV97" i="15"/>
  <c r="AJ97" i="15"/>
  <c r="CJ96" i="15"/>
  <c r="X96" i="15"/>
  <c r="BX95" i="15"/>
  <c r="L95" i="15"/>
  <c r="BL94" i="15"/>
  <c r="DL93" i="15"/>
  <c r="AZ93" i="15"/>
  <c r="CZ92" i="15"/>
  <c r="AN92" i="15"/>
  <c r="CN91" i="15"/>
  <c r="AB91" i="15"/>
  <c r="CB90" i="15"/>
  <c r="P90" i="15"/>
  <c r="BP89" i="15"/>
  <c r="D89" i="15"/>
  <c r="BD88" i="15"/>
  <c r="CN87" i="15"/>
  <c r="G87" i="15"/>
  <c r="AK86" i="15"/>
  <c r="BD85" i="15"/>
  <c r="AR84" i="15"/>
  <c r="DL82" i="15"/>
  <c r="S81" i="15"/>
  <c r="DG78" i="15"/>
  <c r="CI76" i="15"/>
  <c r="BK74" i="15"/>
  <c r="AM72" i="15"/>
  <c r="BJ69" i="15"/>
  <c r="N65" i="15"/>
  <c r="V55" i="15"/>
  <c r="F88" i="15"/>
  <c r="BF87" i="15"/>
  <c r="DF86" i="15"/>
  <c r="AT86" i="15"/>
  <c r="CT85" i="15"/>
  <c r="R85" i="15"/>
  <c r="AT84" i="15"/>
  <c r="BV83" i="15"/>
  <c r="DF82" i="15"/>
  <c r="V82" i="15"/>
  <c r="AX81" i="15"/>
  <c r="CH80" i="15"/>
  <c r="DJ79" i="15"/>
  <c r="J79" i="15"/>
  <c r="DJ77" i="15"/>
  <c r="CX76" i="15"/>
  <c r="CL75" i="15"/>
  <c r="BZ74" i="15"/>
  <c r="BN73" i="15"/>
  <c r="BB72" i="15"/>
  <c r="AP71" i="15"/>
  <c r="CK69" i="15"/>
  <c r="BM67" i="15"/>
  <c r="AO65" i="15"/>
  <c r="AY60" i="15"/>
  <c r="CH50" i="15"/>
  <c r="CG84" i="15"/>
  <c r="Y83" i="15"/>
  <c r="CK81" i="15"/>
  <c r="AK80" i="15"/>
  <c r="CO78" i="15"/>
  <c r="AO77" i="15"/>
  <c r="DA75" i="15"/>
  <c r="AS74" i="15"/>
  <c r="DE72" i="15"/>
  <c r="BE71" i="15"/>
  <c r="X69" i="15"/>
  <c r="AJ66" i="15"/>
  <c r="J62" i="15"/>
  <c r="D82" i="15"/>
  <c r="BT77" i="15"/>
  <c r="X73" i="15"/>
  <c r="CU66" i="15"/>
  <c r="CY79" i="15"/>
  <c r="BN62" i="15"/>
  <c r="CH79" i="15"/>
  <c r="AG78" i="15"/>
  <c r="CI64" i="15"/>
  <c r="AF92" i="15"/>
  <c r="CF91" i="15"/>
  <c r="T91" i="15"/>
  <c r="BT90" i="15"/>
  <c r="H90" i="15"/>
  <c r="BH89" i="15"/>
  <c r="DH88" i="15"/>
  <c r="AV88" i="15"/>
  <c r="CC87" i="15"/>
  <c r="DH86" i="15"/>
  <c r="AA86" i="15"/>
  <c r="AN85" i="15"/>
  <c r="AB84" i="15"/>
  <c r="CQ82" i="15"/>
  <c r="CY80" i="15"/>
  <c r="CA78" i="15"/>
  <c r="BC76" i="15"/>
  <c r="AE74" i="15"/>
  <c r="G72" i="15"/>
  <c r="DJ68" i="15"/>
  <c r="AP64" i="15"/>
  <c r="DJ52" i="15"/>
  <c r="DJ87" i="15"/>
  <c r="AX87" i="15"/>
  <c r="CX86" i="15"/>
  <c r="AL86" i="15"/>
  <c r="CL85" i="15"/>
  <c r="B85" i="15"/>
  <c r="AD84" i="15"/>
  <c r="BN83" i="15"/>
  <c r="CP82" i="15"/>
  <c r="F82" i="15"/>
  <c r="AP81" i="15"/>
  <c r="BR80" i="15"/>
  <c r="CT79" i="15"/>
  <c r="CH78" i="15"/>
  <c r="BV77" i="15"/>
  <c r="BJ76" i="15"/>
  <c r="AX75" i="15"/>
  <c r="AL74" i="15"/>
  <c r="Z73" i="15"/>
  <c r="N72" i="15"/>
  <c r="B71" i="15"/>
  <c r="I69" i="15"/>
  <c r="CW66" i="15"/>
  <c r="BO64" i="15"/>
  <c r="M58" i="15"/>
  <c r="CK85" i="15"/>
  <c r="AC84" i="15"/>
  <c r="CG82" i="15"/>
  <c r="AO81" i="15"/>
  <c r="CS79" i="15"/>
  <c r="AK78" i="15"/>
  <c r="DE76" i="15"/>
  <c r="AW75" i="15"/>
  <c r="DA73" i="15"/>
  <c r="BI72" i="15"/>
  <c r="DM70" i="15"/>
  <c r="AB68" i="15"/>
  <c r="BD65" i="15"/>
  <c r="BM59" i="15"/>
  <c r="CV80" i="15"/>
  <c r="AZ76" i="15"/>
  <c r="D72" i="15"/>
  <c r="BW60" i="15"/>
  <c r="CQ79" i="15"/>
  <c r="AH62" i="15"/>
  <c r="CD74" i="15"/>
  <c r="BQ77" i="15"/>
  <c r="BC64" i="15"/>
  <c r="CJ92" i="15"/>
  <c r="X92" i="15"/>
  <c r="BX91" i="15"/>
  <c r="L91" i="15"/>
  <c r="BL90" i="15"/>
  <c r="DL89" i="15"/>
  <c r="AZ89" i="15"/>
  <c r="CZ88" i="15"/>
  <c r="AN88" i="15"/>
  <c r="BS87" i="15"/>
  <c r="CW86" i="15"/>
  <c r="P86" i="15"/>
  <c r="X85" i="15"/>
  <c r="L84" i="15"/>
  <c r="BT82" i="15"/>
  <c r="BS80" i="15"/>
  <c r="AU78" i="15"/>
  <c r="W76" i="15"/>
  <c r="DK73" i="15"/>
  <c r="CM71" i="15"/>
  <c r="AX68" i="15"/>
  <c r="AD63" i="15"/>
  <c r="BU49" i="15"/>
  <c r="DB87" i="15"/>
  <c r="AP87" i="15"/>
  <c r="CP86" i="15"/>
  <c r="AD86" i="15"/>
  <c r="CD85" i="15"/>
  <c r="DF84" i="15"/>
  <c r="V84" i="15"/>
  <c r="BF83" i="15"/>
  <c r="CH82" i="15"/>
  <c r="DJ81" i="15"/>
  <c r="AH81" i="15"/>
  <c r="BJ80" i="15"/>
  <c r="CL79" i="15"/>
  <c r="BZ78" i="15"/>
  <c r="BN77" i="15"/>
  <c r="BB76" i="15"/>
  <c r="AP75" i="15"/>
  <c r="AD74" i="15"/>
  <c r="R73" i="15"/>
  <c r="F72" i="15"/>
  <c r="DF70" i="15"/>
  <c r="DE68" i="15"/>
  <c r="CG66" i="15"/>
  <c r="AI64" i="15"/>
  <c r="CH57" i="15"/>
  <c r="BU85" i="15"/>
  <c r="U84" i="15"/>
  <c r="BY82" i="15"/>
  <c r="Y81" i="15"/>
  <c r="CK79" i="15"/>
  <c r="AC78" i="15"/>
  <c r="CO76" i="15"/>
  <c r="AO75" i="15"/>
  <c r="CS73" i="15"/>
  <c r="AS72" i="15"/>
  <c r="DE70" i="15"/>
  <c r="L68" i="15"/>
  <c r="X65" i="15"/>
  <c r="CG57" i="15"/>
  <c r="DH79" i="15"/>
  <c r="BL75" i="15"/>
  <c r="P71" i="15"/>
  <c r="AQ60" i="15"/>
  <c r="BG76" i="15"/>
  <c r="B62" i="15"/>
  <c r="BV74" i="15"/>
  <c r="CJ43" i="15"/>
  <c r="C61" i="15"/>
  <c r="BV85" i="15"/>
  <c r="J85" i="15"/>
  <c r="BJ84" i="15"/>
  <c r="DJ83" i="15"/>
  <c r="AX83" i="15"/>
  <c r="CX82" i="15"/>
  <c r="AL82" i="15"/>
  <c r="CL81" i="15"/>
  <c r="Z81" i="15"/>
  <c r="BZ80" i="15"/>
  <c r="N80" i="15"/>
  <c r="BN79" i="15"/>
  <c r="B79" i="15"/>
  <c r="BB78" i="15"/>
  <c r="DB77" i="15"/>
  <c r="AP77" i="15"/>
  <c r="CP76" i="15"/>
  <c r="AD76" i="15"/>
  <c r="CD75" i="15"/>
  <c r="R75" i="15"/>
  <c r="BR74" i="15"/>
  <c r="F74" i="15"/>
  <c r="BF73" i="15"/>
  <c r="DF72" i="15"/>
  <c r="AT72" i="15"/>
  <c r="CT71" i="15"/>
  <c r="AH71" i="15"/>
  <c r="BV70" i="15"/>
  <c r="BU69" i="15"/>
  <c r="BI68" i="15"/>
  <c r="AW67" i="15"/>
  <c r="AK66" i="15"/>
  <c r="Y65" i="15"/>
  <c r="DC62" i="15"/>
  <c r="S60" i="15"/>
  <c r="BU56" i="15"/>
  <c r="I47" i="15"/>
  <c r="AO85" i="15"/>
  <c r="BY84" i="15"/>
  <c r="CS83" i="15"/>
  <c r="Q83" i="15"/>
  <c r="BA82" i="15"/>
  <c r="BU81" i="15"/>
  <c r="DE80" i="15"/>
  <c r="AC80" i="15"/>
  <c r="AW79" i="15"/>
  <c r="CG78" i="15"/>
  <c r="E78" i="15"/>
  <c r="Y77" i="15"/>
  <c r="BI76" i="15"/>
  <c r="CS75" i="15"/>
  <c r="DM74" i="15"/>
  <c r="AK74" i="15"/>
  <c r="BU73" i="15"/>
  <c r="CO72" i="15"/>
  <c r="M72" i="15"/>
  <c r="AW71" i="15"/>
  <c r="AS70" i="15"/>
  <c r="H69" i="15"/>
  <c r="CB67" i="15"/>
  <c r="D66" i="15"/>
  <c r="BN64" i="15"/>
  <c r="CP61" i="15"/>
  <c r="BS56" i="15"/>
  <c r="DH81" i="15"/>
  <c r="CJ79" i="15"/>
  <c r="BL77" i="15"/>
  <c r="AN75" i="15"/>
  <c r="P73" i="15"/>
  <c r="DD70" i="15"/>
  <c r="CE66" i="15"/>
  <c r="CO59" i="15"/>
  <c r="W83" i="15"/>
  <c r="CI79" i="15"/>
  <c r="K76" i="15"/>
  <c r="S72" i="15"/>
  <c r="J60" i="15"/>
  <c r="DB84" i="15"/>
  <c r="BZ79" i="15"/>
  <c r="J74" i="15"/>
  <c r="I67" i="15"/>
  <c r="DA76" i="15"/>
  <c r="M69" i="15"/>
  <c r="J37" i="15"/>
  <c r="CY60" i="15"/>
  <c r="BF79" i="15"/>
  <c r="DF78" i="15"/>
  <c r="AT78" i="15"/>
  <c r="CT77" i="15"/>
  <c r="AH77" i="15"/>
  <c r="CH76" i="15"/>
  <c r="V76" i="15"/>
  <c r="BV75" i="15"/>
  <c r="J75" i="15"/>
  <c r="BJ74" i="15"/>
  <c r="DJ73" i="15"/>
  <c r="AX73" i="15"/>
  <c r="CX72" i="15"/>
  <c r="AL72" i="15"/>
  <c r="CL71" i="15"/>
  <c r="Z71" i="15"/>
  <c r="BH70" i="15"/>
  <c r="BE69" i="15"/>
  <c r="AS68" i="15"/>
  <c r="AG67" i="15"/>
  <c r="U66" i="15"/>
  <c r="I65" i="15"/>
  <c r="BW62" i="15"/>
  <c r="CX59" i="15"/>
  <c r="BS55" i="15"/>
  <c r="CW44" i="15"/>
  <c r="AG85" i="15"/>
  <c r="BI84" i="15"/>
  <c r="CK83" i="15"/>
  <c r="I83" i="15"/>
  <c r="AK82" i="15"/>
  <c r="BM81" i="15"/>
  <c r="CW80" i="15"/>
  <c r="M80" i="15"/>
  <c r="AO79" i="15"/>
  <c r="BY78" i="15"/>
  <c r="DA77" i="15"/>
  <c r="Q77" i="15"/>
  <c r="BA76" i="15"/>
  <c r="CC75" i="15"/>
  <c r="DE74" i="15"/>
  <c r="AC74" i="15"/>
  <c r="BE73" i="15"/>
  <c r="CG72" i="15"/>
  <c r="E72" i="15"/>
  <c r="AG71" i="15"/>
  <c r="AH70" i="15"/>
  <c r="DD68" i="15"/>
  <c r="AV67" i="15"/>
  <c r="CZ65" i="15"/>
  <c r="AH64" i="15"/>
  <c r="AX60" i="15"/>
  <c r="DF53" i="15"/>
  <c r="H81" i="15"/>
  <c r="CV78" i="15"/>
  <c r="BX76" i="15"/>
  <c r="AZ74" i="15"/>
  <c r="AB72" i="15"/>
  <c r="AM69" i="15"/>
  <c r="DC64" i="15"/>
  <c r="AQ54" i="15"/>
  <c r="CA81" i="15"/>
  <c r="AA78" i="15"/>
  <c r="BW74" i="15"/>
  <c r="V69" i="15"/>
  <c r="J88" i="15"/>
  <c r="BF82" i="15"/>
  <c r="AL77" i="15"/>
  <c r="J72" i="15"/>
  <c r="CC84" i="15"/>
  <c r="AW72" i="15"/>
  <c r="AG62" i="15"/>
  <c r="D61" i="15"/>
  <c r="CL65" i="15"/>
  <c r="AX79" i="15"/>
  <c r="CX78" i="15"/>
  <c r="AL78" i="15"/>
  <c r="CL77" i="15"/>
  <c r="Z77" i="15"/>
  <c r="BZ76" i="15"/>
  <c r="N76" i="15"/>
  <c r="BN75" i="15"/>
  <c r="B75" i="15"/>
  <c r="BB74" i="15"/>
  <c r="DB73" i="15"/>
  <c r="AP73" i="15"/>
  <c r="CP72" i="15"/>
  <c r="AD72" i="15"/>
  <c r="CD71" i="15"/>
  <c r="R71" i="15"/>
  <c r="AU70" i="15"/>
  <c r="AO69" i="15"/>
  <c r="AC68" i="15"/>
  <c r="Q67" i="15"/>
  <c r="E66" i="15"/>
  <c r="DE64" i="15"/>
  <c r="AQ62" i="15"/>
  <c r="BN59" i="15"/>
  <c r="BG54" i="15"/>
  <c r="AY42" i="15"/>
  <c r="Y85" i="15"/>
  <c r="AS84" i="15"/>
  <c r="CC83" i="15"/>
  <c r="DM82" i="15"/>
  <c r="U82" i="15"/>
  <c r="BE81" i="15"/>
  <c r="CO80" i="15"/>
  <c r="DI79" i="15"/>
  <c r="AG79" i="15"/>
  <c r="BQ78" i="15"/>
  <c r="CK77" i="15"/>
  <c r="I77" i="15"/>
  <c r="AS76" i="15"/>
  <c r="BM75" i="15"/>
  <c r="CW74" i="15"/>
  <c r="U74" i="15"/>
  <c r="AO73" i="15"/>
  <c r="BY72" i="15"/>
  <c r="DI71" i="15"/>
  <c r="Q71" i="15"/>
  <c r="T70" i="15"/>
  <c r="CN68" i="15"/>
  <c r="P67" i="15"/>
  <c r="CJ65" i="15"/>
  <c r="B64" i="15"/>
  <c r="R60" i="15"/>
  <c r="AT53" i="15"/>
  <c r="DL80" i="15"/>
  <c r="CN78" i="15"/>
  <c r="BP76" i="15"/>
  <c r="AR74" i="15"/>
  <c r="T72" i="15"/>
  <c r="W69" i="15"/>
  <c r="CM64" i="15"/>
  <c r="CQ53" i="15"/>
  <c r="BS81" i="15"/>
  <c r="S78" i="15"/>
  <c r="AI74" i="15"/>
  <c r="CL68" i="15"/>
  <c r="B88" i="15"/>
  <c r="AX82" i="15"/>
  <c r="AD77" i="15"/>
  <c r="BZ71" i="15"/>
  <c r="Y84" i="15"/>
  <c r="CG71" i="15"/>
  <c r="Y62" i="15"/>
  <c r="CJ60" i="15"/>
  <c r="CP60" i="15"/>
  <c r="AX85" i="15"/>
  <c r="CX84" i="15"/>
  <c r="AL84" i="15"/>
  <c r="CL83" i="15"/>
  <c r="Z83" i="15"/>
  <c r="BZ82" i="15"/>
  <c r="N82" i="15"/>
  <c r="BN81" i="15"/>
  <c r="B81" i="15"/>
  <c r="BB80" i="15"/>
  <c r="DB79" i="15"/>
  <c r="AP79" i="15"/>
  <c r="CP78" i="15"/>
  <c r="AD78" i="15"/>
  <c r="CD77" i="15"/>
  <c r="R77" i="15"/>
  <c r="BR76" i="15"/>
  <c r="F76" i="15"/>
  <c r="BF75" i="15"/>
  <c r="DF74" i="15"/>
  <c r="AT74" i="15"/>
  <c r="CT73" i="15"/>
  <c r="AH73" i="15"/>
  <c r="CH72" i="15"/>
  <c r="V72" i="15"/>
  <c r="BV71" i="15"/>
  <c r="J71" i="15"/>
  <c r="AI70" i="15"/>
  <c r="Y69" i="15"/>
  <c r="M68" i="15"/>
  <c r="DM66" i="15"/>
  <c r="DA65" i="15"/>
  <c r="CO64" i="15"/>
  <c r="K62" i="15"/>
  <c r="CT58" i="15"/>
  <c r="DG53" i="15"/>
  <c r="BT38" i="15"/>
  <c r="I85" i="15"/>
  <c r="AK84" i="15"/>
  <c r="BU83" i="15"/>
  <c r="CW82" i="15"/>
  <c r="M82" i="15"/>
  <c r="AW81" i="15"/>
  <c r="BY80" i="15"/>
  <c r="DA79" i="15"/>
  <c r="Y79" i="15"/>
  <c r="BA78" i="15"/>
  <c r="CC77" i="15"/>
  <c r="DM76" i="15"/>
  <c r="AC76" i="15"/>
  <c r="BE75" i="15"/>
  <c r="CO74" i="15"/>
  <c r="E74" i="15"/>
  <c r="AG73" i="15"/>
  <c r="BQ72" i="15"/>
  <c r="CS71" i="15"/>
  <c r="I71" i="15"/>
  <c r="D70" i="15"/>
  <c r="BH68" i="15"/>
  <c r="DL66" i="15"/>
  <c r="BT65" i="15"/>
  <c r="BB63" i="15"/>
  <c r="CW59" i="15"/>
  <c r="CT52" i="15"/>
  <c r="DD80" i="15"/>
  <c r="CF78" i="15"/>
  <c r="BH76" i="15"/>
  <c r="AJ74" i="15"/>
  <c r="L72" i="15"/>
  <c r="G69" i="15"/>
  <c r="BG64" i="15"/>
  <c r="AE53" i="15"/>
  <c r="BK81" i="15"/>
  <c r="K78" i="15"/>
  <c r="AA74" i="15"/>
  <c r="BV68" i="15"/>
  <c r="BJ87" i="15"/>
  <c r="AP82" i="15"/>
  <c r="V77" i="15"/>
  <c r="BJ71" i="15"/>
  <c r="Q84" i="15"/>
  <c r="DI70" i="15"/>
  <c r="AC61" i="15"/>
  <c r="CB60" i="15"/>
  <c r="AT60" i="15"/>
  <c r="AA64" i="15"/>
  <c r="CE52" i="15"/>
  <c r="BC81" i="15"/>
  <c r="CQ77" i="15"/>
  <c r="S74" i="15"/>
  <c r="AP68" i="15"/>
  <c r="BB87" i="15"/>
  <c r="AH82" i="15"/>
  <c r="CD76" i="15"/>
  <c r="BB71" i="15"/>
  <c r="BI83" i="15"/>
  <c r="CY70" i="15"/>
  <c r="U61" i="15"/>
  <c r="AX57" i="15"/>
  <c r="N60" i="15"/>
  <c r="CI63" i="15"/>
  <c r="BK61" i="15"/>
  <c r="Y59" i="15"/>
  <c r="S56" i="15"/>
  <c r="CI51" i="15"/>
  <c r="CC85" i="15"/>
  <c r="Q85" i="15"/>
  <c r="BQ84" i="15"/>
  <c r="E84" i="15"/>
  <c r="BE83" i="15"/>
  <c r="DE82" i="15"/>
  <c r="AS82" i="15"/>
  <c r="CS81" i="15"/>
  <c r="AG81" i="15"/>
  <c r="CG80" i="15"/>
  <c r="U80" i="15"/>
  <c r="BU79" i="15"/>
  <c r="I79" i="15"/>
  <c r="BI78" i="15"/>
  <c r="DI77" i="15"/>
  <c r="AW77" i="15"/>
  <c r="CW76" i="15"/>
  <c r="AK76" i="15"/>
  <c r="CK75" i="15"/>
  <c r="Y75" i="15"/>
  <c r="BY74" i="15"/>
  <c r="M74" i="15"/>
  <c r="BM73" i="15"/>
  <c r="DM72" i="15"/>
  <c r="BA72" i="15"/>
  <c r="DA71" i="15"/>
  <c r="AO71" i="15"/>
  <c r="CF70" i="15"/>
  <c r="CJ69" i="15"/>
  <c r="BX68" i="15"/>
  <c r="BL67" i="15"/>
  <c r="AZ66" i="15"/>
  <c r="AN65" i="15"/>
  <c r="CH63" i="15"/>
  <c r="BJ61" i="15"/>
  <c r="W59" i="15"/>
  <c r="R56" i="15"/>
  <c r="CH51" i="15"/>
  <c r="BT81" i="15"/>
  <c r="BH80" i="15"/>
  <c r="AV79" i="15"/>
  <c r="AJ78" i="15"/>
  <c r="X77" i="15"/>
  <c r="L76" i="15"/>
  <c r="DL74" i="15"/>
  <c r="CZ73" i="15"/>
  <c r="CN72" i="15"/>
  <c r="CB71" i="15"/>
  <c r="AR70" i="15"/>
  <c r="AA68" i="15"/>
  <c r="C66" i="15"/>
  <c r="CU62" i="15"/>
  <c r="B58" i="15"/>
  <c r="BI46" i="15"/>
  <c r="BW82" i="15"/>
  <c r="DC80" i="15"/>
  <c r="W79" i="15"/>
  <c r="AE77" i="15"/>
  <c r="BC75" i="15"/>
  <c r="BK73" i="15"/>
  <c r="AU71" i="15"/>
  <c r="CT66" i="15"/>
  <c r="B56" i="15"/>
  <c r="CD86" i="15"/>
  <c r="J84" i="15"/>
  <c r="BB81" i="15"/>
  <c r="CD78" i="15"/>
  <c r="CX75" i="15"/>
  <c r="AL73" i="15"/>
  <c r="AP70" i="15"/>
  <c r="AU61" i="15"/>
  <c r="CW81" i="15"/>
  <c r="CC74" i="15"/>
  <c r="BX66" i="15"/>
  <c r="DA66" i="15"/>
  <c r="CG58" i="15"/>
  <c r="AV68" i="15"/>
  <c r="DM50" i="15"/>
  <c r="CU54" i="15"/>
  <c r="BU61" i="15"/>
  <c r="AD61" i="15"/>
  <c r="CS58" i="15"/>
  <c r="BR55" i="15"/>
  <c r="CG50" i="15"/>
  <c r="BL81" i="15"/>
  <c r="AZ80" i="15"/>
  <c r="AN79" i="15"/>
  <c r="AB78" i="15"/>
  <c r="P77" i="15"/>
  <c r="D76" i="15"/>
  <c r="DD74" i="15"/>
  <c r="CR73" i="15"/>
  <c r="CF72" i="15"/>
  <c r="BT71" i="15"/>
  <c r="AE70" i="15"/>
  <c r="K68" i="15"/>
  <c r="CY65" i="15"/>
  <c r="BO62" i="15"/>
  <c r="BW57" i="15"/>
  <c r="AK44" i="15"/>
  <c r="BO82" i="15"/>
  <c r="CU80" i="15"/>
  <c r="DC78" i="15"/>
  <c r="W77" i="15"/>
  <c r="AU75" i="15"/>
  <c r="AU73" i="15"/>
  <c r="AM71" i="15"/>
  <c r="CX65" i="15"/>
  <c r="DB54" i="15"/>
  <c r="BV86" i="15"/>
  <c r="B84" i="15"/>
  <c r="AD81" i="15"/>
  <c r="AX78" i="15"/>
  <c r="CP75" i="15"/>
  <c r="F73" i="15"/>
  <c r="M70" i="15"/>
  <c r="CU60" i="15"/>
  <c r="BM80" i="15"/>
  <c r="BU74" i="15"/>
  <c r="BH66" i="15"/>
  <c r="CK66" i="15"/>
  <c r="DA57" i="15"/>
  <c r="BL66" i="15"/>
  <c r="BW50" i="15"/>
  <c r="AQ52" i="15"/>
  <c r="AG61" i="15"/>
  <c r="W63" i="15"/>
  <c r="DK60" i="15"/>
  <c r="BC58" i="15"/>
  <c r="G55" i="15"/>
  <c r="AA49" i="15"/>
  <c r="BM85" i="15"/>
  <c r="DM84" i="15"/>
  <c r="BA84" i="15"/>
  <c r="DA83" i="15"/>
  <c r="AO83" i="15"/>
  <c r="CO82" i="15"/>
  <c r="AC82" i="15"/>
  <c r="CC81" i="15"/>
  <c r="Q81" i="15"/>
  <c r="BQ80" i="15"/>
  <c r="E80" i="15"/>
  <c r="BE79" i="15"/>
  <c r="DE78" i="15"/>
  <c r="AS78" i="15"/>
  <c r="CS77" i="15"/>
  <c r="AG77" i="15"/>
  <c r="CG76" i="15"/>
  <c r="U76" i="15"/>
  <c r="BU75" i="15"/>
  <c r="I75" i="15"/>
  <c r="BI74" i="15"/>
  <c r="DI73" i="15"/>
  <c r="AW73" i="15"/>
  <c r="CW72" i="15"/>
  <c r="AK72" i="15"/>
  <c r="CK71" i="15"/>
  <c r="Y71" i="15"/>
  <c r="BG70" i="15"/>
  <c r="BD69" i="15"/>
  <c r="AR68" i="15"/>
  <c r="AF67" i="15"/>
  <c r="T66" i="15"/>
  <c r="H65" i="15"/>
  <c r="V63" i="15"/>
  <c r="DJ60" i="15"/>
  <c r="BB58" i="15"/>
  <c r="F55" i="15"/>
  <c r="Y49" i="15"/>
  <c r="BD81" i="15"/>
  <c r="AR80" i="15"/>
  <c r="AF79" i="15"/>
  <c r="T78" i="15"/>
  <c r="H77" i="15"/>
  <c r="DH75" i="15"/>
  <c r="CV74" i="15"/>
  <c r="CJ73" i="15"/>
  <c r="BX72" i="15"/>
  <c r="BL71" i="15"/>
  <c r="S70" i="15"/>
  <c r="DG67" i="15"/>
  <c r="CI65" i="15"/>
  <c r="AI62" i="15"/>
  <c r="AG57" i="15"/>
  <c r="CD41" i="15"/>
  <c r="BG82" i="15"/>
  <c r="BO80" i="15"/>
  <c r="CU78" i="15"/>
  <c r="O77" i="15"/>
  <c r="AM75" i="15"/>
  <c r="AM73" i="15"/>
  <c r="CO70" i="15"/>
  <c r="CH65" i="15"/>
  <c r="AP54" i="15"/>
  <c r="BN86" i="15"/>
  <c r="CP83" i="15"/>
  <c r="DB80" i="15"/>
  <c r="AP78" i="15"/>
  <c r="BR75" i="15"/>
  <c r="DJ72" i="15"/>
  <c r="DI69" i="15"/>
  <c r="O53" i="15"/>
  <c r="BE80" i="15"/>
  <c r="BE74" i="15"/>
  <c r="AR66" i="15"/>
  <c r="Q66" i="15"/>
  <c r="AE56" i="15"/>
  <c r="AF66" i="15"/>
  <c r="DJ42" i="15"/>
  <c r="CQ51" i="15"/>
  <c r="DA52" i="15"/>
  <c r="CD60" i="15"/>
  <c r="K58" i="15"/>
  <c r="BF54" i="15"/>
  <c r="H47" i="15"/>
  <c r="AV81" i="15"/>
  <c r="AJ80" i="15"/>
  <c r="X79" i="15"/>
  <c r="L78" i="15"/>
  <c r="DL76" i="15"/>
  <c r="CZ75" i="15"/>
  <c r="CN74" i="15"/>
  <c r="CB73" i="15"/>
  <c r="BP72" i="15"/>
  <c r="BD71" i="15"/>
  <c r="C70" i="15"/>
  <c r="CQ67" i="15"/>
  <c r="BS65" i="15"/>
  <c r="C62" i="15"/>
  <c r="DB56" i="15"/>
  <c r="BH37" i="15"/>
  <c r="AA82" i="15"/>
  <c r="BG80" i="15"/>
  <c r="CM78" i="15"/>
  <c r="G77" i="15"/>
  <c r="AE75" i="15"/>
  <c r="G73" i="15"/>
  <c r="CD70" i="15"/>
  <c r="BR65" i="15"/>
  <c r="CP53" i="15"/>
  <c r="AH86" i="15"/>
  <c r="BB83" i="15"/>
  <c r="CT80" i="15"/>
  <c r="J78" i="15"/>
  <c r="BJ75" i="15"/>
  <c r="DB72" i="15"/>
  <c r="DM68" i="15"/>
  <c r="BO52" i="15"/>
  <c r="AO80" i="15"/>
  <c r="AW74" i="15"/>
  <c r="P65" i="15"/>
  <c r="DI64" i="15"/>
  <c r="DM55" i="15"/>
  <c r="AZ65" i="15"/>
  <c r="AB42" i="15"/>
  <c r="DK30" i="15"/>
  <c r="AE54" i="15"/>
  <c r="CV44" i="15"/>
  <c r="CZ81" i="15"/>
  <c r="AN81" i="15"/>
  <c r="CN80" i="15"/>
  <c r="AB80" i="15"/>
  <c r="CB79" i="15"/>
  <c r="P79" i="15"/>
  <c r="BP78" i="15"/>
  <c r="D78" i="15"/>
  <c r="BD77" i="15"/>
  <c r="DD76" i="15"/>
  <c r="AR76" i="15"/>
  <c r="CR75" i="15"/>
  <c r="AF75" i="15"/>
  <c r="CF74" i="15"/>
  <c r="T74" i="15"/>
  <c r="BT73" i="15"/>
  <c r="H73" i="15"/>
  <c r="BH72" i="15"/>
  <c r="DH71" i="15"/>
  <c r="AV71" i="15"/>
  <c r="CQ70" i="15"/>
  <c r="CY69" i="15"/>
  <c r="CM68" i="15"/>
  <c r="CA67" i="15"/>
  <c r="BO66" i="15"/>
  <c r="BC65" i="15"/>
  <c r="DG63" i="15"/>
  <c r="CI61" i="15"/>
  <c r="BE59" i="15"/>
  <c r="BG56" i="15"/>
  <c r="S52" i="15"/>
  <c r="CY83" i="15"/>
  <c r="O83" i="15"/>
  <c r="S82" i="15"/>
  <c r="AU81" i="15"/>
  <c r="AY80" i="15"/>
  <c r="BC79" i="15"/>
  <c r="CE78" i="15"/>
  <c r="CI77" i="15"/>
  <c r="DK76" i="15"/>
  <c r="C76" i="15"/>
  <c r="DC74" i="15"/>
  <c r="K74" i="15"/>
  <c r="DK72" i="15"/>
  <c r="K72" i="15"/>
  <c r="BC70" i="15"/>
  <c r="BJ67" i="15"/>
  <c r="BB65" i="15"/>
  <c r="CN59" i="15"/>
  <c r="R52" i="15"/>
  <c r="AT87" i="15"/>
  <c r="B86" i="15"/>
  <c r="CL84" i="15"/>
  <c r="AT83" i="15"/>
  <c r="Z82" i="15"/>
  <c r="BV80" i="15"/>
  <c r="V79" i="15"/>
  <c r="B78" i="15"/>
  <c r="BV76" i="15"/>
  <c r="AT75" i="15"/>
  <c r="B74" i="15"/>
  <c r="AX72" i="15"/>
  <c r="AT71" i="15"/>
  <c r="CW68" i="15"/>
  <c r="DI65" i="15"/>
  <c r="C52" i="15"/>
  <c r="CK82" i="15"/>
  <c r="AG80" i="15"/>
  <c r="CS76" i="15"/>
  <c r="DE73" i="15"/>
  <c r="CR69" i="15"/>
  <c r="AH60" i="15"/>
  <c r="DI68" i="15"/>
  <c r="DA64" i="15"/>
  <c r="E61" i="15"/>
  <c r="CK54" i="15"/>
  <c r="AJ69" i="15"/>
  <c r="T65" i="15"/>
  <c r="AM57" i="15"/>
  <c r="CY68" i="15"/>
  <c r="AU60" i="15"/>
  <c r="J69" i="15"/>
  <c r="DB59" i="15"/>
  <c r="CI52" i="15"/>
  <c r="AX42" i="15"/>
  <c r="CR81" i="15"/>
  <c r="AF81" i="15"/>
  <c r="CF80" i="15"/>
  <c r="T80" i="15"/>
  <c r="BT79" i="15"/>
  <c r="H79" i="15"/>
  <c r="BH78" i="15"/>
  <c r="DH77" i="15"/>
  <c r="AV77" i="15"/>
  <c r="CV76" i="15"/>
  <c r="AJ76" i="15"/>
  <c r="CJ75" i="15"/>
  <c r="X75" i="15"/>
  <c r="BX74" i="15"/>
  <c r="L74" i="15"/>
  <c r="BL73" i="15"/>
  <c r="DL72" i="15"/>
  <c r="AZ72" i="15"/>
  <c r="CZ71" i="15"/>
  <c r="AN71" i="15"/>
  <c r="CE70" i="15"/>
  <c r="CI69" i="15"/>
  <c r="BW68" i="15"/>
  <c r="BK67" i="15"/>
  <c r="AY66" i="15"/>
  <c r="AM65" i="15"/>
  <c r="CA63" i="15"/>
  <c r="BC61" i="15"/>
  <c r="N59" i="15"/>
  <c r="C56" i="15"/>
  <c r="BS51" i="15"/>
  <c r="CQ83" i="15"/>
  <c r="G83" i="15"/>
  <c r="K82" i="15"/>
  <c r="O81" i="15"/>
  <c r="AQ80" i="15"/>
  <c r="AU79" i="15"/>
  <c r="BW78" i="15"/>
  <c r="CA77" i="15"/>
  <c r="CE76" i="15"/>
  <c r="DG75" i="15"/>
  <c r="CU74" i="15"/>
  <c r="DG73" i="15"/>
  <c r="CU72" i="15"/>
  <c r="BS71" i="15"/>
  <c r="AQ70" i="15"/>
  <c r="AD67" i="15"/>
  <c r="DB64" i="15"/>
  <c r="BC59" i="15"/>
  <c r="AJ44" i="15"/>
  <c r="AL87" i="15"/>
  <c r="CX85" i="15"/>
  <c r="CD84" i="15"/>
  <c r="N83" i="15"/>
  <c r="CH81" i="15"/>
  <c r="BN80" i="15"/>
  <c r="N79" i="15"/>
  <c r="DF77" i="15"/>
  <c r="BF76" i="15"/>
  <c r="DJ74" i="15"/>
  <c r="DF73" i="15"/>
  <c r="AP72" i="15"/>
  <c r="V71" i="15"/>
  <c r="CG68" i="15"/>
  <c r="AY64" i="15"/>
  <c r="AT51" i="15"/>
  <c r="CC82" i="15"/>
  <c r="CO79" i="15"/>
  <c r="Q76" i="15"/>
  <c r="E73" i="15"/>
  <c r="CB69" i="15"/>
  <c r="B60" i="15"/>
  <c r="DA68" i="15"/>
  <c r="Y64" i="15"/>
  <c r="AG59" i="15"/>
  <c r="BE54" i="15"/>
  <c r="T69" i="15"/>
  <c r="DL63" i="15"/>
  <c r="G57" i="15"/>
  <c r="DG66" i="15"/>
  <c r="AM60" i="15"/>
  <c r="CH68" i="15"/>
  <c r="Z57" i="15"/>
  <c r="C44" i="15"/>
  <c r="BS38" i="15"/>
  <c r="CJ81" i="15"/>
  <c r="X81" i="15"/>
  <c r="BX80" i="15"/>
  <c r="L80" i="15"/>
  <c r="BL79" i="15"/>
  <c r="DL78" i="15"/>
  <c r="AZ78" i="15"/>
  <c r="CZ77" i="15"/>
  <c r="AN77" i="15"/>
  <c r="CN76" i="15"/>
  <c r="AB76" i="15"/>
  <c r="CB75" i="15"/>
  <c r="P75" i="15"/>
  <c r="BP74" i="15"/>
  <c r="D74" i="15"/>
  <c r="BD73" i="15"/>
  <c r="DD72" i="15"/>
  <c r="AR72" i="15"/>
  <c r="CR71" i="15"/>
  <c r="AF71" i="15"/>
  <c r="BQ70" i="15"/>
  <c r="BS69" i="15"/>
  <c r="BG68" i="15"/>
  <c r="AU67" i="15"/>
  <c r="AI66" i="15"/>
  <c r="W65" i="15"/>
  <c r="AU63" i="15"/>
  <c r="W61" i="15"/>
  <c r="CI58" i="15"/>
  <c r="BC55" i="15"/>
  <c r="AR50" i="15"/>
  <c r="CI83" i="15"/>
  <c r="CM82" i="15"/>
  <c r="C82" i="15"/>
  <c r="G81" i="15"/>
  <c r="AI80" i="15"/>
  <c r="AM79" i="15"/>
  <c r="AQ78" i="15"/>
  <c r="BS77" i="15"/>
  <c r="BW76" i="15"/>
  <c r="CY75" i="15"/>
  <c r="CM74" i="15"/>
  <c r="CA73" i="15"/>
  <c r="CM72" i="15"/>
  <c r="BK71" i="15"/>
  <c r="B70" i="15"/>
  <c r="N67" i="15"/>
  <c r="DF63" i="15"/>
  <c r="M59" i="15"/>
  <c r="CB41" i="15"/>
  <c r="AD87" i="15"/>
  <c r="BZ85" i="15"/>
  <c r="Z84" i="15"/>
  <c r="F83" i="15"/>
  <c r="BZ81" i="15"/>
  <c r="BF80" i="15"/>
  <c r="F79" i="15"/>
  <c r="BB77" i="15"/>
  <c r="AX76" i="15"/>
  <c r="CT74" i="15"/>
  <c r="BZ73" i="15"/>
  <c r="AH72" i="15"/>
  <c r="CN70" i="15"/>
  <c r="BQ68" i="15"/>
  <c r="S64" i="15"/>
  <c r="CG85" i="15"/>
  <c r="DM81" i="15"/>
  <c r="DA78" i="15"/>
  <c r="I76" i="15"/>
  <c r="DI72" i="15"/>
  <c r="AV69" i="15"/>
  <c r="CP56" i="15"/>
  <c r="U67" i="15"/>
  <c r="Q64" i="15"/>
  <c r="K59" i="15"/>
  <c r="CC52" i="15"/>
  <c r="L69" i="15"/>
  <c r="AV62" i="15"/>
  <c r="CC56" i="15"/>
  <c r="CQ66" i="15"/>
  <c r="CD58" i="15"/>
  <c r="BZ66" i="15"/>
  <c r="AB46" i="15"/>
  <c r="BW32" i="15"/>
  <c r="AB82" i="15"/>
  <c r="CB81" i="15"/>
  <c r="P81" i="15"/>
  <c r="BP80" i="15"/>
  <c r="D80" i="15"/>
  <c r="BD79" i="15"/>
  <c r="DD78" i="15"/>
  <c r="AR78" i="15"/>
  <c r="CR77" i="15"/>
  <c r="AF77" i="15"/>
  <c r="CF76" i="15"/>
  <c r="T76" i="15"/>
  <c r="BT75" i="15"/>
  <c r="H75" i="15"/>
  <c r="BH74" i="15"/>
  <c r="DH73" i="15"/>
  <c r="AV73" i="15"/>
  <c r="CV72" i="15"/>
  <c r="AJ72" i="15"/>
  <c r="CJ71" i="15"/>
  <c r="X71" i="15"/>
  <c r="BF70" i="15"/>
  <c r="BC69" i="15"/>
  <c r="AQ68" i="15"/>
  <c r="AE67" i="15"/>
  <c r="S66" i="15"/>
  <c r="G65" i="15"/>
  <c r="O63" i="15"/>
  <c r="DC60" i="15"/>
  <c r="AS58" i="15"/>
  <c r="DC54" i="15"/>
  <c r="CG48" i="15"/>
  <c r="CA83" i="15"/>
  <c r="CE82" i="15"/>
  <c r="DG81" i="15"/>
  <c r="DK80" i="15"/>
  <c r="C80" i="15"/>
  <c r="AE79" i="15"/>
  <c r="AI78" i="15"/>
  <c r="BK77" i="15"/>
  <c r="BO76" i="15"/>
  <c r="BK75" i="15"/>
  <c r="CE74" i="15"/>
  <c r="BS73" i="15"/>
  <c r="CE72" i="15"/>
  <c r="BC71" i="15"/>
  <c r="AL69" i="15"/>
  <c r="DJ66" i="15"/>
  <c r="BZ63" i="15"/>
  <c r="AQ58" i="15"/>
  <c r="Z88" i="15"/>
  <c r="CL86" i="15"/>
  <c r="BR85" i="15"/>
  <c r="R84" i="15"/>
  <c r="DJ82" i="15"/>
  <c r="BR81" i="15"/>
  <c r="B80" i="15"/>
  <c r="DJ78" i="15"/>
  <c r="AT77" i="15"/>
  <c r="Z76" i="15"/>
  <c r="CL74" i="15"/>
  <c r="AT73" i="15"/>
  <c r="Z72" i="15"/>
  <c r="CA70" i="15"/>
  <c r="BA68" i="15"/>
  <c r="CA61" i="15"/>
  <c r="CK84" i="15"/>
  <c r="DE81" i="15"/>
  <c r="CS78" i="15"/>
  <c r="DE75" i="15"/>
  <c r="BE72" i="15"/>
  <c r="CN66" i="15"/>
  <c r="CX55" i="15"/>
  <c r="M67" i="15"/>
  <c r="AC63" i="15"/>
  <c r="CQ58" i="15"/>
  <c r="BL49" i="15"/>
  <c r="D69" i="15"/>
  <c r="AN62" i="15"/>
  <c r="S55" i="15"/>
  <c r="CQ64" i="15"/>
  <c r="O55" i="15"/>
  <c r="BB66" i="15"/>
  <c r="S39" i="15"/>
  <c r="AY50" i="15"/>
  <c r="K84" i="15"/>
  <c r="BK83" i="15"/>
  <c r="DK82" i="15"/>
  <c r="AY82" i="15"/>
  <c r="CY81" i="15"/>
  <c r="AM81" i="15"/>
  <c r="CM80" i="15"/>
  <c r="AA80" i="15"/>
  <c r="CA79" i="15"/>
  <c r="O79" i="15"/>
  <c r="BO78" i="15"/>
  <c r="C78" i="15"/>
  <c r="BC77" i="15"/>
  <c r="DC76" i="15"/>
  <c r="AQ76" i="15"/>
  <c r="CQ75" i="15"/>
  <c r="W75" i="15"/>
  <c r="BG74" i="15"/>
  <c r="CY73" i="15"/>
  <c r="AE73" i="15"/>
  <c r="BW72" i="15"/>
  <c r="C72" i="15"/>
  <c r="W71" i="15"/>
  <c r="CX69" i="15"/>
  <c r="Z68" i="15"/>
  <c r="CD66" i="15"/>
  <c r="CL64" i="15"/>
  <c r="CH61" i="15"/>
  <c r="DM57" i="15"/>
  <c r="BR51" i="15"/>
  <c r="DF87" i="15"/>
  <c r="V87" i="15"/>
  <c r="Z86" i="15"/>
  <c r="BB85" i="15"/>
  <c r="BV84" i="15"/>
  <c r="BZ83" i="15"/>
  <c r="DB82" i="15"/>
  <c r="R82" i="15"/>
  <c r="V81" i="15"/>
  <c r="AP80" i="15"/>
  <c r="BR79" i="15"/>
  <c r="BV78" i="15"/>
  <c r="CX77" i="15"/>
  <c r="F77" i="15"/>
  <c r="R76" i="15"/>
  <c r="AL75" i="15"/>
  <c r="BN74" i="15"/>
  <c r="BR73" i="15"/>
  <c r="CT72" i="15"/>
  <c r="B72" i="15"/>
  <c r="N71" i="15"/>
  <c r="CS69" i="15"/>
  <c r="AK68" i="15"/>
  <c r="CC65" i="15"/>
  <c r="BO60" i="15"/>
  <c r="BY85" i="15"/>
  <c r="BA83" i="15"/>
  <c r="CO81" i="15"/>
  <c r="CG79" i="15"/>
  <c r="BI77" i="15"/>
  <c r="CW75" i="15"/>
  <c r="CW73" i="15"/>
  <c r="BY71" i="15"/>
  <c r="AF69" i="15"/>
  <c r="CV64" i="15"/>
  <c r="CQ40" i="15"/>
  <c r="CS68" i="15"/>
  <c r="I66" i="15"/>
  <c r="M63" i="15"/>
  <c r="DA60" i="15"/>
  <c r="CP57" i="15"/>
  <c r="BM52" i="15"/>
  <c r="V33" i="15"/>
  <c r="AF68" i="15"/>
  <c r="CV63" i="15"/>
  <c r="BL60" i="15"/>
  <c r="BS54" i="15"/>
  <c r="BK68" i="15"/>
  <c r="O64" i="15"/>
  <c r="BI58" i="15"/>
  <c r="CX70" i="15"/>
  <c r="CD65" i="15"/>
  <c r="DF56" i="15"/>
  <c r="AO43" i="15"/>
  <c r="BR47" i="15"/>
  <c r="C84" i="15"/>
  <c r="BC83" i="15"/>
  <c r="DC82" i="15"/>
  <c r="AQ82" i="15"/>
  <c r="CQ81" i="15"/>
  <c r="AE81" i="15"/>
  <c r="CE80" i="15"/>
  <c r="S80" i="15"/>
  <c r="BS79" i="15"/>
  <c r="G79" i="15"/>
  <c r="BG78" i="15"/>
  <c r="DG77" i="15"/>
  <c r="AU77" i="15"/>
  <c r="CU76" i="15"/>
  <c r="AI76" i="15"/>
  <c r="CI75" i="15"/>
  <c r="G75" i="15"/>
  <c r="AY74" i="15"/>
  <c r="CQ73" i="15"/>
  <c r="W73" i="15"/>
  <c r="BO72" i="15"/>
  <c r="DG71" i="15"/>
  <c r="DK70" i="15"/>
  <c r="CH69" i="15"/>
  <c r="J68" i="15"/>
  <c r="R66" i="15"/>
  <c r="BF64" i="15"/>
  <c r="BB61" i="15"/>
  <c r="DA56" i="15"/>
  <c r="CF48" i="15"/>
  <c r="CX87" i="15"/>
  <c r="DB86" i="15"/>
  <c r="R86" i="15"/>
  <c r="AL85" i="15"/>
  <c r="AX84" i="15"/>
  <c r="BR83" i="15"/>
  <c r="CT82" i="15"/>
  <c r="CX81" i="15"/>
  <c r="N81" i="15"/>
  <c r="AH80" i="15"/>
  <c r="AT79" i="15"/>
  <c r="BN78" i="15"/>
  <c r="CP77" i="15"/>
  <c r="CT76" i="15"/>
  <c r="J76" i="15"/>
  <c r="AD75" i="15"/>
  <c r="AH74" i="15"/>
  <c r="BJ73" i="15"/>
  <c r="CL72" i="15"/>
  <c r="CP71" i="15"/>
  <c r="DJ70" i="15"/>
  <c r="CC69" i="15"/>
  <c r="CK67" i="15"/>
  <c r="BM65" i="15"/>
  <c r="AH58" i="15"/>
  <c r="DI84" i="15"/>
  <c r="AK83" i="15"/>
  <c r="AK81" i="15"/>
  <c r="M79" i="15"/>
  <c r="BA77" i="15"/>
  <c r="AS75" i="15"/>
  <c r="U73" i="15"/>
  <c r="BI71" i="15"/>
  <c r="AJ68" i="15"/>
  <c r="AT61" i="15"/>
  <c r="CS70" i="15"/>
  <c r="Y68" i="15"/>
  <c r="AC65" i="15"/>
  <c r="E63" i="15"/>
  <c r="AG60" i="15"/>
  <c r="BE56" i="15"/>
  <c r="Q52" i="15"/>
  <c r="AF70" i="15"/>
  <c r="CR66" i="15"/>
  <c r="BH63" i="15"/>
  <c r="BJ59" i="15"/>
  <c r="AE52" i="15"/>
  <c r="BC68" i="15"/>
  <c r="C63" i="15"/>
  <c r="K56" i="15"/>
  <c r="BJ70" i="15"/>
  <c r="CL63" i="15"/>
  <c r="U50" i="15"/>
  <c r="AF63" i="15"/>
  <c r="CO48" i="15"/>
  <c r="DG83" i="15"/>
  <c r="AU83" i="15"/>
  <c r="CU82" i="15"/>
  <c r="AI82" i="15"/>
  <c r="CI81" i="15"/>
  <c r="W81" i="15"/>
  <c r="BW80" i="15"/>
  <c r="K80" i="15"/>
  <c r="BK79" i="15"/>
  <c r="DK78" i="15"/>
  <c r="AY78" i="15"/>
  <c r="CY77" i="15"/>
  <c r="AM77" i="15"/>
  <c r="CM76" i="15"/>
  <c r="AA76" i="15"/>
  <c r="BS75" i="15"/>
  <c r="DK74" i="15"/>
  <c r="AQ74" i="15"/>
  <c r="CI73" i="15"/>
  <c r="O73" i="15"/>
  <c r="BG72" i="15"/>
  <c r="CY71" i="15"/>
  <c r="DC70" i="15"/>
  <c r="BB69" i="15"/>
  <c r="DF67" i="15"/>
  <c r="B66" i="15"/>
  <c r="Z64" i="15"/>
  <c r="DB60" i="15"/>
  <c r="BF56" i="15"/>
  <c r="BH46" i="15"/>
  <c r="CP87" i="15"/>
  <c r="CT86" i="15"/>
  <c r="J86" i="15"/>
  <c r="AD85" i="15"/>
  <c r="AP84" i="15"/>
  <c r="BJ83" i="15"/>
  <c r="CL82" i="15"/>
  <c r="CP81" i="15"/>
  <c r="F81" i="15"/>
  <c r="Z80" i="15"/>
  <c r="AD79" i="15"/>
  <c r="BF78" i="15"/>
  <c r="CH77" i="15"/>
  <c r="CL76" i="15"/>
  <c r="DF75" i="15"/>
  <c r="V75" i="15"/>
  <c r="Z74" i="15"/>
  <c r="BB73" i="15"/>
  <c r="BV72" i="15"/>
  <c r="CH71" i="15"/>
  <c r="DB70" i="15"/>
  <c r="BM69" i="15"/>
  <c r="BU67" i="15"/>
  <c r="AW65" i="15"/>
  <c r="DC57" i="15"/>
  <c r="DA84" i="15"/>
  <c r="AC83" i="15"/>
  <c r="AC81" i="15"/>
  <c r="E79" i="15"/>
  <c r="AS77" i="15"/>
  <c r="AK75" i="15"/>
  <c r="M73" i="15"/>
  <c r="BA71" i="15"/>
  <c r="T68" i="15"/>
  <c r="N61" i="15"/>
  <c r="CK70" i="15"/>
  <c r="I68" i="15"/>
  <c r="M65" i="15"/>
  <c r="DA62" i="15"/>
  <c r="Q60" i="15"/>
  <c r="AQ56" i="15"/>
  <c r="DM51" i="15"/>
  <c r="X70" i="15"/>
  <c r="CJ66" i="15"/>
  <c r="AZ63" i="15"/>
  <c r="AP59" i="15"/>
  <c r="DK51" i="15"/>
  <c r="W68" i="15"/>
  <c r="BS62" i="15"/>
  <c r="AU55" i="15"/>
  <c r="V70" i="15"/>
  <c r="CD63" i="15"/>
  <c r="CZ47" i="15"/>
  <c r="P63" i="15"/>
  <c r="BA54" i="15"/>
  <c r="CI71" i="15"/>
  <c r="O71" i="15"/>
  <c r="AC70" i="15"/>
  <c r="F69" i="15"/>
  <c r="CP67" i="15"/>
  <c r="BN66" i="15"/>
  <c r="AL65" i="15"/>
  <c r="N63" i="15"/>
  <c r="BV60" i="15"/>
  <c r="BV57" i="15"/>
  <c r="AD53" i="15"/>
  <c r="BG37" i="15"/>
  <c r="CH87" i="15"/>
  <c r="N87" i="15"/>
  <c r="AX86" i="15"/>
  <c r="CP85" i="15"/>
  <c r="V85" i="15"/>
  <c r="BN84" i="15"/>
  <c r="DF83" i="15"/>
  <c r="AL83" i="15"/>
  <c r="CD82" i="15"/>
  <c r="B82" i="15"/>
  <c r="AT81" i="15"/>
  <c r="CL80" i="15"/>
  <c r="R80" i="15"/>
  <c r="BJ79" i="15"/>
  <c r="DB78" i="15"/>
  <c r="AH78" i="15"/>
  <c r="BR77" i="15"/>
  <c r="DJ76" i="15"/>
  <c r="AP76" i="15"/>
  <c r="CH75" i="15"/>
  <c r="N75" i="15"/>
  <c r="BF74" i="15"/>
  <c r="CX73" i="15"/>
  <c r="V73" i="15"/>
  <c r="BN72" i="15"/>
  <c r="DF71" i="15"/>
  <c r="AL71" i="15"/>
  <c r="BO70" i="15"/>
  <c r="AW69" i="15"/>
  <c r="U68" i="15"/>
  <c r="CO66" i="15"/>
  <c r="CY63" i="15"/>
  <c r="V57" i="15"/>
  <c r="BI85" i="15"/>
  <c r="I84" i="15"/>
  <c r="BM82" i="15"/>
  <c r="M81" i="15"/>
  <c r="BY79" i="15"/>
  <c r="Q78" i="15"/>
  <c r="CC76" i="15"/>
  <c r="AC75" i="15"/>
  <c r="CG73" i="15"/>
  <c r="AG72" i="15"/>
  <c r="CM70" i="15"/>
  <c r="CZ67" i="15"/>
  <c r="AX64" i="15"/>
  <c r="AL55" i="15"/>
  <c r="CW69" i="15"/>
  <c r="CW67" i="15"/>
  <c r="DM65" i="15"/>
  <c r="DE63" i="15"/>
  <c r="DM61" i="15"/>
  <c r="I60" i="15"/>
  <c r="BJ57" i="15"/>
  <c r="Y54" i="15"/>
  <c r="E48" i="15"/>
  <c r="H70" i="15"/>
  <c r="DD67" i="15"/>
  <c r="L65" i="15"/>
  <c r="P62" i="15"/>
  <c r="DA58" i="15"/>
  <c r="BC54" i="15"/>
  <c r="AM38" i="15"/>
  <c r="AM66" i="15"/>
  <c r="BK62" i="15"/>
  <c r="AC58" i="15"/>
  <c r="V50" i="15"/>
  <c r="BZ68" i="15"/>
  <c r="AP63" i="15"/>
  <c r="BZ55" i="15"/>
  <c r="CG60" i="15"/>
  <c r="CM37" i="15"/>
  <c r="AF47" i="15"/>
  <c r="CA71" i="15"/>
  <c r="G71" i="15"/>
  <c r="R70" i="15"/>
  <c r="DB68" i="15"/>
  <c r="BZ67" i="15"/>
  <c r="AX66" i="15"/>
  <c r="F65" i="15"/>
  <c r="CT62" i="15"/>
  <c r="AP60" i="15"/>
  <c r="AE57" i="15"/>
  <c r="CD52" i="15"/>
  <c r="AH88" i="15"/>
  <c r="BZ87" i="15"/>
  <c r="DJ86" i="15"/>
  <c r="AP86" i="15"/>
  <c r="CH85" i="15"/>
  <c r="N85" i="15"/>
  <c r="BF84" i="15"/>
  <c r="CX83" i="15"/>
  <c r="AD83" i="15"/>
  <c r="BN82" i="15"/>
  <c r="DF81" i="15"/>
  <c r="AL81" i="15"/>
  <c r="CD80" i="15"/>
  <c r="J80" i="15"/>
  <c r="BB79" i="15"/>
  <c r="CT78" i="15"/>
  <c r="R78" i="15"/>
  <c r="BJ77" i="15"/>
  <c r="DB76" i="15"/>
  <c r="AH76" i="15"/>
  <c r="BZ75" i="15"/>
  <c r="F75" i="15"/>
  <c r="AX74" i="15"/>
  <c r="CH73" i="15"/>
  <c r="N73" i="15"/>
  <c r="BF72" i="15"/>
  <c r="CX71" i="15"/>
  <c r="AD71" i="15"/>
  <c r="BA70" i="15"/>
  <c r="AG69" i="15"/>
  <c r="DA67" i="15"/>
  <c r="BY66" i="15"/>
  <c r="BS63" i="15"/>
  <c r="CQ56" i="15"/>
  <c r="BA85" i="15"/>
  <c r="DM83" i="15"/>
  <c r="BE82" i="15"/>
  <c r="E81" i="15"/>
  <c r="BQ79" i="15"/>
  <c r="I78" i="15"/>
  <c r="BU76" i="15"/>
  <c r="U75" i="15"/>
  <c r="BY73" i="15"/>
  <c r="Y72" i="15"/>
  <c r="BY70" i="15"/>
  <c r="CJ67" i="15"/>
  <c r="R64" i="15"/>
  <c r="Z54" i="15"/>
  <c r="CG69" i="15"/>
  <c r="CO67" i="15"/>
  <c r="CW65" i="15"/>
  <c r="CW63" i="15"/>
  <c r="DE61" i="15"/>
  <c r="DM59" i="15"/>
  <c r="AO57" i="15"/>
  <c r="I54" i="15"/>
  <c r="DE46" i="15"/>
  <c r="DD69" i="15"/>
  <c r="CV67" i="15"/>
  <c r="DH64" i="15"/>
  <c r="CV61" i="15"/>
  <c r="CP58" i="15"/>
  <c r="W54" i="15"/>
  <c r="DK69" i="15"/>
  <c r="AE66" i="15"/>
  <c r="AU62" i="15"/>
  <c r="CC57" i="15"/>
  <c r="BB49" i="15"/>
  <c r="AL68" i="15"/>
  <c r="CP62" i="15"/>
  <c r="AT55" i="15"/>
  <c r="BP59" i="15"/>
  <c r="P58" i="15"/>
  <c r="BL57" i="15"/>
  <c r="BI66" i="15"/>
  <c r="AG65" i="15"/>
  <c r="G63" i="15"/>
  <c r="C60" i="15"/>
  <c r="AU56" i="15"/>
  <c r="U48" i="15"/>
  <c r="AK85" i="15"/>
  <c r="BU84" i="15"/>
  <c r="CW83" i="15"/>
  <c r="M83" i="15"/>
  <c r="AW82" i="15"/>
  <c r="BY81" i="15"/>
  <c r="DA80" i="15"/>
  <c r="Y80" i="15"/>
  <c r="BA79" i="15"/>
  <c r="CC78" i="15"/>
  <c r="DM77" i="15"/>
  <c r="AC77" i="15"/>
  <c r="BE76" i="15"/>
  <c r="CO75" i="15"/>
  <c r="E75" i="15"/>
  <c r="AG74" i="15"/>
  <c r="BQ73" i="15"/>
  <c r="CS72" i="15"/>
  <c r="I72" i="15"/>
  <c r="AS71" i="15"/>
  <c r="AZ70" i="15"/>
  <c r="DL68" i="15"/>
  <c r="BT67" i="15"/>
  <c r="DH65" i="15"/>
  <c r="AL63" i="15"/>
  <c r="CE59" i="15"/>
  <c r="N53" i="15"/>
  <c r="BM70" i="15"/>
  <c r="BY69" i="15"/>
  <c r="BU68" i="15"/>
  <c r="BY67" i="15"/>
  <c r="CC66" i="15"/>
  <c r="BY65" i="15"/>
  <c r="CC64" i="15"/>
  <c r="CO63" i="15"/>
  <c r="CK62" i="15"/>
  <c r="CG61" i="15"/>
  <c r="CS60" i="15"/>
  <c r="CM59" i="15"/>
  <c r="BK58" i="15"/>
  <c r="AD57" i="15"/>
  <c r="BQ55" i="15"/>
  <c r="BY53" i="15"/>
  <c r="CW51" i="15"/>
  <c r="CS45" i="15"/>
  <c r="CJ70" i="15"/>
  <c r="CV69" i="15"/>
  <c r="CR68" i="15"/>
  <c r="BX67" i="15"/>
  <c r="X66" i="15"/>
  <c r="BT64" i="15"/>
  <c r="AB63" i="15"/>
  <c r="CN61" i="15"/>
  <c r="X60" i="15"/>
  <c r="BJ58" i="15"/>
  <c r="BO56" i="15"/>
  <c r="BG53" i="15"/>
  <c r="BK49" i="15"/>
  <c r="CU69" i="15"/>
  <c r="CM67" i="15"/>
  <c r="DC65" i="15"/>
  <c r="G64" i="15"/>
  <c r="DC61" i="15"/>
  <c r="G60" i="15"/>
  <c r="BR57" i="15"/>
  <c r="CY53" i="15"/>
  <c r="DA47" i="15"/>
  <c r="F70" i="15"/>
  <c r="CL67" i="15"/>
  <c r="Z65" i="15"/>
  <c r="BR62" i="15"/>
  <c r="DI58" i="15"/>
  <c r="AX54" i="15"/>
  <c r="G38" i="15"/>
  <c r="Z58" i="15"/>
  <c r="CF62" i="15"/>
  <c r="AR55" i="15"/>
  <c r="BP38" i="15"/>
  <c r="DL56" i="15"/>
  <c r="AS66" i="15"/>
  <c r="Q65" i="15"/>
  <c r="CM62" i="15"/>
  <c r="CF59" i="15"/>
  <c r="CY55" i="15"/>
  <c r="DI45" i="15"/>
  <c r="AC85" i="15"/>
  <c r="BM84" i="15"/>
  <c r="CO83" i="15"/>
  <c r="E83" i="15"/>
  <c r="AO82" i="15"/>
  <c r="BQ81" i="15"/>
  <c r="CS80" i="15"/>
  <c r="Q80" i="15"/>
  <c r="AS79" i="15"/>
  <c r="BU78" i="15"/>
  <c r="DE77" i="15"/>
  <c r="U77" i="15"/>
  <c r="AW76" i="15"/>
  <c r="CG75" i="15"/>
  <c r="DI74" i="15"/>
  <c r="Y74" i="15"/>
  <c r="BI73" i="15"/>
  <c r="CK72" i="15"/>
  <c r="DM71" i="15"/>
  <c r="AK71" i="15"/>
  <c r="AM70" i="15"/>
  <c r="CV68" i="15"/>
  <c r="BD67" i="15"/>
  <c r="CR65" i="15"/>
  <c r="CL62" i="15"/>
  <c r="B59" i="15"/>
  <c r="BN52" i="15"/>
  <c r="BE70" i="15"/>
  <c r="BI69" i="15"/>
  <c r="BM68" i="15"/>
  <c r="BI67" i="15"/>
  <c r="BU66" i="15"/>
  <c r="BQ65" i="15"/>
  <c r="BM64" i="15"/>
  <c r="BY63" i="15"/>
  <c r="CC62" i="15"/>
  <c r="BY61" i="15"/>
  <c r="CC60" i="15"/>
  <c r="CD59" i="15"/>
  <c r="AP58" i="15"/>
  <c r="S57" i="15"/>
  <c r="BA55" i="15"/>
  <c r="AS53" i="15"/>
  <c r="BQ51" i="15"/>
  <c r="AG45" i="15"/>
  <c r="CB70" i="15"/>
  <c r="CF69" i="15"/>
  <c r="CJ68" i="15"/>
  <c r="AR67" i="15"/>
  <c r="H66" i="15"/>
  <c r="BL64" i="15"/>
  <c r="DH62" i="15"/>
  <c r="BX61" i="15"/>
  <c r="P60" i="15"/>
  <c r="S58" i="15"/>
  <c r="AP56" i="15"/>
  <c r="AQ53" i="15"/>
  <c r="BD47" i="15"/>
  <c r="CE69" i="15"/>
  <c r="BW67" i="15"/>
  <c r="BO65" i="15"/>
  <c r="CM63" i="15"/>
  <c r="CU61" i="15"/>
  <c r="CA59" i="15"/>
  <c r="AW57" i="15"/>
  <c r="CI53" i="15"/>
  <c r="BQ44" i="15"/>
  <c r="DB69" i="15"/>
  <c r="BN67" i="15"/>
  <c r="CP64" i="15"/>
  <c r="AD62" i="15"/>
  <c r="CX58" i="15"/>
  <c r="V53" i="15"/>
  <c r="M64" i="15"/>
  <c r="AT57" i="15"/>
  <c r="BH60" i="15"/>
  <c r="AB55" i="15"/>
  <c r="CD53" i="15"/>
  <c r="CF54" i="15"/>
  <c r="AC66" i="15"/>
  <c r="DM64" i="15"/>
  <c r="AA62" i="15"/>
  <c r="AT59" i="15"/>
  <c r="CM54" i="15"/>
  <c r="CR40" i="15"/>
  <c r="U85" i="15"/>
  <c r="AW84" i="15"/>
  <c r="BY83" i="15"/>
  <c r="DI82" i="15"/>
  <c r="Y82" i="15"/>
  <c r="BA81" i="15"/>
  <c r="CK80" i="15"/>
  <c r="DM79" i="15"/>
  <c r="AC79" i="15"/>
  <c r="BM78" i="15"/>
  <c r="CO77" i="15"/>
  <c r="E77" i="15"/>
  <c r="AO76" i="15"/>
  <c r="BQ75" i="15"/>
  <c r="CS74" i="15"/>
  <c r="Q74" i="15"/>
  <c r="AS73" i="15"/>
  <c r="BU72" i="15"/>
  <c r="DE71" i="15"/>
  <c r="U71" i="15"/>
  <c r="L70" i="15"/>
  <c r="CF68" i="15"/>
  <c r="X67" i="15"/>
  <c r="BL65" i="15"/>
  <c r="BF62" i="15"/>
  <c r="DB57" i="15"/>
  <c r="DK49" i="15"/>
  <c r="AW70" i="15"/>
  <c r="AS69" i="15"/>
  <c r="AO68" i="15"/>
  <c r="BA67" i="15"/>
  <c r="AW66" i="15"/>
  <c r="BA65" i="15"/>
  <c r="BE64" i="15"/>
  <c r="BA63" i="15"/>
  <c r="BE62" i="15"/>
  <c r="BQ61" i="15"/>
  <c r="BM60" i="15"/>
  <c r="BB59" i="15"/>
  <c r="AE58" i="15"/>
  <c r="CY56" i="15"/>
  <c r="U55" i="15"/>
  <c r="AC53" i="15"/>
  <c r="BX50" i="15"/>
  <c r="BU43" i="15"/>
  <c r="BT70" i="15"/>
  <c r="BP69" i="15"/>
  <c r="BL68" i="15"/>
  <c r="AJ67" i="15"/>
  <c r="CF65" i="15"/>
  <c r="AN64" i="15"/>
  <c r="CZ62" i="15"/>
  <c r="AJ61" i="15"/>
  <c r="DD59" i="15"/>
  <c r="I58" i="15"/>
  <c r="CE55" i="15"/>
  <c r="DG52" i="15"/>
  <c r="DD46" i="15"/>
  <c r="AA69" i="15"/>
  <c r="AY67" i="15"/>
  <c r="AY65" i="15"/>
  <c r="AQ63" i="15"/>
  <c r="BG61" i="15"/>
  <c r="BR59" i="15"/>
  <c r="CL56" i="15"/>
  <c r="W53" i="15"/>
  <c r="E44" i="15"/>
  <c r="AX69" i="15"/>
  <c r="AH67" i="15"/>
  <c r="BR64" i="15"/>
  <c r="BF61" i="15"/>
  <c r="Q58" i="15"/>
  <c r="DB52" i="15"/>
  <c r="DM62" i="15"/>
  <c r="CI56" i="15"/>
  <c r="DE57" i="15"/>
  <c r="BT52" i="15"/>
  <c r="CL51" i="15"/>
  <c r="F43" i="15"/>
  <c r="M66" i="15"/>
  <c r="CW64" i="15"/>
  <c r="DG61" i="15"/>
  <c r="C59" i="15"/>
  <c r="AA54" i="15"/>
  <c r="AH34" i="15"/>
  <c r="M85" i="15"/>
  <c r="AO84" i="15"/>
  <c r="BQ83" i="15"/>
  <c r="DA82" i="15"/>
  <c r="Q82" i="15"/>
  <c r="AS81" i="15"/>
  <c r="CC80" i="15"/>
  <c r="DE79" i="15"/>
  <c r="U79" i="15"/>
  <c r="BE78" i="15"/>
  <c r="CG77" i="15"/>
  <c r="DI76" i="15"/>
  <c r="AG76" i="15"/>
  <c r="BI75" i="15"/>
  <c r="CK74" i="15"/>
  <c r="I74" i="15"/>
  <c r="AK73" i="15"/>
  <c r="BM72" i="15"/>
  <c r="CW71" i="15"/>
  <c r="M71" i="15"/>
  <c r="DH69" i="15"/>
  <c r="BP68" i="15"/>
  <c r="H67" i="15"/>
  <c r="AF65" i="15"/>
  <c r="Z62" i="15"/>
  <c r="BK57" i="15"/>
  <c r="DH45" i="15"/>
  <c r="AG70" i="15"/>
  <c r="AK69" i="15"/>
  <c r="AG68" i="15"/>
  <c r="AK67" i="15"/>
  <c r="AO66" i="15"/>
  <c r="AK65" i="15"/>
  <c r="AW64" i="15"/>
  <c r="AS63" i="15"/>
  <c r="AO62" i="15"/>
  <c r="BA61" i="15"/>
  <c r="BE60" i="15"/>
  <c r="AQ59" i="15"/>
  <c r="J58" i="15"/>
  <c r="CO56" i="15"/>
  <c r="DA54" i="15"/>
  <c r="M53" i="15"/>
  <c r="AH50" i="15"/>
  <c r="AD42" i="15"/>
  <c r="BD70" i="15"/>
  <c r="BH69" i="15"/>
  <c r="BD68" i="15"/>
  <c r="T67" i="15"/>
  <c r="BX65" i="15"/>
  <c r="H64" i="15"/>
  <c r="CJ62" i="15"/>
  <c r="AB61" i="15"/>
  <c r="BS59" i="15"/>
  <c r="CY57" i="15"/>
  <c r="BO55" i="15"/>
  <c r="AU52" i="15"/>
  <c r="CR45" i="15"/>
  <c r="S69" i="15"/>
  <c r="C67" i="15"/>
  <c r="AI65" i="15"/>
  <c r="AA63" i="15"/>
  <c r="S61" i="15"/>
  <c r="AD59" i="15"/>
  <c r="CA56" i="15"/>
  <c r="BG52" i="15"/>
  <c r="CP42" i="15"/>
  <c r="AP69" i="15"/>
  <c r="CH66" i="15"/>
  <c r="BB64" i="15"/>
  <c r="AP61" i="15"/>
  <c r="AK57" i="15"/>
  <c r="AP52" i="15"/>
  <c r="AS62" i="15"/>
  <c r="AX56" i="15"/>
  <c r="DG54" i="15"/>
  <c r="C48" i="15"/>
  <c r="CX49" i="15"/>
  <c r="BX43" i="15"/>
  <c r="AM63" i="15"/>
  <c r="O61" i="15"/>
  <c r="BY58" i="15"/>
  <c r="AM55" i="15"/>
  <c r="B50" i="15"/>
  <c r="BQ85" i="15"/>
  <c r="E85" i="15"/>
  <c r="BE84" i="15"/>
  <c r="DE83" i="15"/>
  <c r="AS83" i="15"/>
  <c r="CS82" i="15"/>
  <c r="AG82" i="15"/>
  <c r="CG81" i="15"/>
  <c r="U81" i="15"/>
  <c r="BU80" i="15"/>
  <c r="I80" i="15"/>
  <c r="BI79" i="15"/>
  <c r="DI78" i="15"/>
  <c r="AW78" i="15"/>
  <c r="CW77" i="15"/>
  <c r="AK77" i="15"/>
  <c r="CK76" i="15"/>
  <c r="Y76" i="15"/>
  <c r="BY75" i="15"/>
  <c r="M75" i="15"/>
  <c r="BM74" i="15"/>
  <c r="DM73" i="15"/>
  <c r="BA73" i="15"/>
  <c r="DA72" i="15"/>
  <c r="AO72" i="15"/>
  <c r="CO71" i="15"/>
  <c r="AC71" i="15"/>
  <c r="BN70" i="15"/>
  <c r="BL69" i="15"/>
  <c r="AZ68" i="15"/>
  <c r="AN67" i="15"/>
  <c r="AB66" i="15"/>
  <c r="CD64" i="15"/>
  <c r="DF61" i="15"/>
  <c r="BW58" i="15"/>
  <c r="BZ53" i="15"/>
  <c r="AB34" i="15"/>
  <c r="Y70" i="15"/>
  <c r="BA69" i="15"/>
  <c r="CK68" i="15"/>
  <c r="DM67" i="15"/>
  <c r="AC67" i="15"/>
  <c r="BM66" i="15"/>
  <c r="CO65" i="15"/>
  <c r="E65" i="15"/>
  <c r="AO64" i="15"/>
  <c r="BQ63" i="15"/>
  <c r="CS62" i="15"/>
  <c r="Q62" i="15"/>
  <c r="AS61" i="15"/>
  <c r="BU60" i="15"/>
  <c r="DE59" i="15"/>
  <c r="DM58" i="15"/>
  <c r="DK57" i="15"/>
  <c r="I57" i="15"/>
  <c r="CW55" i="15"/>
  <c r="AO54" i="15"/>
  <c r="DI52" i="15"/>
  <c r="AL51" i="15"/>
  <c r="AS46" i="15"/>
  <c r="AZ39" i="15"/>
  <c r="AV70" i="15"/>
  <c r="BX69" i="15"/>
  <c r="DH68" i="15"/>
  <c r="X68" i="15"/>
  <c r="L67" i="15"/>
  <c r="DL65" i="15"/>
  <c r="CZ64" i="15"/>
  <c r="CN63" i="15"/>
  <c r="CB62" i="15"/>
  <c r="BP61" i="15"/>
  <c r="BD60" i="15"/>
  <c r="AE59" i="15"/>
  <c r="CO57" i="15"/>
  <c r="AD56" i="15"/>
  <c r="G54" i="15"/>
  <c r="CU51" i="15"/>
  <c r="AF45" i="15"/>
  <c r="BW69" i="15"/>
  <c r="O68" i="15"/>
  <c r="CA66" i="15"/>
  <c r="AA65" i="15"/>
  <c r="CE63" i="15"/>
  <c r="AE62" i="15"/>
  <c r="CQ60" i="15"/>
  <c r="S59" i="15"/>
  <c r="AA57" i="15"/>
  <c r="CE54" i="15"/>
  <c r="CA51" i="15"/>
  <c r="AM41" i="15"/>
  <c r="CT69" i="15"/>
  <c r="V68" i="15"/>
  <c r="AD66" i="15"/>
  <c r="AL64" i="15"/>
  <c r="N62" i="15"/>
  <c r="CS59" i="15"/>
  <c r="BZ56" i="15"/>
  <c r="CP51" i="15"/>
  <c r="E64" i="15"/>
  <c r="BQ60" i="15"/>
  <c r="AL56" i="15"/>
  <c r="D62" i="15"/>
  <c r="CE49" i="15"/>
  <c r="AV52" i="15"/>
  <c r="BF46" i="15"/>
  <c r="AC48" i="15"/>
  <c r="DF49" i="15"/>
  <c r="DE62" i="15"/>
  <c r="AW59" i="15"/>
  <c r="CK52" i="15"/>
  <c r="CP59" i="15"/>
  <c r="CB58" i="15"/>
  <c r="CI47" i="15"/>
  <c r="DH33" i="15"/>
  <c r="AS54" i="15"/>
  <c r="AK47" i="15"/>
  <c r="CA75" i="15"/>
  <c r="O75" i="15"/>
  <c r="BO74" i="15"/>
  <c r="C74" i="15"/>
  <c r="BC73" i="15"/>
  <c r="DC72" i="15"/>
  <c r="AQ72" i="15"/>
  <c r="CQ71" i="15"/>
  <c r="AE71" i="15"/>
  <c r="BP70" i="15"/>
  <c r="BR69" i="15"/>
  <c r="BF68" i="15"/>
  <c r="AT67" i="15"/>
  <c r="AH66" i="15"/>
  <c r="V65" i="15"/>
  <c r="AT63" i="15"/>
  <c r="V61" i="15"/>
  <c r="CH58" i="15"/>
  <c r="BB55" i="15"/>
  <c r="AQ50" i="15"/>
  <c r="R88" i="15"/>
  <c r="BR87" i="15"/>
  <c r="F87" i="15"/>
  <c r="BF86" i="15"/>
  <c r="DF85" i="15"/>
  <c r="AT85" i="15"/>
  <c r="CT84" i="15"/>
  <c r="AH84" i="15"/>
  <c r="CH83" i="15"/>
  <c r="V83" i="15"/>
  <c r="BV82" i="15"/>
  <c r="J82" i="15"/>
  <c r="BJ81" i="15"/>
  <c r="DJ80" i="15"/>
  <c r="AX80" i="15"/>
  <c r="CX79" i="15"/>
  <c r="AL79" i="15"/>
  <c r="CL78" i="15"/>
  <c r="Z78" i="15"/>
  <c r="BZ77" i="15"/>
  <c r="N77" i="15"/>
  <c r="BN76" i="15"/>
  <c r="B76" i="15"/>
  <c r="BB75" i="15"/>
  <c r="DB74" i="15"/>
  <c r="AP74" i="15"/>
  <c r="CP73" i="15"/>
  <c r="AD73" i="15"/>
  <c r="CD72" i="15"/>
  <c r="R72" i="15"/>
  <c r="BR71" i="15"/>
  <c r="F71" i="15"/>
  <c r="AB70" i="15"/>
  <c r="Q69" i="15"/>
  <c r="E68" i="15"/>
  <c r="DE66" i="15"/>
  <c r="CS65" i="15"/>
  <c r="CE64" i="15"/>
  <c r="BG62" i="15"/>
  <c r="AI60" i="15"/>
  <c r="BM57" i="15"/>
  <c r="CA53" i="15"/>
  <c r="CK43" i="15"/>
  <c r="AS85" i="15"/>
  <c r="CS84" i="15"/>
  <c r="AG84" i="15"/>
  <c r="CG83" i="15"/>
  <c r="U83" i="15"/>
  <c r="BU82" i="15"/>
  <c r="I82" i="15"/>
  <c r="BI81" i="15"/>
  <c r="DI80" i="15"/>
  <c r="AW80" i="15"/>
  <c r="CW79" i="15"/>
  <c r="AK79" i="15"/>
  <c r="CK78" i="15"/>
  <c r="Y78" i="15"/>
  <c r="BY77" i="15"/>
  <c r="M77" i="15"/>
  <c r="BM76" i="15"/>
  <c r="DM75" i="15"/>
  <c r="BA75" i="15"/>
  <c r="DA74" i="15"/>
  <c r="AO74" i="15"/>
  <c r="CO73" i="15"/>
  <c r="AC73" i="15"/>
  <c r="CC72" i="15"/>
  <c r="Q72" i="15"/>
  <c r="BQ71" i="15"/>
  <c r="E71" i="15"/>
  <c r="AA70" i="15"/>
  <c r="P69" i="15"/>
  <c r="D68" i="15"/>
  <c r="DD66" i="15"/>
  <c r="CB65" i="15"/>
  <c r="BR63" i="15"/>
  <c r="BN60" i="15"/>
  <c r="U57" i="15"/>
  <c r="AS51" i="15"/>
  <c r="BU70" i="15"/>
  <c r="DE69" i="15"/>
  <c r="U69" i="15"/>
  <c r="AW68" i="15"/>
  <c r="CG67" i="15"/>
  <c r="DI66" i="15"/>
  <c r="Y66" i="15"/>
  <c r="BI65" i="15"/>
  <c r="CK64" i="15"/>
  <c r="DM63" i="15"/>
  <c r="AK63" i="15"/>
  <c r="BM62" i="15"/>
  <c r="CO61" i="15"/>
  <c r="M61" i="15"/>
  <c r="AO60" i="15"/>
  <c r="BK59" i="15"/>
  <c r="BV58" i="15"/>
  <c r="BU57" i="15"/>
  <c r="BR56" i="15"/>
  <c r="AK55" i="15"/>
  <c r="CO53" i="15"/>
  <c r="AG52" i="15"/>
  <c r="DB49" i="15"/>
  <c r="U44" i="15"/>
  <c r="CR70" i="15"/>
  <c r="P70" i="15"/>
  <c r="AR69" i="15"/>
  <c r="BT68" i="15"/>
  <c r="CF67" i="15"/>
  <c r="BT66" i="15"/>
  <c r="BH65" i="15"/>
  <c r="AV64" i="15"/>
  <c r="AJ63" i="15"/>
  <c r="X62" i="15"/>
  <c r="L61" i="15"/>
  <c r="DL59" i="15"/>
  <c r="BU58" i="15"/>
  <c r="R57" i="15"/>
  <c r="AI55" i="15"/>
  <c r="K53" i="15"/>
  <c r="DA49" i="15"/>
  <c r="AY39" i="15"/>
  <c r="C69" i="15"/>
  <c r="BG67" i="15"/>
  <c r="DK65" i="15"/>
  <c r="BS64" i="15"/>
  <c r="K63" i="15"/>
  <c r="BO61" i="15"/>
  <c r="W60" i="15"/>
  <c r="AM58" i="15"/>
  <c r="AA56" i="15"/>
  <c r="BC53" i="15"/>
  <c r="BA48" i="15"/>
  <c r="BR70" i="15"/>
  <c r="Z69" i="15"/>
  <c r="AP67" i="15"/>
  <c r="AP65" i="15"/>
  <c r="BF63" i="15"/>
  <c r="R61" i="15"/>
  <c r="AA58" i="15"/>
  <c r="BN54" i="15"/>
  <c r="CN46" i="15"/>
  <c r="CG62" i="15"/>
  <c r="CW58" i="15"/>
  <c r="BA44" i="15"/>
  <c r="AT58" i="15"/>
  <c r="X58" i="15"/>
  <c r="AA46" i="15"/>
  <c r="Z55" i="15"/>
  <c r="CB47" i="15"/>
  <c r="B2" i="15"/>
  <c r="DE33" i="15"/>
  <c r="CK39" i="15"/>
  <c r="P37" i="15"/>
  <c r="DF38" i="15"/>
  <c r="BS36" i="15"/>
  <c r="CF45" i="15"/>
  <c r="DH50" i="15"/>
  <c r="CI41" i="15"/>
  <c r="M45" i="15"/>
  <c r="BU48" i="15"/>
  <c r="T38" i="15"/>
  <c r="BR45" i="15"/>
  <c r="C50" i="15"/>
  <c r="BZ40" i="15"/>
  <c r="BS45" i="15"/>
  <c r="D50" i="15"/>
  <c r="DD52" i="15"/>
  <c r="CN54" i="15"/>
  <c r="CF56" i="15"/>
  <c r="CR57" i="15"/>
  <c r="DD58" i="15"/>
  <c r="CX29" i="15"/>
  <c r="O40" i="15"/>
  <c r="AV43" i="15"/>
  <c r="BT45" i="15"/>
  <c r="CR47" i="15"/>
  <c r="CK49" i="15"/>
  <c r="Y51" i="15"/>
  <c r="AK52" i="15"/>
  <c r="AW53" i="15"/>
  <c r="BI54" i="15"/>
  <c r="BU55" i="15"/>
  <c r="CO25" i="15"/>
  <c r="CV39" i="15"/>
  <c r="AE43" i="15"/>
  <c r="BE45" i="15"/>
  <c r="CC47" i="15"/>
  <c r="AG49" i="15"/>
  <c r="F50" i="15"/>
  <c r="CN50" i="15"/>
  <c r="AX51" i="15"/>
  <c r="DJ51" i="15"/>
  <c r="BJ52" i="15"/>
  <c r="J53" i="15"/>
  <c r="BV53" i="15"/>
  <c r="V54" i="15"/>
  <c r="CH54" i="15"/>
  <c r="AH55" i="15"/>
  <c r="CT55" i="15"/>
  <c r="BV32" i="15"/>
  <c r="AJ38" i="15"/>
  <c r="BH40" i="15"/>
  <c r="Z42" i="15"/>
  <c r="BR43" i="15"/>
  <c r="CD44" i="15"/>
  <c r="CP45" i="15"/>
  <c r="DB46" i="15"/>
  <c r="B48" i="15"/>
  <c r="I49" i="15"/>
  <c r="CY49" i="15"/>
  <c r="BS50" i="15"/>
  <c r="AI51" i="15"/>
  <c r="N35" i="15"/>
  <c r="CX38" i="15"/>
  <c r="J41" i="15"/>
  <c r="BR42" i="15"/>
  <c r="CY43" i="15"/>
  <c r="DK44" i="15"/>
  <c r="K46" i="15"/>
  <c r="W47" i="15"/>
  <c r="AI48" i="15"/>
  <c r="AL49" i="15"/>
  <c r="J50" i="15"/>
  <c r="CP50" i="15"/>
  <c r="AZ51" i="15"/>
  <c r="DL51" i="15"/>
  <c r="BL52" i="15"/>
  <c r="L53" i="15"/>
  <c r="BX53" i="15"/>
  <c r="X54" i="15"/>
  <c r="CJ54" i="15"/>
  <c r="AJ55" i="15"/>
  <c r="CV55" i="15"/>
  <c r="AV56" i="15"/>
  <c r="DH56" i="15"/>
  <c r="AD37" i="15"/>
  <c r="DI39" i="15"/>
  <c r="N44" i="15"/>
  <c r="DC43" i="15"/>
  <c r="AU38" i="15"/>
  <c r="AR47" i="15"/>
  <c r="CR35" i="15"/>
  <c r="BD42" i="15"/>
  <c r="I46" i="15"/>
  <c r="BI49" i="15"/>
  <c r="CR39" i="15"/>
  <c r="DJ46" i="15"/>
  <c r="W51" i="15"/>
  <c r="Z41" i="15"/>
  <c r="DK46" i="15"/>
  <c r="X51" i="15"/>
  <c r="H53" i="15"/>
  <c r="BT55" i="15"/>
  <c r="P57" i="15"/>
  <c r="AB58" i="15"/>
  <c r="AN59" i="15"/>
  <c r="AN37" i="15"/>
  <c r="BR41" i="15"/>
  <c r="AB44" i="15"/>
  <c r="AZ46" i="15"/>
  <c r="BX48" i="15"/>
  <c r="AK50" i="15"/>
  <c r="BU51" i="15"/>
  <c r="CG52" i="15"/>
  <c r="CS53" i="15"/>
  <c r="DE54" i="15"/>
  <c r="E56" i="15"/>
  <c r="CP36" i="15"/>
  <c r="AX41" i="15"/>
  <c r="M44" i="15"/>
  <c r="AK46" i="15"/>
  <c r="BI48" i="15"/>
  <c r="BF49" i="15"/>
  <c r="AB50" i="15"/>
  <c r="DJ50" i="15"/>
  <c r="BN51" i="15"/>
  <c r="N52" i="15"/>
  <c r="BZ52" i="15"/>
  <c r="Z53" i="15"/>
  <c r="CL53" i="15"/>
  <c r="AL54" i="15"/>
  <c r="CX54" i="15"/>
  <c r="AX55" i="15"/>
  <c r="DJ55" i="15"/>
  <c r="H35" i="15"/>
  <c r="CV38" i="15"/>
  <c r="H41" i="15"/>
  <c r="BP42" i="15"/>
  <c r="CX43" i="15"/>
  <c r="DJ44" i="15"/>
  <c r="J46" i="15"/>
  <c r="V47" i="15"/>
  <c r="AH48" i="15"/>
  <c r="AI49" i="15"/>
  <c r="G50" i="15"/>
  <c r="CO50" i="15"/>
  <c r="AY51" i="15"/>
  <c r="DF36" i="15"/>
  <c r="AX39" i="15"/>
  <c r="BF41" i="15"/>
  <c r="DH42" i="15"/>
  <c r="S44" i="15"/>
  <c r="AE45" i="15"/>
  <c r="AQ46" i="15"/>
  <c r="BC47" i="15"/>
  <c r="BO48" i="15"/>
  <c r="BJ49" i="15"/>
  <c r="AD50" i="15"/>
  <c r="DL50" i="15"/>
  <c r="BP51" i="15"/>
  <c r="P52" i="15"/>
  <c r="CB52" i="15"/>
  <c r="AB53" i="15"/>
  <c r="CN53" i="15"/>
  <c r="AN54" i="15"/>
  <c r="CZ54" i="15"/>
  <c r="AZ55" i="15"/>
  <c r="DL55" i="15"/>
  <c r="AT39" i="15"/>
  <c r="BC33" i="15"/>
  <c r="BZ44" i="15"/>
  <c r="DK43" i="15"/>
  <c r="X43" i="15"/>
  <c r="AZ47" i="15"/>
  <c r="AR36" i="15"/>
  <c r="BY43" i="15"/>
  <c r="AW46" i="15"/>
  <c r="BY49" i="15"/>
  <c r="CA42" i="15"/>
  <c r="N47" i="15"/>
  <c r="AE51" i="15"/>
  <c r="AU43" i="15"/>
  <c r="O47" i="15"/>
  <c r="AF51" i="15"/>
  <c r="CB53" i="15"/>
  <c r="CB55" i="15"/>
  <c r="X57" i="15"/>
  <c r="AJ58" i="15"/>
  <c r="AV59" i="15"/>
  <c r="BW37" i="15"/>
  <c r="CM41" i="15"/>
  <c r="AR44" i="15"/>
  <c r="BP46" i="15"/>
  <c r="CN48" i="15"/>
  <c r="AU50" i="15"/>
  <c r="CC51" i="15"/>
  <c r="CO52" i="15"/>
  <c r="DA53" i="15"/>
  <c r="DM54" i="15"/>
  <c r="M56" i="15"/>
  <c r="AP37" i="15"/>
  <c r="BS41" i="15"/>
  <c r="AC44" i="15"/>
  <c r="BA46" i="15"/>
  <c r="BY48" i="15"/>
  <c r="BR49" i="15"/>
  <c r="AL50" i="15"/>
  <c r="H51" i="15"/>
  <c r="BV51" i="15"/>
  <c r="V52" i="15"/>
  <c r="CH52" i="15"/>
  <c r="AH53" i="15"/>
  <c r="CT53" i="15"/>
  <c r="AT54" i="15"/>
  <c r="DF54" i="15"/>
  <c r="BF55" i="15"/>
  <c r="F56" i="15"/>
  <c r="T36" i="15"/>
  <c r="P39" i="15"/>
  <c r="AI41" i="15"/>
  <c r="CL42" i="15"/>
  <c r="B44" i="15"/>
  <c r="N45" i="15"/>
  <c r="Z46" i="15"/>
  <c r="AL47" i="15"/>
  <c r="AX48" i="15"/>
  <c r="AV49" i="15"/>
  <c r="S50" i="15"/>
  <c r="CY50" i="15"/>
  <c r="BG51" i="15"/>
  <c r="BF37" i="15"/>
  <c r="CD39" i="15"/>
  <c r="CA41" i="15"/>
  <c r="R43" i="15"/>
  <c r="AI44" i="15"/>
  <c r="AU45" i="15"/>
  <c r="BG46" i="15"/>
  <c r="BS47" i="15"/>
  <c r="CE48" i="15"/>
  <c r="BT49" i="15"/>
  <c r="AP50" i="15"/>
  <c r="J51" i="15"/>
  <c r="BX51" i="15"/>
  <c r="X52" i="15"/>
  <c r="CJ52" i="15"/>
  <c r="AJ53" i="15"/>
  <c r="CV53" i="15"/>
  <c r="AV54" i="15"/>
  <c r="DH54" i="15"/>
  <c r="BH55" i="15"/>
  <c r="H56" i="15"/>
  <c r="BT56" i="15"/>
  <c r="T57" i="15"/>
  <c r="C34" i="15"/>
  <c r="CP38" i="15"/>
  <c r="CF43" i="15"/>
  <c r="L51" i="15"/>
  <c r="DI44" i="15"/>
  <c r="CG49" i="15"/>
  <c r="BB45" i="15"/>
  <c r="BZ35" i="15"/>
  <c r="CU46" i="15"/>
  <c r="D52" i="15"/>
  <c r="CJ55" i="15"/>
  <c r="CJ57" i="15"/>
  <c r="CJ59" i="15"/>
  <c r="AA41" i="15"/>
  <c r="AN45" i="15"/>
  <c r="DD48" i="15"/>
  <c r="Q51" i="15"/>
  <c r="Q53" i="15"/>
  <c r="CO54" i="15"/>
  <c r="BQ56" i="15"/>
  <c r="CN41" i="15"/>
  <c r="AO45" i="15"/>
  <c r="DE48" i="15"/>
  <c r="R50" i="15"/>
  <c r="AH51" i="15"/>
  <c r="AD52" i="15"/>
  <c r="B53" i="15"/>
  <c r="DJ53" i="15"/>
  <c r="CP54" i="15"/>
  <c r="CD55" i="15"/>
  <c r="DD36" i="15"/>
  <c r="AB40" i="15"/>
  <c r="P43" i="15"/>
  <c r="CT44" i="15"/>
  <c r="BV46" i="15"/>
  <c r="BN48" i="15"/>
  <c r="CM49" i="15"/>
  <c r="I51" i="15"/>
  <c r="Z36" i="15"/>
  <c r="BJ40" i="15"/>
  <c r="AM43" i="15"/>
  <c r="CU44" i="15"/>
  <c r="CM46" i="15"/>
  <c r="AY48" i="15"/>
  <c r="CZ49" i="15"/>
  <c r="T51" i="15"/>
  <c r="DD51" i="15"/>
  <c r="CZ52" i="15"/>
  <c r="CF53" i="15"/>
  <c r="BT54" i="15"/>
  <c r="BP55" i="15"/>
  <c r="AN56" i="15"/>
  <c r="L57" i="15"/>
  <c r="CF57" i="15"/>
  <c r="AF58" i="15"/>
  <c r="CR58" i="15"/>
  <c r="AR59" i="15"/>
  <c r="CX41" i="15"/>
  <c r="BX46" i="15"/>
  <c r="BA50" i="15"/>
  <c r="W52" i="15"/>
  <c r="AI53" i="15"/>
  <c r="AU54" i="15"/>
  <c r="BG55" i="15"/>
  <c r="BJ56" i="15"/>
  <c r="AH57" i="15"/>
  <c r="C58" i="15"/>
  <c r="CK58" i="15"/>
  <c r="BF59" i="15"/>
  <c r="L60" i="15"/>
  <c r="BX60" i="15"/>
  <c r="X61" i="15"/>
  <c r="CJ61" i="15"/>
  <c r="AJ62" i="15"/>
  <c r="CV62" i="15"/>
  <c r="AV63" i="15"/>
  <c r="DH63" i="15"/>
  <c r="BH64" i="15"/>
  <c r="DL39" i="15"/>
  <c r="BM45" i="15"/>
  <c r="CH49" i="15"/>
  <c r="DE51" i="15"/>
  <c r="E53" i="15"/>
  <c r="Q54" i="15"/>
  <c r="AC55" i="15"/>
  <c r="CW33" i="15"/>
  <c r="AI34" i="15"/>
  <c r="J39" i="15"/>
  <c r="BP45" i="15"/>
  <c r="BT36" i="15"/>
  <c r="E45" i="15"/>
  <c r="CS50" i="15"/>
  <c r="CT46" i="15"/>
  <c r="DB37" i="15"/>
  <c r="AQ48" i="15"/>
  <c r="AJ52" i="15"/>
  <c r="AB56" i="15"/>
  <c r="L58" i="15"/>
  <c r="CZ59" i="15"/>
  <c r="DH41" i="15"/>
  <c r="BD45" i="15"/>
  <c r="AT49" i="15"/>
  <c r="BE51" i="15"/>
  <c r="AG53" i="15"/>
  <c r="I55" i="15"/>
  <c r="BY56" i="15"/>
  <c r="BJ42" i="15"/>
  <c r="E46" i="15"/>
  <c r="H49" i="15"/>
  <c r="AX50" i="15"/>
  <c r="AP51" i="15"/>
  <c r="AL52" i="15"/>
  <c r="R53" i="15"/>
  <c r="F54" i="15"/>
  <c r="B55" i="15"/>
  <c r="CL55" i="15"/>
  <c r="BD37" i="15"/>
  <c r="CN40" i="15"/>
  <c r="AL43" i="15"/>
  <c r="AD45" i="15"/>
  <c r="CL46" i="15"/>
  <c r="CD48" i="15"/>
  <c r="DI49" i="15"/>
  <c r="S51" i="15"/>
  <c r="CL37" i="15"/>
  <c r="CP40" i="15"/>
  <c r="BC43" i="15"/>
  <c r="O45" i="15"/>
  <c r="DC46" i="15"/>
  <c r="CU48" i="15"/>
  <c r="DJ49" i="15"/>
  <c r="AB51" i="15"/>
  <c r="H52" i="15"/>
  <c r="DH52" i="15"/>
  <c r="DD53" i="15"/>
  <c r="CB54" i="15"/>
  <c r="BX55" i="15"/>
  <c r="BD56" i="15"/>
  <c r="AB57" i="15"/>
  <c r="CN57" i="15"/>
  <c r="AN58" i="15"/>
  <c r="CZ58" i="15"/>
  <c r="AZ59" i="15"/>
  <c r="BS42" i="15"/>
  <c r="X47" i="15"/>
  <c r="CQ50" i="15"/>
  <c r="AM52" i="15"/>
  <c r="AY53" i="15"/>
  <c r="BK54" i="15"/>
  <c r="BW55" i="15"/>
  <c r="BV56" i="15"/>
  <c r="AS57" i="15"/>
  <c r="N58" i="15"/>
  <c r="CU58" i="15"/>
  <c r="BO59" i="15"/>
  <c r="T60" i="15"/>
  <c r="CF60" i="15"/>
  <c r="AF61" i="15"/>
  <c r="CR61" i="15"/>
  <c r="AR62" i="15"/>
  <c r="DD62" i="15"/>
  <c r="BD63" i="15"/>
  <c r="D64" i="15"/>
  <c r="BP64" i="15"/>
  <c r="L41" i="15"/>
  <c r="M46" i="15"/>
  <c r="L50" i="15"/>
  <c r="I52" i="15"/>
  <c r="U53" i="15"/>
  <c r="AG54" i="15"/>
  <c r="CZ29" i="15"/>
  <c r="BX34" i="15"/>
  <c r="G44" i="15"/>
  <c r="BX45" i="15"/>
  <c r="BH39" i="15"/>
  <c r="DM45" i="15"/>
  <c r="DI50" i="15"/>
  <c r="CL48" i="15"/>
  <c r="V38" i="15"/>
  <c r="DC48" i="15"/>
  <c r="DL52" i="15"/>
  <c r="AR56" i="15"/>
  <c r="AR58" i="15"/>
  <c r="CN25" i="15"/>
  <c r="CD42" i="15"/>
  <c r="T46" i="15"/>
  <c r="BO49" i="15"/>
  <c r="CK51" i="15"/>
  <c r="AO53" i="15"/>
  <c r="AO55" i="15"/>
  <c r="CT34" i="15"/>
  <c r="CZ42" i="15"/>
  <c r="BQ46" i="15"/>
  <c r="V49" i="15"/>
  <c r="BH50" i="15"/>
  <c r="BF51" i="15"/>
  <c r="AT52" i="15"/>
  <c r="AP53" i="15"/>
  <c r="N54" i="15"/>
  <c r="J55" i="15"/>
  <c r="DB55" i="15"/>
  <c r="CJ37" i="15"/>
  <c r="BD41" i="15"/>
  <c r="BB43" i="15"/>
  <c r="AT45" i="15"/>
  <c r="F47" i="15"/>
  <c r="CT48" i="15"/>
  <c r="AC50" i="15"/>
  <c r="AA51" i="15"/>
  <c r="F38" i="15"/>
  <c r="AJ41" i="15"/>
  <c r="BS43" i="15"/>
  <c r="BK45" i="15"/>
  <c r="G47" i="15"/>
  <c r="DK48" i="15"/>
  <c r="T50" i="15"/>
  <c r="AJ51" i="15"/>
  <c r="AF52" i="15"/>
  <c r="D53" i="15"/>
  <c r="DL53" i="15"/>
  <c r="CR54" i="15"/>
  <c r="CF55" i="15"/>
  <c r="BL56" i="15"/>
  <c r="AJ57" i="15"/>
  <c r="CV57" i="15"/>
  <c r="AV58" i="15"/>
  <c r="DH58" i="15"/>
  <c r="CL28" i="15"/>
  <c r="AN43" i="15"/>
  <c r="CJ47" i="15"/>
  <c r="U51" i="15"/>
  <c r="BC52" i="15"/>
  <c r="BO53" i="15"/>
  <c r="CA54" i="15"/>
  <c r="CM55" i="15"/>
  <c r="CH56" i="15"/>
  <c r="BC57" i="15"/>
  <c r="Y58" i="15"/>
  <c r="DF58" i="15"/>
  <c r="BX59" i="15"/>
  <c r="AB60" i="15"/>
  <c r="CN60" i="15"/>
  <c r="AN61" i="15"/>
  <c r="CZ61" i="15"/>
  <c r="AZ62" i="15"/>
  <c r="DL62" i="15"/>
  <c r="BL63" i="15"/>
  <c r="L64" i="15"/>
  <c r="BX64" i="15"/>
  <c r="CY41" i="15"/>
  <c r="BY46" i="15"/>
  <c r="BB50" i="15"/>
  <c r="Y52" i="15"/>
  <c r="AK53" i="15"/>
  <c r="AW54" i="15"/>
  <c r="BI55" i="15"/>
  <c r="AW24" i="15"/>
  <c r="BJ48" i="15"/>
  <c r="CU47" i="15"/>
  <c r="L49" i="15"/>
  <c r="AI42" i="15"/>
  <c r="BA47" i="15"/>
  <c r="CV42" i="15"/>
  <c r="DC49" i="15"/>
  <c r="CA43" i="15"/>
  <c r="N50" i="15"/>
  <c r="BX54" i="15"/>
  <c r="AF57" i="15"/>
  <c r="CV58" i="15"/>
  <c r="C39" i="15"/>
  <c r="DH43" i="15"/>
  <c r="BL47" i="15"/>
  <c r="BG50" i="15"/>
  <c r="AC52" i="15"/>
  <c r="AC54" i="15"/>
  <c r="DA55" i="15"/>
  <c r="AJ39" i="15"/>
  <c r="AS44" i="15"/>
  <c r="BM47" i="15"/>
  <c r="CL49" i="15"/>
  <c r="CX50" i="15"/>
  <c r="CT51" i="15"/>
  <c r="CP52" i="15"/>
  <c r="BN53" i="15"/>
  <c r="BJ54" i="15"/>
  <c r="AP55" i="15"/>
  <c r="I28" i="15"/>
  <c r="AV39" i="15"/>
  <c r="D42" i="15"/>
  <c r="AH44" i="15"/>
  <c r="DF45" i="15"/>
  <c r="CH47" i="15"/>
  <c r="BG49" i="15"/>
  <c r="BI50" i="15"/>
  <c r="AY30" i="15"/>
  <c r="R39" i="15"/>
  <c r="AA42" i="15"/>
  <c r="AY44" i="15"/>
  <c r="DG45" i="15"/>
  <c r="CY47" i="15"/>
  <c r="AW49" i="15"/>
  <c r="BV50" i="15"/>
  <c r="CF51" i="15"/>
  <c r="BD52" i="15"/>
  <c r="AZ53" i="15"/>
  <c r="AF54" i="15"/>
  <c r="T55" i="15"/>
  <c r="P56" i="15"/>
  <c r="CR56" i="15"/>
  <c r="BH57" i="15"/>
  <c r="H58" i="15"/>
  <c r="BT58" i="15"/>
  <c r="T59" i="15"/>
  <c r="CY38" i="15"/>
  <c r="DL44" i="15"/>
  <c r="AM49" i="15"/>
  <c r="CM51" i="15"/>
  <c r="CY52" i="15"/>
  <c r="DK53" i="15"/>
  <c r="K55" i="15"/>
  <c r="W56" i="15"/>
  <c r="B57" i="15"/>
  <c r="CI57" i="15"/>
  <c r="BE58" i="15"/>
  <c r="Z59" i="15"/>
  <c r="CY59" i="15"/>
  <c r="AZ60" i="15"/>
  <c r="DL60" i="15"/>
  <c r="BL61" i="15"/>
  <c r="L62" i="15"/>
  <c r="BX62" i="15"/>
  <c r="X63" i="15"/>
  <c r="CJ63" i="15"/>
  <c r="AJ64" i="15"/>
  <c r="AT35" i="15"/>
  <c r="DA43" i="15"/>
  <c r="AK48" i="15"/>
  <c r="BB51" i="15"/>
  <c r="BU52" i="15"/>
  <c r="CG53" i="15"/>
  <c r="CS54" i="15"/>
  <c r="B49" i="15"/>
  <c r="CJ50" i="15"/>
  <c r="CK48" i="15"/>
  <c r="AM51" i="15"/>
  <c r="DH51" i="15"/>
  <c r="CB57" i="15"/>
  <c r="CU39" i="15"/>
  <c r="AR48" i="15"/>
  <c r="CW52" i="15"/>
  <c r="BA56" i="15"/>
  <c r="Y45" i="15"/>
  <c r="DH49" i="15"/>
  <c r="F52" i="15"/>
  <c r="DB53" i="15"/>
  <c r="BV55" i="15"/>
  <c r="DH39" i="15"/>
  <c r="BN44" i="15"/>
  <c r="R48" i="15"/>
  <c r="DK50" i="15"/>
  <c r="AD40" i="15"/>
  <c r="CE44" i="15"/>
  <c r="S48" i="15"/>
  <c r="DB50" i="15"/>
  <c r="CR52" i="15"/>
  <c r="BL54" i="15"/>
  <c r="AF56" i="15"/>
  <c r="BX57" i="15"/>
  <c r="CJ58" i="15"/>
  <c r="K41" i="15"/>
  <c r="K50" i="15"/>
  <c r="S53" i="15"/>
  <c r="AQ55" i="15"/>
  <c r="W57" i="15"/>
  <c r="BZ58" i="15"/>
  <c r="D60" i="15"/>
  <c r="P61" i="15"/>
  <c r="AB62" i="15"/>
  <c r="AN63" i="15"/>
  <c r="AZ64" i="15"/>
  <c r="DM44" i="15"/>
  <c r="CO51" i="15"/>
  <c r="DM53" i="15"/>
  <c r="DE55" i="15"/>
  <c r="CT56" i="15"/>
  <c r="BO57" i="15"/>
  <c r="AK58" i="15"/>
  <c r="F59" i="15"/>
  <c r="CH59" i="15"/>
  <c r="AK60" i="15"/>
  <c r="CW60" i="15"/>
  <c r="AW61" i="15"/>
  <c r="DI61" i="15"/>
  <c r="BI62" i="15"/>
  <c r="I63" i="15"/>
  <c r="BU63" i="15"/>
  <c r="U64" i="15"/>
  <c r="CG64" i="15"/>
  <c r="Z18" i="15"/>
  <c r="AI47" i="15"/>
  <c r="CN39" i="15"/>
  <c r="E51" i="15"/>
  <c r="DF40" i="15"/>
  <c r="DH53" i="15"/>
  <c r="BX58" i="15"/>
  <c r="H43" i="15"/>
  <c r="CA49" i="15"/>
  <c r="CC53" i="15"/>
  <c r="BX37" i="15"/>
  <c r="Q47" i="15"/>
  <c r="BR50" i="15"/>
  <c r="BB52" i="15"/>
  <c r="AD54" i="15"/>
  <c r="N56" i="15"/>
  <c r="BZ41" i="15"/>
  <c r="BJ45" i="15"/>
  <c r="DJ48" i="15"/>
  <c r="AQ51" i="15"/>
  <c r="CV41" i="15"/>
  <c r="CA45" i="15"/>
  <c r="K49" i="15"/>
  <c r="AR51" i="15"/>
  <c r="T53" i="15"/>
  <c r="D55" i="15"/>
  <c r="CB56" i="15"/>
  <c r="DD57" i="15"/>
  <c r="D59" i="15"/>
  <c r="CZ43" i="15"/>
  <c r="BA51" i="15"/>
  <c r="CE53" i="15"/>
  <c r="DC55" i="15"/>
  <c r="BN57" i="15"/>
  <c r="E59" i="15"/>
  <c r="AJ60" i="15"/>
  <c r="AV61" i="15"/>
  <c r="BH62" i="15"/>
  <c r="BT63" i="15"/>
  <c r="CF64" i="15"/>
  <c r="Y47" i="15"/>
  <c r="AO52" i="15"/>
  <c r="BM54" i="15"/>
  <c r="I56" i="15"/>
  <c r="DE56" i="15"/>
  <c r="BZ57" i="15"/>
  <c r="AU58" i="15"/>
  <c r="Q59" i="15"/>
  <c r="CQ59" i="15"/>
  <c r="AS60" i="15"/>
  <c r="DE60" i="15"/>
  <c r="BE61" i="15"/>
  <c r="E62" i="15"/>
  <c r="BQ62" i="15"/>
  <c r="Q63" i="15"/>
  <c r="CC63" i="15"/>
  <c r="AC64" i="15"/>
  <c r="DJ30" i="15"/>
  <c r="L30" i="15"/>
  <c r="AQ47" i="15"/>
  <c r="DD39" i="15"/>
  <c r="AZ38" i="15"/>
  <c r="BK43" i="15"/>
  <c r="D54" i="15"/>
  <c r="CN58" i="15"/>
  <c r="AD43" i="15"/>
  <c r="O50" i="15"/>
  <c r="DI53" i="15"/>
  <c r="CJ38" i="15"/>
  <c r="AW47" i="15"/>
  <c r="CD50" i="15"/>
  <c r="BR52" i="15"/>
  <c r="BB54" i="15"/>
  <c r="V56" i="15"/>
  <c r="CU41" i="15"/>
  <c r="BZ45" i="15"/>
  <c r="W49" i="15"/>
  <c r="J28" i="15"/>
  <c r="F42" i="15"/>
  <c r="CQ45" i="15"/>
  <c r="X49" i="15"/>
  <c r="BH51" i="15"/>
  <c r="AR53" i="15"/>
  <c r="L55" i="15"/>
  <c r="CJ56" i="15"/>
  <c r="DL57" i="15"/>
  <c r="L59" i="15"/>
  <c r="AZ44" i="15"/>
  <c r="BW51" i="15"/>
  <c r="CU53" i="15"/>
  <c r="G56" i="15"/>
  <c r="BY57" i="15"/>
  <c r="O59" i="15"/>
  <c r="AR60" i="15"/>
  <c r="BD61" i="15"/>
  <c r="BP62" i="15"/>
  <c r="CB63" i="15"/>
  <c r="CM28" i="15"/>
  <c r="CK47" i="15"/>
  <c r="BE52" i="15"/>
  <c r="CC54" i="15"/>
  <c r="Y56" i="15"/>
  <c r="C57" i="15"/>
  <c r="CK57" i="15"/>
  <c r="BF58" i="15"/>
  <c r="AA59" i="15"/>
  <c r="DA59" i="15"/>
  <c r="BA60" i="15"/>
  <c r="DM60" i="15"/>
  <c r="BM61" i="15"/>
  <c r="M62" i="15"/>
  <c r="BY62" i="15"/>
  <c r="Y63" i="15"/>
  <c r="CK63" i="15"/>
  <c r="AK64" i="15"/>
  <c r="AZ36" i="15"/>
  <c r="D44" i="15"/>
  <c r="AZ48" i="15"/>
  <c r="BI51" i="15"/>
  <c r="BV52" i="15"/>
  <c r="CH53" i="15"/>
  <c r="CT54" i="15"/>
  <c r="DF55" i="15"/>
  <c r="CU56" i="15"/>
  <c r="BQ57" i="15"/>
  <c r="AL58" i="15"/>
  <c r="G59" i="15"/>
  <c r="CI59" i="15"/>
  <c r="AL60" i="15"/>
  <c r="CX60" i="15"/>
  <c r="AX61" i="15"/>
  <c r="DJ61" i="15"/>
  <c r="BJ62" i="15"/>
  <c r="J63" i="15"/>
  <c r="BV63" i="15"/>
  <c r="V64" i="15"/>
  <c r="CH64" i="15"/>
  <c r="AH65" i="15"/>
  <c r="CT65" i="15"/>
  <c r="AT66" i="15"/>
  <c r="DF66" i="15"/>
  <c r="BF67" i="15"/>
  <c r="F68" i="15"/>
  <c r="BR68" i="15"/>
  <c r="DD34" i="15"/>
  <c r="AJ47" i="15"/>
  <c r="AC47" i="15"/>
  <c r="DB48" i="15"/>
  <c r="F49" i="15"/>
  <c r="AZ56" i="15"/>
  <c r="CZ35" i="15"/>
  <c r="CF46" i="15"/>
  <c r="E52" i="15"/>
  <c r="BE55" i="15"/>
  <c r="J43" i="15"/>
  <c r="AU49" i="15"/>
  <c r="CD51" i="15"/>
  <c r="AX53" i="15"/>
  <c r="R55" i="15"/>
  <c r="D38" i="15"/>
  <c r="CH43" i="15"/>
  <c r="BB47" i="15"/>
  <c r="AM50" i="15"/>
  <c r="AL38" i="15"/>
  <c r="CI43" i="15"/>
  <c r="AM47" i="15"/>
  <c r="AZ50" i="15"/>
  <c r="AN52" i="15"/>
  <c r="H54" i="15"/>
  <c r="CN55" i="15"/>
  <c r="AR57" i="15"/>
  <c r="BD58" i="15"/>
  <c r="AN35" i="15"/>
  <c r="AJ48" i="15"/>
  <c r="BS52" i="15"/>
  <c r="CQ54" i="15"/>
  <c r="CS56" i="15"/>
  <c r="AI58" i="15"/>
  <c r="CG59" i="15"/>
  <c r="CV60" i="15"/>
  <c r="DH61" i="15"/>
  <c r="H63" i="15"/>
  <c r="T64" i="15"/>
  <c r="BT42" i="15"/>
  <c r="CT50" i="15"/>
  <c r="BA53" i="15"/>
  <c r="AS55" i="15"/>
  <c r="BK56" i="15"/>
  <c r="AI57" i="15"/>
  <c r="E58" i="15"/>
  <c r="CL58" i="15"/>
  <c r="BG59" i="15"/>
  <c r="M60" i="15"/>
  <c r="BY60" i="15"/>
  <c r="Y61" i="15"/>
  <c r="CK61" i="15"/>
  <c r="AK62" i="15"/>
  <c r="CW62" i="15"/>
  <c r="AW63" i="15"/>
  <c r="DI63" i="15"/>
  <c r="BI64" i="15"/>
  <c r="AE40" i="15"/>
  <c r="CB45" i="15"/>
  <c r="CQ49" i="15"/>
  <c r="DF51" i="15"/>
  <c r="F53" i="15"/>
  <c r="R54" i="15"/>
  <c r="AD55" i="15"/>
  <c r="AM56" i="15"/>
  <c r="O57" i="15"/>
  <c r="CW57" i="15"/>
  <c r="BR58" i="15"/>
  <c r="AM59" i="15"/>
  <c r="DJ59" i="15"/>
  <c r="BJ60" i="15"/>
  <c r="J61" i="15"/>
  <c r="BV61" i="15"/>
  <c r="V62" i="15"/>
  <c r="CH62" i="15"/>
  <c r="AH63" i="15"/>
  <c r="CT63" i="15"/>
  <c r="AT64" i="15"/>
  <c r="DF64" i="15"/>
  <c r="BF65" i="15"/>
  <c r="F66" i="15"/>
  <c r="BR66" i="15"/>
  <c r="R67" i="15"/>
  <c r="CD67" i="15"/>
  <c r="AD68" i="15"/>
  <c r="M27" i="15"/>
  <c r="CO43" i="15"/>
  <c r="DC44" i="15"/>
  <c r="X59" i="15"/>
  <c r="CW50" i="15"/>
  <c r="BP39" i="15"/>
  <c r="R51" i="15"/>
  <c r="BR54" i="15"/>
  <c r="AU42" i="15"/>
  <c r="BS49" i="15"/>
  <c r="AV42" i="15"/>
  <c r="CD49" i="15"/>
  <c r="BH53" i="15"/>
  <c r="CZ56" i="15"/>
  <c r="AB59" i="15"/>
  <c r="DC51" i="15"/>
  <c r="AI56" i="15"/>
  <c r="AK59" i="15"/>
  <c r="BT61" i="15"/>
  <c r="CR63" i="15"/>
  <c r="CW48" i="15"/>
  <c r="DI54" i="15"/>
  <c r="N57" i="15"/>
  <c r="BQ58" i="15"/>
  <c r="DI59" i="15"/>
  <c r="I61" i="15"/>
  <c r="U62" i="15"/>
  <c r="AG63" i="15"/>
  <c r="AS64" i="15"/>
  <c r="CN42" i="15"/>
  <c r="DL48" i="15"/>
  <c r="J52" i="15"/>
  <c r="BB53" i="15"/>
  <c r="DJ54" i="15"/>
  <c r="AY56" i="15"/>
  <c r="AU57" i="15"/>
  <c r="AW58" i="15"/>
  <c r="AX59" i="15"/>
  <c r="V60" i="15"/>
  <c r="DF60" i="15"/>
  <c r="CD61" i="15"/>
  <c r="AT62" i="15"/>
  <c r="R63" i="15"/>
  <c r="CS39" i="15"/>
  <c r="CW43" i="15"/>
  <c r="G45" i="15"/>
  <c r="BD59" i="15"/>
  <c r="G51" i="15"/>
  <c r="DH40" i="15"/>
  <c r="Z51" i="15"/>
  <c r="BZ54" i="15"/>
  <c r="DG42" i="15"/>
  <c r="CC49" i="15"/>
  <c r="CM42" i="15"/>
  <c r="CP49" i="15"/>
  <c r="BP53" i="15"/>
  <c r="D57" i="15"/>
  <c r="AJ59" i="15"/>
  <c r="G52" i="15"/>
  <c r="AW56" i="15"/>
  <c r="AU59" i="15"/>
  <c r="CB61" i="15"/>
  <c r="CZ63" i="15"/>
  <c r="AN49" i="15"/>
  <c r="M55" i="15"/>
  <c r="Y57" i="15"/>
  <c r="CA58" i="15"/>
  <c r="E60" i="15"/>
  <c r="Q61" i="15"/>
  <c r="AC62" i="15"/>
  <c r="AO63" i="15"/>
  <c r="BA64" i="15"/>
  <c r="BD43" i="15"/>
  <c r="AY49" i="15"/>
  <c r="Z52" i="15"/>
  <c r="BR53" i="15"/>
  <c r="N55" i="15"/>
  <c r="BM56" i="15"/>
  <c r="BF57" i="15"/>
  <c r="BG58" i="15"/>
  <c r="BH59" i="15"/>
  <c r="AD60" i="15"/>
  <c r="B61" i="15"/>
  <c r="CL61" i="15"/>
  <c r="BB62" i="15"/>
  <c r="Z63" i="15"/>
  <c r="DJ63" i="15"/>
  <c r="BZ64" i="15"/>
  <c r="AX65" i="15"/>
  <c r="V66" i="15"/>
  <c r="CX66" i="15"/>
  <c r="BV67" i="15"/>
  <c r="AT68" i="15"/>
  <c r="B69" i="15"/>
  <c r="BN69" i="15"/>
  <c r="N70" i="15"/>
  <c r="BZ70" i="15"/>
  <c r="AF40" i="15"/>
  <c r="CC45" i="15"/>
  <c r="CR49" i="15"/>
  <c r="DG51" i="15"/>
  <c r="G53" i="15"/>
  <c r="S54" i="15"/>
  <c r="AE55" i="15"/>
  <c r="AO56" i="15"/>
  <c r="Q57" i="15"/>
  <c r="CX57" i="15"/>
  <c r="BS58" i="15"/>
  <c r="AO59" i="15"/>
  <c r="DK59" i="15"/>
  <c r="BK60" i="15"/>
  <c r="K61" i="15"/>
  <c r="BW61" i="15"/>
  <c r="W62" i="15"/>
  <c r="CI62" i="15"/>
  <c r="AI63" i="15"/>
  <c r="CU63" i="15"/>
  <c r="AU64" i="15"/>
  <c r="DG64" i="15"/>
  <c r="BG65" i="15"/>
  <c r="G66" i="15"/>
  <c r="BS66" i="15"/>
  <c r="S67" i="15"/>
  <c r="CE67" i="15"/>
  <c r="AE68" i="15"/>
  <c r="CQ68" i="15"/>
  <c r="AQ69" i="15"/>
  <c r="DC69" i="15"/>
  <c r="BK40" i="15"/>
  <c r="DF48" i="15"/>
  <c r="AG48" i="15"/>
  <c r="AN51" i="15"/>
  <c r="BO39" i="15"/>
  <c r="BQ52" i="15"/>
  <c r="DE44" i="15"/>
  <c r="DB51" i="15"/>
  <c r="BN55" i="15"/>
  <c r="AX44" i="15"/>
  <c r="CE50" i="15"/>
  <c r="BO44" i="15"/>
  <c r="CF50" i="15"/>
  <c r="BD54" i="15"/>
  <c r="BP57" i="15"/>
  <c r="DK39" i="15"/>
  <c r="C53" i="15"/>
  <c r="M57" i="15"/>
  <c r="DH59" i="15"/>
  <c r="T62" i="15"/>
  <c r="AR64" i="15"/>
  <c r="BY51" i="15"/>
  <c r="CO55" i="15"/>
  <c r="BE57" i="15"/>
  <c r="DG58" i="15"/>
  <c r="AC60" i="15"/>
  <c r="AO61" i="15"/>
  <c r="BA62" i="15"/>
  <c r="BM63" i="15"/>
  <c r="BY64" i="15"/>
  <c r="P45" i="15"/>
  <c r="BK50" i="15"/>
  <c r="BF52" i="15"/>
  <c r="B54" i="15"/>
  <c r="BJ55" i="15"/>
  <c r="CK56" i="15"/>
  <c r="CL57" i="15"/>
  <c r="CM58" i="15"/>
  <c r="BZ59" i="15"/>
  <c r="BB60" i="15"/>
  <c r="Z61" i="15"/>
  <c r="DB61" i="15"/>
  <c r="BZ62" i="15"/>
  <c r="AX63" i="15"/>
  <c r="N64" i="15"/>
  <c r="CX64" i="15"/>
  <c r="BV65" i="15"/>
  <c r="AL66" i="15"/>
  <c r="J67" i="15"/>
  <c r="CT67" i="15"/>
  <c r="BJ68" i="15"/>
  <c r="R69" i="15"/>
  <c r="CD69" i="15"/>
  <c r="AD70" i="15"/>
  <c r="CP70" i="15"/>
  <c r="H42" i="15"/>
  <c r="CO46" i="15"/>
  <c r="BN50" i="15"/>
  <c r="AA52" i="15"/>
  <c r="AM53" i="15"/>
  <c r="AY54" i="15"/>
  <c r="BK55" i="15"/>
  <c r="BN56" i="15"/>
  <c r="AL57" i="15"/>
  <c r="G58" i="15"/>
  <c r="CO58" i="15"/>
  <c r="BI59" i="15"/>
  <c r="O60" i="15"/>
  <c r="CA60" i="15"/>
  <c r="AA61" i="15"/>
  <c r="CM61" i="15"/>
  <c r="AM62" i="15"/>
  <c r="CY62" i="15"/>
  <c r="AY63" i="15"/>
  <c r="DK63" i="15"/>
  <c r="BK64" i="15"/>
  <c r="K65" i="15"/>
  <c r="BW65" i="15"/>
  <c r="W66" i="15"/>
  <c r="CI66" i="15"/>
  <c r="AI67" i="15"/>
  <c r="CU67" i="15"/>
  <c r="AU68" i="15"/>
  <c r="DG68" i="15"/>
  <c r="BG69" i="15"/>
  <c r="G70" i="15"/>
  <c r="CL44" i="15"/>
  <c r="DC37" i="15"/>
  <c r="BM55" i="15"/>
  <c r="CX52" i="15"/>
  <c r="CB39" i="15"/>
  <c r="B34" i="15"/>
  <c r="BJ50" i="15"/>
  <c r="DD55" i="15"/>
  <c r="BL45" i="15"/>
  <c r="AA55" i="15"/>
  <c r="BP60" i="15"/>
  <c r="AB64" i="15"/>
  <c r="BQ53" i="15"/>
  <c r="CU57" i="15"/>
  <c r="BY59" i="15"/>
  <c r="CC61" i="15"/>
  <c r="BE63" i="15"/>
  <c r="AL41" i="15"/>
  <c r="DC50" i="15"/>
  <c r="AL53" i="15"/>
  <c r="CP55" i="15"/>
  <c r="CA57" i="15"/>
  <c r="R59" i="15"/>
  <c r="BR60" i="15"/>
  <c r="BN61" i="15"/>
  <c r="CX62" i="15"/>
  <c r="DB63" i="15"/>
  <c r="B65" i="15"/>
  <c r="DB65" i="15"/>
  <c r="CP66" i="15"/>
  <c r="DB67" i="15"/>
  <c r="CP68" i="15"/>
  <c r="BF69" i="15"/>
  <c r="AL70" i="15"/>
  <c r="BF36" i="15"/>
  <c r="Q45" i="15"/>
  <c r="DD50" i="15"/>
  <c r="BW52" i="15"/>
  <c r="C54" i="15"/>
  <c r="CA55" i="15"/>
  <c r="CW56" i="15"/>
  <c r="CM57" i="15"/>
  <c r="CY58" i="15"/>
  <c r="CK59" i="15"/>
  <c r="BC60" i="15"/>
  <c r="AI61" i="15"/>
  <c r="DK61" i="15"/>
  <c r="CA62" i="15"/>
  <c r="BG63" i="15"/>
  <c r="W64" i="15"/>
  <c r="CY64" i="15"/>
  <c r="CE65" i="15"/>
  <c r="AU66" i="15"/>
  <c r="K67" i="15"/>
  <c r="DC67" i="15"/>
  <c r="BS68" i="15"/>
  <c r="AI69" i="15"/>
  <c r="O70" i="15"/>
  <c r="BT43" i="15"/>
  <c r="D48" i="15"/>
  <c r="AK51" i="15"/>
  <c r="BK52" i="15"/>
  <c r="BW53" i="15"/>
  <c r="CI54" i="15"/>
  <c r="CU55" i="15"/>
  <c r="CM56" i="15"/>
  <c r="BI57" i="15"/>
  <c r="AD58" i="15"/>
  <c r="DK58" i="15"/>
  <c r="CC59" i="15"/>
  <c r="AF60" i="15"/>
  <c r="CR60" i="15"/>
  <c r="AR61" i="15"/>
  <c r="DD61" i="15"/>
  <c r="BD62" i="15"/>
  <c r="D63" i="15"/>
  <c r="BP63" i="15"/>
  <c r="P64" i="15"/>
  <c r="CB64" i="15"/>
  <c r="AB65" i="15"/>
  <c r="CN65" i="15"/>
  <c r="AN66" i="15"/>
  <c r="CZ66" i="15"/>
  <c r="AZ67" i="15"/>
  <c r="DL67" i="15"/>
  <c r="AX43" i="15"/>
  <c r="C49" i="15"/>
  <c r="BH44" i="15"/>
  <c r="U56" i="15"/>
  <c r="DF52" i="15"/>
  <c r="R44" i="15"/>
  <c r="BR38" i="15"/>
  <c r="CN51" i="15"/>
  <c r="X56" i="15"/>
  <c r="L46" i="15"/>
  <c r="DC56" i="15"/>
  <c r="DD60" i="15"/>
  <c r="CN37" i="15"/>
  <c r="CW53" i="15"/>
  <c r="DF57" i="15"/>
  <c r="U60" i="15"/>
  <c r="CS61" i="15"/>
  <c r="CS63" i="15"/>
  <c r="G42" i="15"/>
  <c r="AC51" i="15"/>
  <c r="CX53" i="15"/>
  <c r="J56" i="15"/>
  <c r="DG57" i="15"/>
  <c r="AC59" i="15"/>
  <c r="BZ60" i="15"/>
  <c r="CT61" i="15"/>
  <c r="DF62" i="15"/>
  <c r="F64" i="15"/>
  <c r="J65" i="15"/>
  <c r="DJ65" i="15"/>
  <c r="B67" i="15"/>
  <c r="DJ67" i="15"/>
  <c r="CX68" i="15"/>
  <c r="BV69" i="15"/>
  <c r="AT70" i="15"/>
  <c r="H38" i="15"/>
  <c r="AC46" i="15"/>
  <c r="AD51" i="15"/>
  <c r="CM52" i="15"/>
  <c r="AI54" i="15"/>
  <c r="CQ55" i="15"/>
  <c r="DG56" i="15"/>
  <c r="DI57" i="15"/>
  <c r="DJ58" i="15"/>
  <c r="CT59" i="15"/>
  <c r="BS60" i="15"/>
  <c r="AQ61" i="15"/>
  <c r="G62" i="15"/>
  <c r="CQ62" i="15"/>
  <c r="BO63" i="15"/>
  <c r="AE64" i="15"/>
  <c r="C65" i="15"/>
  <c r="CM65" i="15"/>
  <c r="BC66" i="15"/>
  <c r="AA67" i="15"/>
  <c r="DK67" i="15"/>
  <c r="CA68" i="15"/>
  <c r="AY69" i="15"/>
  <c r="P33" i="15"/>
  <c r="T44" i="15"/>
  <c r="BP48" i="15"/>
  <c r="BO51" i="15"/>
  <c r="CA52" i="15"/>
  <c r="CM53" i="15"/>
  <c r="CY54" i="15"/>
  <c r="DK55" i="15"/>
  <c r="CX56" i="15"/>
  <c r="BS57" i="15"/>
  <c r="AO58" i="15"/>
  <c r="J59" i="15"/>
  <c r="CL59" i="15"/>
  <c r="AN60" i="15"/>
  <c r="CZ60" i="15"/>
  <c r="AZ61" i="15"/>
  <c r="DL61" i="15"/>
  <c r="BL62" i="15"/>
  <c r="L63" i="15"/>
  <c r="BX63" i="15"/>
  <c r="X64" i="15"/>
  <c r="CJ64" i="15"/>
  <c r="AJ65" i="15"/>
  <c r="CV65" i="15"/>
  <c r="AV66" i="15"/>
  <c r="DH66" i="15"/>
  <c r="BH67" i="15"/>
  <c r="H68" i="15"/>
  <c r="BO37" i="15"/>
  <c r="AS50" i="15"/>
  <c r="H45" i="15"/>
  <c r="CS43" i="15"/>
  <c r="BF53" i="15"/>
  <c r="AP46" i="15"/>
  <c r="DJ39" i="15"/>
  <c r="CV51" i="15"/>
  <c r="AZ57" i="15"/>
  <c r="CV48" i="15"/>
  <c r="CT57" i="15"/>
  <c r="H61" i="15"/>
  <c r="CZ38" i="15"/>
  <c r="BY55" i="15"/>
  <c r="O58" i="15"/>
  <c r="BI60" i="15"/>
  <c r="DA61" i="15"/>
  <c r="DA63" i="15"/>
  <c r="BP44" i="15"/>
  <c r="BZ51" i="15"/>
  <c r="AH54" i="15"/>
  <c r="Z56" i="15"/>
  <c r="F58" i="15"/>
  <c r="BQ59" i="15"/>
  <c r="CH60" i="15"/>
  <c r="F62" i="15"/>
  <c r="B63" i="15"/>
  <c r="AD64" i="15"/>
  <c r="R65" i="15"/>
  <c r="N66" i="15"/>
  <c r="Z67" i="15"/>
  <c r="N68" i="15"/>
  <c r="DF68" i="15"/>
  <c r="CL69" i="15"/>
  <c r="BB70" i="15"/>
  <c r="T39" i="15"/>
  <c r="AO47" i="15"/>
  <c r="BJ51" i="15"/>
  <c r="DC52" i="15"/>
  <c r="BO54" i="15"/>
  <c r="DG55" i="15"/>
  <c r="F57" i="15"/>
  <c r="R58" i="15"/>
  <c r="I59" i="15"/>
  <c r="DC59" i="15"/>
  <c r="CI60" i="15"/>
  <c r="AY61" i="15"/>
  <c r="O62" i="15"/>
  <c r="DG62" i="15"/>
  <c r="BW63" i="15"/>
  <c r="AM64" i="15"/>
  <c r="S65" i="15"/>
  <c r="CU65" i="15"/>
  <c r="BK66" i="15"/>
  <c r="AQ67" i="15"/>
  <c r="G68" i="15"/>
  <c r="CI68" i="15"/>
  <c r="BO69" i="15"/>
  <c r="H37" i="15"/>
  <c r="CF44" i="15"/>
  <c r="N49" i="15"/>
  <c r="CE51" i="15"/>
  <c r="CQ52" i="15"/>
  <c r="DC53" i="15"/>
  <c r="C55" i="15"/>
  <c r="O56" i="15"/>
  <c r="DI56" i="15"/>
  <c r="CD57" i="15"/>
  <c r="AY58" i="15"/>
  <c r="U59" i="15"/>
  <c r="CU59" i="15"/>
  <c r="AV60" i="15"/>
  <c r="DH60" i="15"/>
  <c r="BH61" i="15"/>
  <c r="H62" i="15"/>
  <c r="BT62" i="15"/>
  <c r="T63" i="15"/>
  <c r="CF63" i="15"/>
  <c r="AF64" i="15"/>
  <c r="CR64" i="15"/>
  <c r="AR65" i="15"/>
  <c r="DD65" i="15"/>
  <c r="BD66" i="15"/>
  <c r="D67" i="15"/>
  <c r="BP67" i="15"/>
  <c r="P68" i="15"/>
  <c r="CB68" i="15"/>
  <c r="AB69" i="15"/>
  <c r="CN69" i="15"/>
  <c r="AN70" i="15"/>
  <c r="CZ70" i="15"/>
  <c r="DK42" i="15"/>
  <c r="BE47" i="15"/>
  <c r="B51" i="15"/>
  <c r="AW52" i="15"/>
  <c r="BI53" i="15"/>
  <c r="BU54" i="15"/>
  <c r="CG55" i="15"/>
  <c r="CD56" i="15"/>
  <c r="AY57" i="15"/>
  <c r="U58" i="15"/>
  <c r="DB58" i="15"/>
  <c r="BU59" i="15"/>
  <c r="Y60" i="15"/>
  <c r="CK60" i="15"/>
  <c r="AK61" i="15"/>
  <c r="CW61" i="15"/>
  <c r="AW62" i="15"/>
  <c r="DI62" i="15"/>
  <c r="BI63" i="15"/>
  <c r="I64" i="15"/>
  <c r="BU64" i="15"/>
  <c r="U65" i="15"/>
  <c r="CG65" i="15"/>
  <c r="AG66" i="15"/>
  <c r="CS66" i="15"/>
  <c r="AS67" i="15"/>
  <c r="DE67" i="15"/>
  <c r="BE68" i="15"/>
  <c r="E69" i="15"/>
  <c r="BQ69" i="15"/>
  <c r="Q70" i="15"/>
  <c r="CC70" i="15"/>
  <c r="T48" i="15"/>
  <c r="CL54" i="15"/>
  <c r="AG58" i="15"/>
  <c r="CT60" i="15"/>
  <c r="F63" i="15"/>
  <c r="DL64" i="15"/>
  <c r="L66" i="15"/>
  <c r="AJ49" i="15"/>
  <c r="AF55" i="15"/>
  <c r="U52" i="15"/>
  <c r="CB49" i="15"/>
  <c r="AX30" i="15"/>
  <c r="CX47" i="15"/>
  <c r="BW46" i="15"/>
  <c r="P54" i="15"/>
  <c r="BL58" i="15"/>
  <c r="O54" i="15"/>
  <c r="BO58" i="15"/>
  <c r="CN62" i="15"/>
  <c r="V51" i="15"/>
  <c r="BW56" i="15"/>
  <c r="AL59" i="15"/>
  <c r="CO60" i="15"/>
  <c r="CO62" i="15"/>
  <c r="BQ64" i="15"/>
  <c r="AN47" i="15"/>
  <c r="CL52" i="15"/>
  <c r="CD54" i="15"/>
  <c r="E57" i="15"/>
  <c r="CC58" i="15"/>
  <c r="F60" i="15"/>
  <c r="AH61" i="15"/>
  <c r="AL62" i="15"/>
  <c r="BN63" i="15"/>
  <c r="BJ64" i="15"/>
  <c r="BN65" i="15"/>
  <c r="BJ66" i="15"/>
  <c r="AX67" i="15"/>
  <c r="BB68" i="15"/>
  <c r="AH69" i="15"/>
  <c r="DJ69" i="15"/>
  <c r="CH70" i="15"/>
  <c r="BE43" i="15"/>
  <c r="DM48" i="15"/>
  <c r="K52" i="15"/>
  <c r="BS53" i="15"/>
  <c r="DK54" i="15"/>
  <c r="BB56" i="15"/>
  <c r="BG57" i="15"/>
  <c r="AX58" i="15"/>
  <c r="AY59" i="15"/>
  <c r="AE60" i="15"/>
  <c r="DG60" i="15"/>
  <c r="CE61" i="15"/>
  <c r="BC62" i="15"/>
  <c r="S63" i="15"/>
  <c r="DC63" i="15"/>
  <c r="CA64" i="15"/>
  <c r="AQ65" i="15"/>
  <c r="O66" i="15"/>
  <c r="CY66" i="15"/>
  <c r="BO67" i="15"/>
  <c r="AM68" i="15"/>
  <c r="K69" i="15"/>
  <c r="CM69" i="15"/>
  <c r="BG41" i="15"/>
  <c r="AR46" i="15"/>
  <c r="AE50" i="15"/>
  <c r="O52" i="15"/>
  <c r="AA53" i="15"/>
  <c r="AM54" i="15"/>
  <c r="AY55" i="15"/>
  <c r="BC56" i="15"/>
  <c r="AC57" i="15"/>
  <c r="DJ57" i="15"/>
  <c r="CE58" i="15"/>
  <c r="BA59" i="15"/>
  <c r="H60" i="15"/>
  <c r="BT60" i="15"/>
  <c r="T61" i="15"/>
  <c r="CF61" i="15"/>
  <c r="AF62" i="15"/>
  <c r="CR62" i="15"/>
  <c r="AR63" i="15"/>
  <c r="DD63" i="15"/>
  <c r="BD64" i="15"/>
  <c r="D65" i="15"/>
  <c r="BP65" i="15"/>
  <c r="P66" i="15"/>
  <c r="CB66" i="15"/>
  <c r="AB67" i="15"/>
  <c r="CN67" i="15"/>
  <c r="AN68" i="15"/>
  <c r="CZ68" i="15"/>
  <c r="AZ69" i="15"/>
  <c r="DL69" i="15"/>
  <c r="BL70" i="15"/>
  <c r="AN38" i="15"/>
  <c r="CG44" i="15"/>
  <c r="O49" i="15"/>
  <c r="CG51" i="15"/>
  <c r="CS52" i="15"/>
  <c r="DE53" i="15"/>
  <c r="E55" i="15"/>
  <c r="Q56" i="15"/>
  <c r="DJ56" i="15"/>
  <c r="CE57" i="15"/>
  <c r="BA58" i="15"/>
  <c r="V59" i="15"/>
  <c r="CV59" i="15"/>
  <c r="AW60" i="15"/>
  <c r="DI60" i="15"/>
  <c r="BI61" i="15"/>
  <c r="I62" i="15"/>
  <c r="BU62" i="15"/>
  <c r="U63" i="15"/>
  <c r="CG63" i="15"/>
  <c r="AG64" i="15"/>
  <c r="CS64" i="15"/>
  <c r="AS65" i="15"/>
  <c r="DE65" i="15"/>
  <c r="BE66" i="15"/>
  <c r="E67" i="15"/>
  <c r="BQ67" i="15"/>
  <c r="Q68" i="15"/>
  <c r="CC68" i="15"/>
  <c r="AC69" i="15"/>
  <c r="CO69" i="15"/>
  <c r="AO70" i="15"/>
  <c r="DA70" i="15"/>
  <c r="B52" i="15"/>
  <c r="AT56" i="15"/>
  <c r="AS59" i="15"/>
  <c r="BZ61" i="15"/>
  <c r="CX63" i="15"/>
  <c r="AV65" i="15"/>
  <c r="AS48" i="15"/>
  <c r="AG47" i="15"/>
  <c r="U46" i="15"/>
  <c r="I45" i="15"/>
  <c r="DI43" i="15"/>
  <c r="CE42" i="15"/>
  <c r="AB41" i="15"/>
  <c r="D39" i="15"/>
  <c r="DF35" i="15"/>
  <c r="BI56" i="15"/>
  <c r="DI55" i="15"/>
  <c r="AW55" i="15"/>
  <c r="CW54" i="15"/>
  <c r="AK54" i="15"/>
  <c r="CK53" i="15"/>
  <c r="Y53" i="15"/>
  <c r="BY52" i="15"/>
  <c r="M52" i="15"/>
  <c r="BM51" i="15"/>
  <c r="DG50" i="15"/>
  <c r="AA50" i="15"/>
  <c r="BE49" i="15"/>
  <c r="BH48" i="15"/>
  <c r="AV47" i="15"/>
  <c r="AJ46" i="15"/>
  <c r="X45" i="15"/>
  <c r="L44" i="15"/>
  <c r="CY42" i="15"/>
  <c r="AV41" i="15"/>
  <c r="AI39" i="15"/>
  <c r="CN36" i="15"/>
  <c r="CR59" i="15"/>
  <c r="AF59" i="15"/>
  <c r="CF58" i="15"/>
  <c r="T58" i="15"/>
  <c r="BT57" i="15"/>
  <c r="H57" i="15"/>
  <c r="AJ56" i="15"/>
  <c r="AN55" i="15"/>
  <c r="BP54" i="15"/>
  <c r="BT53" i="15"/>
  <c r="CV52" i="15"/>
  <c r="CZ51" i="15"/>
  <c r="CV50" i="15"/>
  <c r="CT49" i="15"/>
  <c r="AA48" i="15"/>
  <c r="CE46" i="15"/>
  <c r="CM44" i="15"/>
  <c r="CB42" i="15"/>
  <c r="AT40" i="15"/>
  <c r="BN34" i="15"/>
  <c r="O51" i="15"/>
  <c r="CS49" i="15"/>
  <c r="Z48" i="15"/>
  <c r="CD46" i="15"/>
  <c r="BV44" i="15"/>
  <c r="AJ42" i="15"/>
  <c r="BT37" i="15"/>
  <c r="BE50" i="15"/>
  <c r="BA49" i="15"/>
  <c r="Y48" i="15"/>
  <c r="U47" i="15"/>
  <c r="CW45" i="15"/>
  <c r="BM44" i="15"/>
  <c r="BA43" i="15"/>
  <c r="BN41" i="15"/>
  <c r="L39" i="15"/>
  <c r="DL34" i="15"/>
  <c r="CB50" i="15"/>
  <c r="DH48" i="15"/>
  <c r="AB47" i="15"/>
  <c r="AZ45" i="15"/>
  <c r="BN42" i="15"/>
  <c r="AQ36" i="15"/>
  <c r="AA47" i="15"/>
  <c r="CU43" i="15"/>
  <c r="DJ37" i="15"/>
  <c r="CT47" i="15"/>
  <c r="AP43" i="15"/>
  <c r="L34" i="15"/>
  <c r="W33" i="15"/>
  <c r="Y39" i="15"/>
  <c r="CU40" i="15"/>
  <c r="V37" i="15"/>
  <c r="CO33" i="15"/>
  <c r="BH54" i="15"/>
  <c r="BL53" i="15"/>
  <c r="BP52" i="15"/>
  <c r="CR51" i="15"/>
  <c r="CL50" i="15"/>
  <c r="CJ49" i="15"/>
  <c r="K48" i="15"/>
  <c r="S46" i="15"/>
  <c r="BW44" i="15"/>
  <c r="BG42" i="15"/>
  <c r="N40" i="15"/>
  <c r="BB33" i="15"/>
  <c r="CI50" i="15"/>
  <c r="CI49" i="15"/>
  <c r="J48" i="15"/>
  <c r="BN46" i="15"/>
  <c r="AP44" i="15"/>
  <c r="AT41" i="15"/>
  <c r="X37" i="15"/>
  <c r="AW50" i="15"/>
  <c r="AS49" i="15"/>
  <c r="I48" i="15"/>
  <c r="CK46" i="15"/>
  <c r="CO45" i="15"/>
  <c r="BE44" i="15"/>
  <c r="AS43" i="15"/>
  <c r="AH41" i="15"/>
  <c r="AV38" i="15"/>
  <c r="BG32" i="15"/>
  <c r="P50" i="15"/>
  <c r="AV48" i="15"/>
  <c r="CB46" i="15"/>
  <c r="CZ44" i="15"/>
  <c r="C41" i="15"/>
  <c r="CT30" i="15"/>
  <c r="O46" i="15"/>
  <c r="BL42" i="15"/>
  <c r="DJ34" i="15"/>
  <c r="AT46" i="15"/>
  <c r="AY41" i="15"/>
  <c r="CB36" i="15"/>
  <c r="CG42" i="15"/>
  <c r="DM36" i="15"/>
  <c r="AI36" i="15"/>
  <c r="U43" i="15"/>
  <c r="J13" i="15"/>
  <c r="M48" i="15"/>
  <c r="DM46" i="15"/>
  <c r="DA45" i="15"/>
  <c r="CO44" i="15"/>
  <c r="CC43" i="15"/>
  <c r="AN42" i="15"/>
  <c r="CB40" i="15"/>
  <c r="BD38" i="15"/>
  <c r="CH33" i="15"/>
  <c r="AS56" i="15"/>
  <c r="CS55" i="15"/>
  <c r="AG55" i="15"/>
  <c r="CG54" i="15"/>
  <c r="U54" i="15"/>
  <c r="BU53" i="15"/>
  <c r="I53" i="15"/>
  <c r="BI52" i="15"/>
  <c r="DI51" i="15"/>
  <c r="AW51" i="15"/>
  <c r="CM50" i="15"/>
  <c r="E50" i="15"/>
  <c r="AF49" i="15"/>
  <c r="AB48" i="15"/>
  <c r="P47" i="15"/>
  <c r="D46" i="15"/>
  <c r="DD44" i="15"/>
  <c r="CR43" i="15"/>
  <c r="BH42" i="15"/>
  <c r="DG40" i="15"/>
  <c r="CI38" i="15"/>
  <c r="CN34" i="15"/>
  <c r="CB59" i="15"/>
  <c r="P59" i="15"/>
  <c r="BP58" i="15"/>
  <c r="D58" i="15"/>
  <c r="BD57" i="15"/>
  <c r="DD56" i="15"/>
  <c r="T56" i="15"/>
  <c r="X55" i="15"/>
  <c r="AB54" i="15"/>
  <c r="BD53" i="15"/>
  <c r="BH52" i="15"/>
  <c r="CJ51" i="15"/>
  <c r="BZ50" i="15"/>
  <c r="AQ49" i="15"/>
  <c r="DG47" i="15"/>
  <c r="C46" i="15"/>
  <c r="BG44" i="15"/>
  <c r="AL42" i="15"/>
  <c r="B39" i="15"/>
  <c r="BK31" i="15"/>
  <c r="BY50" i="15"/>
  <c r="BW49" i="15"/>
  <c r="DF47" i="15"/>
  <c r="B46" i="15"/>
  <c r="Z44" i="15"/>
  <c r="X41" i="15"/>
  <c r="BX36" i="15"/>
  <c r="AG50" i="15"/>
  <c r="DI48" i="15"/>
  <c r="DM47" i="15"/>
  <c r="CC46" i="15"/>
  <c r="BY45" i="15"/>
  <c r="AW44" i="15"/>
  <c r="CJ42" i="15"/>
  <c r="T41" i="15"/>
  <c r="DL37" i="15"/>
  <c r="DG31" i="15"/>
  <c r="H50" i="15"/>
  <c r="AN48" i="15"/>
  <c r="BL46" i="15"/>
  <c r="CB44" i="15"/>
  <c r="CY40" i="15"/>
  <c r="AH30" i="15"/>
  <c r="G46" i="15"/>
  <c r="DL41" i="15"/>
  <c r="DC32" i="15"/>
  <c r="AL46" i="15"/>
  <c r="AD41" i="15"/>
  <c r="BH36" i="15"/>
  <c r="U42" i="15"/>
  <c r="AO35" i="15"/>
  <c r="S36" i="15"/>
  <c r="M43" i="15"/>
  <c r="BH35" i="15"/>
  <c r="DI47" i="15"/>
  <c r="CW46" i="15"/>
  <c r="CK45" i="15"/>
  <c r="BY44" i="15"/>
  <c r="BM43" i="15"/>
  <c r="S42" i="15"/>
  <c r="AV40" i="15"/>
  <c r="X38" i="15"/>
  <c r="K32" i="15"/>
  <c r="AK56" i="15"/>
  <c r="CK55" i="15"/>
  <c r="Y55" i="15"/>
  <c r="BY54" i="15"/>
  <c r="M54" i="15"/>
  <c r="BM53" i="15"/>
  <c r="DM52" i="15"/>
  <c r="BA52" i="15"/>
  <c r="DA51" i="15"/>
  <c r="AO51" i="15"/>
  <c r="CA50" i="15"/>
  <c r="DG49" i="15"/>
  <c r="S49" i="15"/>
  <c r="L48" i="15"/>
  <c r="DL46" i="15"/>
  <c r="CZ45" i="15"/>
  <c r="CN44" i="15"/>
  <c r="CB43" i="15"/>
  <c r="AM42" i="15"/>
  <c r="CA40" i="15"/>
  <c r="BC38" i="15"/>
  <c r="CB33" i="15"/>
  <c r="BT59" i="15"/>
  <c r="H59" i="15"/>
  <c r="BH58" i="15"/>
  <c r="DH57" i="15"/>
  <c r="AV57" i="15"/>
  <c r="CV56" i="15"/>
  <c r="CZ55" i="15"/>
  <c r="P55" i="15"/>
  <c r="T54" i="15"/>
  <c r="AV53" i="15"/>
  <c r="AZ52" i="15"/>
  <c r="BD51" i="15"/>
  <c r="BP50" i="15"/>
  <c r="AE49" i="15"/>
  <c r="CQ47" i="15"/>
  <c r="CY45" i="15"/>
  <c r="DG43" i="15"/>
  <c r="P42" i="15"/>
  <c r="CH38" i="15"/>
  <c r="AM29" i="15"/>
  <c r="BO50" i="15"/>
  <c r="AD49" i="15"/>
  <c r="CP47" i="15"/>
  <c r="CX45" i="15"/>
  <c r="J44" i="15"/>
  <c r="BX40" i="15"/>
  <c r="AR21" i="15"/>
  <c r="Y50" i="15"/>
  <c r="DA48" i="15"/>
  <c r="CW47" i="15"/>
  <c r="BU46" i="15"/>
  <c r="AK45" i="15"/>
  <c r="AO44" i="15"/>
  <c r="BZ42" i="15"/>
  <c r="D41" i="15"/>
  <c r="CV37" i="15"/>
  <c r="AU31" i="15"/>
  <c r="DL49" i="15"/>
  <c r="X48" i="15"/>
  <c r="AN46" i="15"/>
  <c r="BT44" i="15"/>
  <c r="CI40" i="15"/>
  <c r="CH29" i="15"/>
  <c r="BW45" i="15"/>
  <c r="AP41" i="15"/>
  <c r="AQ32" i="15"/>
  <c r="V46" i="15"/>
  <c r="P41" i="15"/>
  <c r="AJ34" i="15"/>
  <c r="BE41" i="15"/>
  <c r="Y35" i="15"/>
  <c r="C36" i="15"/>
  <c r="BU42" i="15"/>
  <c r="B16" i="15"/>
  <c r="CS47" i="15"/>
  <c r="CG46" i="15"/>
  <c r="BU45" i="15"/>
  <c r="BI44" i="15"/>
  <c r="AW43" i="15"/>
  <c r="DJ41" i="15"/>
  <c r="P40" i="15"/>
  <c r="DD37" i="15"/>
  <c r="CY29" i="15"/>
  <c r="AC56" i="15"/>
  <c r="CC55" i="15"/>
  <c r="Q55" i="15"/>
  <c r="BQ54" i="15"/>
  <c r="E54" i="15"/>
  <c r="BE53" i="15"/>
  <c r="DE52" i="15"/>
  <c r="AS52" i="15"/>
  <c r="CS51" i="15"/>
  <c r="AG51" i="15"/>
  <c r="BQ50" i="15"/>
  <c r="CU49" i="15"/>
  <c r="G49" i="15"/>
  <c r="DH47" i="15"/>
  <c r="CV46" i="15"/>
  <c r="CJ45" i="15"/>
  <c r="BX44" i="15"/>
  <c r="BL43" i="15"/>
  <c r="R42" i="15"/>
  <c r="AU40" i="15"/>
  <c r="W38" i="15"/>
  <c r="J32" i="15"/>
  <c r="BL59" i="15"/>
  <c r="DL58" i="15"/>
  <c r="AZ58" i="15"/>
  <c r="CZ57" i="15"/>
  <c r="AN57" i="15"/>
  <c r="CN56" i="15"/>
  <c r="CR55" i="15"/>
  <c r="H55" i="15"/>
  <c r="L54" i="15"/>
  <c r="P53" i="15"/>
  <c r="AR52" i="15"/>
  <c r="AV51" i="15"/>
  <c r="BF50" i="15"/>
  <c r="Q49" i="15"/>
  <c r="AE47" i="15"/>
  <c r="CI45" i="15"/>
  <c r="CQ43" i="15"/>
  <c r="DG41" i="15"/>
  <c r="BB38" i="15"/>
  <c r="AU51" i="15"/>
  <c r="BC50" i="15"/>
  <c r="P49" i="15"/>
  <c r="BZ47" i="15"/>
  <c r="CH45" i="15"/>
  <c r="AA43" i="15"/>
  <c r="AR40" i="15"/>
  <c r="M51" i="15"/>
  <c r="I50" i="15"/>
  <c r="CS48" i="15"/>
  <c r="BI47" i="15"/>
  <c r="BM46" i="15"/>
  <c r="AC45" i="15"/>
  <c r="Y44" i="15"/>
  <c r="BO42" i="15"/>
  <c r="H40" i="15"/>
  <c r="CF37" i="15"/>
  <c r="CU30" i="15"/>
  <c r="CV49" i="15"/>
  <c r="DL47" i="15"/>
  <c r="AF46" i="15"/>
  <c r="BL44" i="15"/>
  <c r="BS40" i="15"/>
  <c r="DG48" i="15"/>
  <c r="S45" i="15"/>
  <c r="AE41" i="15"/>
  <c r="CQ31" i="15"/>
  <c r="N46" i="15"/>
  <c r="D40" i="15"/>
  <c r="C30" i="15"/>
  <c r="AW41" i="15"/>
  <c r="I35" i="15"/>
  <c r="BS35" i="15"/>
  <c r="CK38" i="15"/>
  <c r="CZ17" i="15"/>
  <c r="BP37" i="15"/>
  <c r="CF34" i="15"/>
  <c r="CI29" i="15"/>
  <c r="BT50" i="15"/>
  <c r="BX49" i="15"/>
  <c r="CZ48" i="15"/>
  <c r="DD47" i="15"/>
  <c r="L47" i="15"/>
  <c r="X46" i="15"/>
  <c r="AB45" i="15"/>
  <c r="BD44" i="15"/>
  <c r="BC42" i="15"/>
  <c r="CM39" i="15"/>
  <c r="K36" i="15"/>
  <c r="BC48" i="15"/>
  <c r="S47" i="15"/>
  <c r="K45" i="15"/>
  <c r="AY43" i="15"/>
  <c r="R41" i="15"/>
  <c r="B37" i="15"/>
  <c r="AE31" i="15"/>
  <c r="CL47" i="15"/>
  <c r="BN45" i="15"/>
  <c r="V43" i="15"/>
  <c r="BX38" i="15"/>
  <c r="CR33" i="15"/>
  <c r="BC29" i="15"/>
  <c r="DB28" i="15"/>
  <c r="AO41" i="15"/>
  <c r="U38" i="15"/>
  <c r="DE34" i="15"/>
  <c r="CM40" i="15"/>
  <c r="CI31" i="15"/>
  <c r="N37" i="15"/>
  <c r="AC32" i="15"/>
  <c r="AK33" i="15"/>
  <c r="CU16" i="15"/>
  <c r="BX56" i="15"/>
  <c r="L56" i="15"/>
  <c r="BL55" i="15"/>
  <c r="DL54" i="15"/>
  <c r="AZ54" i="15"/>
  <c r="CZ53" i="15"/>
  <c r="AN53" i="15"/>
  <c r="CN52" i="15"/>
  <c r="AB52" i="15"/>
  <c r="CB51" i="15"/>
  <c r="P51" i="15"/>
  <c r="AT50" i="15"/>
  <c r="BZ49" i="15"/>
  <c r="CM48" i="15"/>
  <c r="CA47" i="15"/>
  <c r="BO46" i="15"/>
  <c r="BC45" i="15"/>
  <c r="AQ44" i="15"/>
  <c r="AB43" i="15"/>
  <c r="CL41" i="15"/>
  <c r="CT39" i="15"/>
  <c r="BV37" i="15"/>
  <c r="AS21" i="15"/>
  <c r="C51" i="15"/>
  <c r="AI50" i="15"/>
  <c r="BM49" i="15"/>
  <c r="BV48" i="15"/>
  <c r="BJ47" i="15"/>
  <c r="AX46" i="15"/>
  <c r="AL45" i="15"/>
  <c r="DF43" i="15"/>
  <c r="O42" i="15"/>
  <c r="BL39" i="15"/>
  <c r="BT35" i="15"/>
  <c r="CK50" i="15"/>
  <c r="DM49" i="15"/>
  <c r="AK49" i="15"/>
  <c r="BM48" i="15"/>
  <c r="CO47" i="15"/>
  <c r="M47" i="15"/>
  <c r="AO46" i="15"/>
  <c r="BQ45" i="15"/>
  <c r="DA44" i="15"/>
  <c r="Q44" i="15"/>
  <c r="AJ43" i="15"/>
  <c r="C42" i="15"/>
  <c r="CZ40" i="15"/>
  <c r="DH38" i="15"/>
  <c r="AJ37" i="15"/>
  <c r="AZ34" i="15"/>
  <c r="CJ27" i="15"/>
  <c r="BL50" i="15"/>
  <c r="BP49" i="15"/>
  <c r="CJ48" i="15"/>
  <c r="CV47" i="15"/>
  <c r="CZ46" i="15"/>
  <c r="P46" i="15"/>
  <c r="T45" i="15"/>
  <c r="AN44" i="15"/>
  <c r="AR42" i="15"/>
  <c r="CQ38" i="15"/>
  <c r="CQ35" i="15"/>
  <c r="AU48" i="15"/>
  <c r="CI46" i="15"/>
  <c r="C45" i="15"/>
  <c r="CR42" i="15"/>
  <c r="B41" i="15"/>
  <c r="CX36" i="15"/>
  <c r="AC27" i="15"/>
  <c r="BV47" i="15"/>
  <c r="CX44" i="15"/>
  <c r="K43" i="15"/>
  <c r="BH38" i="15"/>
  <c r="R30" i="15"/>
  <c r="DC28" i="15"/>
  <c r="DM42" i="15"/>
  <c r="AG41" i="15"/>
  <c r="M38" i="15"/>
  <c r="BA32" i="15"/>
  <c r="CE40" i="15"/>
  <c r="Q24" i="15"/>
  <c r="DB36" i="15"/>
  <c r="M32" i="15"/>
  <c r="BA29" i="15"/>
  <c r="V36" i="15"/>
  <c r="BP56" i="15"/>
  <c r="D56" i="15"/>
  <c r="BD55" i="15"/>
  <c r="DD54" i="15"/>
  <c r="AR54" i="15"/>
  <c r="CR53" i="15"/>
  <c r="AF53" i="15"/>
  <c r="CF52" i="15"/>
  <c r="T52" i="15"/>
  <c r="BT51" i="15"/>
  <c r="F51" i="15"/>
  <c r="AJ50" i="15"/>
  <c r="BN49" i="15"/>
  <c r="BW48" i="15"/>
  <c r="BK47" i="15"/>
  <c r="AY46" i="15"/>
  <c r="AM45" i="15"/>
  <c r="AA44" i="15"/>
  <c r="G43" i="15"/>
  <c r="BP41" i="15"/>
  <c r="BN39" i="15"/>
  <c r="Z37" i="15"/>
  <c r="BK51" i="15"/>
  <c r="DE50" i="15"/>
  <c r="W50" i="15"/>
  <c r="BC49" i="15"/>
  <c r="BF48" i="15"/>
  <c r="AT47" i="15"/>
  <c r="AH46" i="15"/>
  <c r="V45" i="15"/>
  <c r="BZ43" i="15"/>
  <c r="CJ41" i="15"/>
  <c r="AF39" i="15"/>
  <c r="AV33" i="15"/>
  <c r="BU50" i="15"/>
  <c r="DE49" i="15"/>
  <c r="U49" i="15"/>
  <c r="AW48" i="15"/>
  <c r="CG47" i="15"/>
  <c r="DI46" i="15"/>
  <c r="Y46" i="15"/>
  <c r="BI45" i="15"/>
  <c r="CK44" i="15"/>
  <c r="DM43" i="15"/>
  <c r="Z43" i="15"/>
  <c r="DD41" i="15"/>
  <c r="BT40" i="15"/>
  <c r="CR38" i="15"/>
  <c r="CZ36" i="15"/>
  <c r="T34" i="15"/>
  <c r="CC24" i="15"/>
  <c r="AV50" i="15"/>
  <c r="BH49" i="15"/>
  <c r="BL48" i="15"/>
  <c r="CN47" i="15"/>
  <c r="CR46" i="15"/>
  <c r="DL45" i="15"/>
  <c r="L45" i="15"/>
  <c r="CV43" i="15"/>
  <c r="AH42" i="15"/>
  <c r="CA38" i="15"/>
  <c r="S34" i="15"/>
  <c r="AM48" i="15"/>
  <c r="AE46" i="15"/>
  <c r="DG44" i="15"/>
  <c r="CH42" i="15"/>
  <c r="V40" i="15"/>
  <c r="CH36" i="15"/>
  <c r="R49" i="15"/>
  <c r="BN47" i="15"/>
  <c r="CP44" i="15"/>
  <c r="AP42" i="15"/>
  <c r="AR38" i="15"/>
  <c r="L37" i="15"/>
  <c r="AL28" i="15"/>
  <c r="DE42" i="15"/>
  <c r="CG40" i="15"/>
  <c r="E38" i="15"/>
  <c r="DM27" i="15"/>
  <c r="BG40" i="15"/>
  <c r="E23" i="15"/>
  <c r="AT33" i="15"/>
  <c r="DI31" i="15"/>
  <c r="C16" i="15"/>
  <c r="DB33" i="15"/>
  <c r="BH56" i="15"/>
  <c r="DH55" i="15"/>
  <c r="AV55" i="15"/>
  <c r="CV54" i="15"/>
  <c r="AJ54" i="15"/>
  <c r="CJ53" i="15"/>
  <c r="X53" i="15"/>
  <c r="BX52" i="15"/>
  <c r="L52" i="15"/>
  <c r="BL51" i="15"/>
  <c r="DF50" i="15"/>
  <c r="Z50" i="15"/>
  <c r="BD49" i="15"/>
  <c r="BG48" i="15"/>
  <c r="AU47" i="15"/>
  <c r="AI46" i="15"/>
  <c r="W45" i="15"/>
  <c r="K44" i="15"/>
  <c r="CX42" i="15"/>
  <c r="AU41" i="15"/>
  <c r="AH39" i="15"/>
  <c r="BZ36" i="15"/>
  <c r="BC51" i="15"/>
  <c r="CU50" i="15"/>
  <c r="M50" i="15"/>
  <c r="AO49" i="15"/>
  <c r="AP48" i="15"/>
  <c r="AD47" i="15"/>
  <c r="R46" i="15"/>
  <c r="F45" i="15"/>
  <c r="BJ43" i="15"/>
  <c r="BO41" i="15"/>
  <c r="DL38" i="15"/>
  <c r="BJ31" i="15"/>
  <c r="BM50" i="15"/>
  <c r="CW49" i="15"/>
  <c r="M49" i="15"/>
  <c r="AO48" i="15"/>
  <c r="BY47" i="15"/>
  <c r="DA46" i="15"/>
  <c r="Q46" i="15"/>
  <c r="BA45" i="15"/>
  <c r="CC44" i="15"/>
  <c r="DE43" i="15"/>
  <c r="D43" i="15"/>
  <c r="CT41" i="15"/>
  <c r="X40" i="15"/>
  <c r="CB38" i="15"/>
  <c r="CJ36" i="15"/>
  <c r="BT33" i="15"/>
  <c r="W20" i="15"/>
  <c r="X50" i="15"/>
  <c r="AZ49" i="15"/>
  <c r="BD48" i="15"/>
  <c r="BX47" i="15"/>
  <c r="CJ46" i="15"/>
  <c r="CN45" i="15"/>
  <c r="D45" i="15"/>
  <c r="CN43" i="15"/>
  <c r="CH41" i="15"/>
  <c r="BK38" i="15"/>
  <c r="AT31" i="15"/>
  <c r="AE48" i="15"/>
  <c r="W46" i="15"/>
  <c r="BK44" i="15"/>
  <c r="BW42" i="15"/>
  <c r="Z39" i="15"/>
  <c r="BR36" i="15"/>
  <c r="J49" i="15"/>
  <c r="B47" i="15"/>
  <c r="CH44" i="15"/>
  <c r="BJ41" i="15"/>
  <c r="AB38" i="15"/>
  <c r="DH36" i="15"/>
  <c r="CQ36" i="15"/>
  <c r="CO42" i="15"/>
  <c r="E40" i="15"/>
  <c r="DI37" i="15"/>
  <c r="BW27" i="15"/>
  <c r="BO38" i="15"/>
  <c r="DE21" i="15"/>
  <c r="AC43" i="15"/>
  <c r="DM30" i="15"/>
  <c r="CU14" i="15"/>
  <c r="BR18" i="15"/>
  <c r="DB44" i="15"/>
  <c r="CP43" i="15"/>
  <c r="BF42" i="15"/>
  <c r="DD40" i="15"/>
  <c r="CF38" i="15"/>
  <c r="BH34" i="15"/>
  <c r="DA50" i="15"/>
  <c r="AO50" i="15"/>
  <c r="CO49" i="15"/>
  <c r="AC49" i="15"/>
  <c r="CC48" i="15"/>
  <c r="Q48" i="15"/>
  <c r="BQ47" i="15"/>
  <c r="E47" i="15"/>
  <c r="BE46" i="15"/>
  <c r="DE45" i="15"/>
  <c r="AS45" i="15"/>
  <c r="CS44" i="15"/>
  <c r="AG44" i="15"/>
  <c r="CG43" i="15"/>
  <c r="O43" i="15"/>
  <c r="AT42" i="15"/>
  <c r="BX41" i="15"/>
  <c r="CJ40" i="15"/>
  <c r="BX39" i="15"/>
  <c r="BL38" i="15"/>
  <c r="AZ37" i="15"/>
  <c r="L36" i="15"/>
  <c r="CZ33" i="15"/>
  <c r="AI30" i="15"/>
  <c r="D51" i="15"/>
  <c r="BD50" i="15"/>
  <c r="DD49" i="15"/>
  <c r="AR49" i="15"/>
  <c r="CR48" i="15"/>
  <c r="AF48" i="15"/>
  <c r="CF47" i="15"/>
  <c r="T47" i="15"/>
  <c r="BT46" i="15"/>
  <c r="H46" i="15"/>
  <c r="BH45" i="15"/>
  <c r="DH44" i="15"/>
  <c r="AV44" i="15"/>
  <c r="AI43" i="15"/>
  <c r="CR41" i="15"/>
  <c r="DC39" i="15"/>
  <c r="CE37" i="15"/>
  <c r="AY34" i="15"/>
  <c r="V20" i="15"/>
  <c r="DC47" i="15"/>
  <c r="CQ46" i="15"/>
  <c r="CE45" i="15"/>
  <c r="BS44" i="15"/>
  <c r="BG43" i="15"/>
  <c r="K42" i="15"/>
  <c r="AL40" i="15"/>
  <c r="N38" i="15"/>
  <c r="AD35" i="15"/>
  <c r="BD28" i="15"/>
  <c r="BR48" i="15"/>
  <c r="J47" i="15"/>
  <c r="BV45" i="15"/>
  <c r="V44" i="15"/>
  <c r="AZ42" i="15"/>
  <c r="T40" i="15"/>
  <c r="AF37" i="15"/>
  <c r="CD30" i="15"/>
  <c r="BP34" i="15"/>
  <c r="DG36" i="15"/>
  <c r="BB29" i="15"/>
  <c r="AC42" i="15"/>
  <c r="CO40" i="15"/>
  <c r="AG39" i="15"/>
  <c r="I37" i="15"/>
  <c r="BQ32" i="15"/>
  <c r="AB30" i="15"/>
  <c r="BW38" i="15"/>
  <c r="CY31" i="15"/>
  <c r="BB39" i="15"/>
  <c r="BJ33" i="15"/>
  <c r="CS38" i="15"/>
  <c r="D30" i="15"/>
  <c r="BI29" i="15"/>
  <c r="N17" i="15"/>
  <c r="AV20" i="15"/>
  <c r="BQ43" i="15"/>
  <c r="DF42" i="15"/>
  <c r="X42" i="15"/>
  <c r="BC41" i="15"/>
  <c r="BD40" i="15"/>
  <c r="AR39" i="15"/>
  <c r="AF38" i="15"/>
  <c r="T37" i="15"/>
  <c r="BL35" i="15"/>
  <c r="AN33" i="15"/>
  <c r="W29" i="15"/>
  <c r="CZ50" i="15"/>
  <c r="AN50" i="15"/>
  <c r="CN49" i="15"/>
  <c r="AB49" i="15"/>
  <c r="CB48" i="15"/>
  <c r="P48" i="15"/>
  <c r="BP47" i="15"/>
  <c r="D47" i="15"/>
  <c r="BD46" i="15"/>
  <c r="DD45" i="15"/>
  <c r="AR45" i="15"/>
  <c r="CR44" i="15"/>
  <c r="AF44" i="15"/>
  <c r="N43" i="15"/>
  <c r="BW41" i="15"/>
  <c r="BW39" i="15"/>
  <c r="AY37" i="15"/>
  <c r="CY33" i="15"/>
  <c r="CY48" i="15"/>
  <c r="CM47" i="15"/>
  <c r="CA46" i="15"/>
  <c r="BO45" i="15"/>
  <c r="BC44" i="15"/>
  <c r="AQ43" i="15"/>
  <c r="DB41" i="15"/>
  <c r="F40" i="15"/>
  <c r="CT37" i="15"/>
  <c r="CD34" i="15"/>
  <c r="BQ23" i="15"/>
  <c r="AT48" i="15"/>
  <c r="DF46" i="15"/>
  <c r="AX45" i="15"/>
  <c r="DJ43" i="15"/>
  <c r="AE42" i="15"/>
  <c r="CJ39" i="15"/>
  <c r="CV36" i="15"/>
  <c r="BR29" i="15"/>
  <c r="CJ33" i="15"/>
  <c r="BG36" i="15"/>
  <c r="AK28" i="15"/>
  <c r="E42" i="15"/>
  <c r="BQ40" i="15"/>
  <c r="Q39" i="15"/>
  <c r="DE36" i="15"/>
  <c r="AK32" i="15"/>
  <c r="DH29" i="15"/>
  <c r="BG38" i="15"/>
  <c r="BS31" i="15"/>
  <c r="AL39" i="15"/>
  <c r="AD33" i="15"/>
  <c r="CC38" i="15"/>
  <c r="CJ29" i="15"/>
  <c r="AS29" i="15"/>
  <c r="CT14" i="15"/>
  <c r="BH18" i="15"/>
  <c r="BF44" i="15"/>
  <c r="AT43" i="15"/>
  <c r="DF41" i="15"/>
  <c r="L40" i="15"/>
  <c r="CZ37" i="15"/>
  <c r="AL29" i="15"/>
  <c r="CC50" i="15"/>
  <c r="Q50" i="15"/>
  <c r="BQ49" i="15"/>
  <c r="E49" i="15"/>
  <c r="BE48" i="15"/>
  <c r="DE47" i="15"/>
  <c r="AS47" i="15"/>
  <c r="CS46" i="15"/>
  <c r="AG46" i="15"/>
  <c r="CG45" i="15"/>
  <c r="U45" i="15"/>
  <c r="BU44" i="15"/>
  <c r="I44" i="15"/>
  <c r="BI43" i="15"/>
  <c r="CU42" i="15"/>
  <c r="N42" i="15"/>
  <c r="AR41" i="15"/>
  <c r="AN40" i="15"/>
  <c r="AB39" i="15"/>
  <c r="P38" i="15"/>
  <c r="D37" i="15"/>
  <c r="AF35" i="15"/>
  <c r="G33" i="15"/>
  <c r="BV28" i="15"/>
  <c r="CR50" i="15"/>
  <c r="AF50" i="15"/>
  <c r="CF49" i="15"/>
  <c r="T49" i="15"/>
  <c r="BT48" i="15"/>
  <c r="H48" i="15"/>
  <c r="BH47" i="15"/>
  <c r="DH46" i="15"/>
  <c r="AV46" i="15"/>
  <c r="CV45" i="15"/>
  <c r="AJ45" i="15"/>
  <c r="CJ44" i="15"/>
  <c r="X44" i="15"/>
  <c r="C43" i="15"/>
  <c r="BL41" i="15"/>
  <c r="BG39" i="15"/>
  <c r="AI37" i="15"/>
  <c r="BS33" i="15"/>
  <c r="CQ48" i="15"/>
  <c r="CE47" i="15"/>
  <c r="BS46" i="15"/>
  <c r="BG45" i="15"/>
  <c r="AU44" i="15"/>
  <c r="AH43" i="15"/>
  <c r="CQ41" i="15"/>
  <c r="DB39" i="15"/>
  <c r="CD37" i="15"/>
  <c r="AX34" i="15"/>
  <c r="DE18" i="15"/>
  <c r="AL48" i="15"/>
  <c r="CX46" i="15"/>
  <c r="AP45" i="15"/>
  <c r="DB43" i="15"/>
  <c r="T42" i="15"/>
  <c r="BT39" i="15"/>
  <c r="CF36" i="15"/>
  <c r="F29" i="15"/>
  <c r="BD33" i="15"/>
  <c r="AA36" i="15"/>
  <c r="BM26" i="15"/>
  <c r="DI41" i="15"/>
  <c r="BI40" i="15"/>
  <c r="I39" i="15"/>
  <c r="CW36" i="15"/>
  <c r="DA31" i="15"/>
  <c r="BL29" i="15"/>
  <c r="AI38" i="15"/>
  <c r="W31" i="15"/>
  <c r="N39" i="15"/>
  <c r="CT32" i="15"/>
  <c r="Y38" i="15"/>
  <c r="CN28" i="15"/>
  <c r="DA28" i="15"/>
  <c r="AA35" i="15"/>
  <c r="CD25" i="15"/>
  <c r="P44" i="15"/>
  <c r="BP43" i="15"/>
  <c r="DD42" i="15"/>
  <c r="W42" i="15"/>
  <c r="BB41" i="15"/>
  <c r="BC40" i="15"/>
  <c r="AQ39" i="15"/>
  <c r="AE38" i="15"/>
  <c r="S37" i="15"/>
  <c r="BK35" i="15"/>
  <c r="AM33" i="15"/>
  <c r="V29" i="15"/>
  <c r="CI48" i="15"/>
  <c r="W48" i="15"/>
  <c r="BW47" i="15"/>
  <c r="K47" i="15"/>
  <c r="BK46" i="15"/>
  <c r="DK45" i="15"/>
  <c r="AY45" i="15"/>
  <c r="CY44" i="15"/>
  <c r="AM44" i="15"/>
  <c r="CM43" i="15"/>
  <c r="W43" i="15"/>
  <c r="BB42" i="15"/>
  <c r="CF41" i="15"/>
  <c r="CX40" i="15"/>
  <c r="CL39" i="15"/>
  <c r="BZ38" i="15"/>
  <c r="BN37" i="15"/>
  <c r="AP36" i="15"/>
  <c r="R34" i="15"/>
  <c r="CE30" i="15"/>
  <c r="AX49" i="15"/>
  <c r="CX48" i="15"/>
  <c r="V48" i="15"/>
  <c r="BF47" i="15"/>
  <c r="CH46" i="15"/>
  <c r="DJ45" i="15"/>
  <c r="AH45" i="15"/>
  <c r="BJ44" i="15"/>
  <c r="CL43" i="15"/>
  <c r="DL42" i="15"/>
  <c r="DK41" i="15"/>
  <c r="CV40" i="15"/>
  <c r="BD39" i="15"/>
  <c r="DH37" i="15"/>
  <c r="AJ36" i="15"/>
  <c r="BL33" i="15"/>
  <c r="AB27" i="15"/>
  <c r="DH35" i="15"/>
  <c r="X33" i="15"/>
  <c r="BE22" i="15"/>
  <c r="CA35" i="15"/>
  <c r="CL32" i="15"/>
  <c r="AH16" i="15"/>
  <c r="BQ42" i="15"/>
  <c r="DA41" i="15"/>
  <c r="Q41" i="15"/>
  <c r="AS40" i="15"/>
  <c r="CC39" i="15"/>
  <c r="CG38" i="15"/>
  <c r="BU37" i="15"/>
  <c r="BA36" i="15"/>
  <c r="AC34" i="15"/>
  <c r="AS30" i="15"/>
  <c r="AZ32" i="15"/>
  <c r="BU27" i="15"/>
  <c r="CI39" i="15"/>
  <c r="BK37" i="15"/>
  <c r="K34" i="15"/>
  <c r="CA29" i="15"/>
  <c r="BN40" i="15"/>
  <c r="AP38" i="15"/>
  <c r="CH35" i="15"/>
  <c r="CL30" i="15"/>
  <c r="E41" i="15"/>
  <c r="BU36" i="15"/>
  <c r="CK26" i="15"/>
  <c r="Q36" i="15"/>
  <c r="CG31" i="15"/>
  <c r="BL26" i="15"/>
  <c r="T31" i="15"/>
  <c r="AA31" i="15"/>
  <c r="CT16" i="15"/>
  <c r="CY15" i="15"/>
  <c r="H44" i="15"/>
  <c r="BH43" i="15"/>
  <c r="CT42" i="15"/>
  <c r="L42" i="15"/>
  <c r="AQ41" i="15"/>
  <c r="AM40" i="15"/>
  <c r="AA39" i="15"/>
  <c r="O38" i="15"/>
  <c r="C37" i="15"/>
  <c r="AE35" i="15"/>
  <c r="F33" i="15"/>
  <c r="BU28" i="15"/>
  <c r="CA48" i="15"/>
  <c r="O48" i="15"/>
  <c r="BO47" i="15"/>
  <c r="C47" i="15"/>
  <c r="BC46" i="15"/>
  <c r="DC45" i="15"/>
  <c r="AQ45" i="15"/>
  <c r="CQ44" i="15"/>
  <c r="AE44" i="15"/>
  <c r="CE43" i="15"/>
  <c r="L43" i="15"/>
  <c r="AQ42" i="15"/>
  <c r="BV41" i="15"/>
  <c r="CH40" i="15"/>
  <c r="BV39" i="15"/>
  <c r="BJ38" i="15"/>
  <c r="AX37" i="15"/>
  <c r="J36" i="15"/>
  <c r="CX33" i="15"/>
  <c r="S30" i="15"/>
  <c r="AP49" i="15"/>
  <c r="CP48" i="15"/>
  <c r="N48" i="15"/>
  <c r="AX47" i="15"/>
  <c r="BZ46" i="15"/>
  <c r="DB45" i="15"/>
  <c r="Z45" i="15"/>
  <c r="BB44" i="15"/>
  <c r="CD43" i="15"/>
  <c r="DB42" i="15"/>
  <c r="CZ41" i="15"/>
  <c r="CF40" i="15"/>
  <c r="AN39" i="15"/>
  <c r="CR37" i="15"/>
  <c r="D36" i="15"/>
  <c r="AF33" i="15"/>
  <c r="BP23" i="15"/>
  <c r="CB35" i="15"/>
  <c r="CM32" i="15"/>
  <c r="AI16" i="15"/>
  <c r="AU35" i="15"/>
  <c r="Z32" i="15"/>
  <c r="AG43" i="15"/>
  <c r="BI42" i="15"/>
  <c r="CS41" i="15"/>
  <c r="I41" i="15"/>
  <c r="AK40" i="15"/>
  <c r="BU39" i="15"/>
  <c r="BY38" i="15"/>
  <c r="BM37" i="15"/>
  <c r="AK36" i="15"/>
  <c r="M34" i="15"/>
  <c r="AC30" i="15"/>
  <c r="AJ32" i="15"/>
  <c r="L27" i="15"/>
  <c r="CA39" i="15"/>
  <c r="BC37" i="15"/>
  <c r="DG33" i="15"/>
  <c r="BK29" i="15"/>
  <c r="BF40" i="15"/>
  <c r="AH38" i="15"/>
  <c r="BR35" i="15"/>
  <c r="BV30" i="15"/>
  <c r="DI40" i="15"/>
  <c r="BI36" i="15"/>
  <c r="E26" i="15"/>
  <c r="I36" i="15"/>
  <c r="BY31" i="15"/>
  <c r="AO26" i="15"/>
  <c r="L31" i="15"/>
  <c r="CQ30" i="15"/>
  <c r="CH15" i="15"/>
  <c r="BS15" i="15"/>
  <c r="DL43" i="15"/>
  <c r="AZ43" i="15"/>
  <c r="CI42" i="15"/>
  <c r="B42" i="15"/>
  <c r="AF41" i="15"/>
  <c r="W40" i="15"/>
  <c r="K39" i="15"/>
  <c r="DK37" i="15"/>
  <c r="CY36" i="15"/>
  <c r="DK34" i="15"/>
  <c r="BF32" i="15"/>
  <c r="CG27" i="15"/>
  <c r="BS48" i="15"/>
  <c r="G48" i="15"/>
  <c r="BG47" i="15"/>
  <c r="DG46" i="15"/>
  <c r="AU46" i="15"/>
  <c r="CU45" i="15"/>
  <c r="AI45" i="15"/>
  <c r="CI44" i="15"/>
  <c r="W44" i="15"/>
  <c r="BW43" i="15"/>
  <c r="B43" i="15"/>
  <c r="AF42" i="15"/>
  <c r="BK41" i="15"/>
  <c r="BR40" i="15"/>
  <c r="BF39" i="15"/>
  <c r="AT38" i="15"/>
  <c r="AH37" i="15"/>
  <c r="CP35" i="15"/>
  <c r="BR33" i="15"/>
  <c r="BS29" i="15"/>
  <c r="AH49" i="15"/>
  <c r="CH48" i="15"/>
  <c r="F48" i="15"/>
  <c r="AH47" i="15"/>
  <c r="BJ46" i="15"/>
  <c r="CT45" i="15"/>
  <c r="J45" i="15"/>
  <c r="AL44" i="15"/>
  <c r="BV43" i="15"/>
  <c r="CF42" i="15"/>
  <c r="CE41" i="15"/>
  <c r="BP40" i="15"/>
  <c r="H39" i="15"/>
  <c r="BL37" i="15"/>
  <c r="CJ35" i="15"/>
  <c r="AP32" i="15"/>
  <c r="AR37" i="15"/>
  <c r="AV35" i="15"/>
  <c r="CA31" i="15"/>
  <c r="AA37" i="15"/>
  <c r="O35" i="15"/>
  <c r="N31" i="15"/>
  <c r="Q43" i="15"/>
  <c r="BA42" i="15"/>
  <c r="CC41" i="15"/>
  <c r="DE40" i="15"/>
  <c r="AC40" i="15"/>
  <c r="BE39" i="15"/>
  <c r="BQ38" i="15"/>
  <c r="BE37" i="15"/>
  <c r="U36" i="15"/>
  <c r="DI33" i="15"/>
  <c r="M30" i="15"/>
  <c r="T32" i="15"/>
  <c r="AS26" i="15"/>
  <c r="BS39" i="15"/>
  <c r="AU37" i="15"/>
  <c r="CQ33" i="15"/>
  <c r="AU29" i="15"/>
  <c r="AX40" i="15"/>
  <c r="Z38" i="15"/>
  <c r="BB35" i="15"/>
  <c r="BF30" i="15"/>
  <c r="DA40" i="15"/>
  <c r="AS36" i="15"/>
  <c r="DI24" i="15"/>
  <c r="DM35" i="15"/>
  <c r="BQ31" i="15"/>
  <c r="U26" i="15"/>
  <c r="CB30" i="15"/>
  <c r="CI30" i="15"/>
  <c r="BD14" i="15"/>
  <c r="CR25" i="15"/>
  <c r="DD43" i="15"/>
  <c r="AR43" i="15"/>
  <c r="BX42" i="15"/>
  <c r="DC41" i="15"/>
  <c r="S41" i="15"/>
  <c r="G40" i="15"/>
  <c r="DG38" i="15"/>
  <c r="CU37" i="15"/>
  <c r="CI36" i="15"/>
  <c r="CE34" i="15"/>
  <c r="DF31" i="15"/>
  <c r="CB24" i="15"/>
  <c r="BK48" i="15"/>
  <c r="DK47" i="15"/>
  <c r="AY47" i="15"/>
  <c r="CY46" i="15"/>
  <c r="AM46" i="15"/>
  <c r="CM45" i="15"/>
  <c r="AA45" i="15"/>
  <c r="CA44" i="15"/>
  <c r="O44" i="15"/>
  <c r="BO43" i="15"/>
  <c r="DC42" i="15"/>
  <c r="V42" i="15"/>
  <c r="AZ41" i="15"/>
  <c r="BB40" i="15"/>
  <c r="AP39" i="15"/>
  <c r="AD38" i="15"/>
  <c r="R37" i="15"/>
  <c r="BJ35" i="15"/>
  <c r="AL33" i="15"/>
  <c r="G29" i="15"/>
  <c r="Z49" i="15"/>
  <c r="BZ48" i="15"/>
  <c r="DJ47" i="15"/>
  <c r="Z47" i="15"/>
  <c r="BB46" i="15"/>
  <c r="CL45" i="15"/>
  <c r="B45" i="15"/>
  <c r="AD44" i="15"/>
  <c r="BN43" i="15"/>
  <c r="BV42" i="15"/>
  <c r="BT41" i="15"/>
  <c r="AZ40" i="15"/>
  <c r="DD38" i="15"/>
  <c r="AV37" i="15"/>
  <c r="BD35" i="15"/>
  <c r="CP31" i="15"/>
  <c r="AB37" i="15"/>
  <c r="P35" i="15"/>
  <c r="O31" i="15"/>
  <c r="K37" i="15"/>
  <c r="CU34" i="15"/>
  <c r="BN30" i="15"/>
  <c r="I43" i="15"/>
  <c r="AS42" i="15"/>
  <c r="BU41" i="15"/>
  <c r="CW40" i="15"/>
  <c r="U40" i="15"/>
  <c r="AW39" i="15"/>
  <c r="BI38" i="15"/>
  <c r="AW37" i="15"/>
  <c r="E36" i="15"/>
  <c r="CS33" i="15"/>
  <c r="CC29" i="15"/>
  <c r="CJ31" i="15"/>
  <c r="AJ23" i="15"/>
  <c r="AU39" i="15"/>
  <c r="W37" i="15"/>
  <c r="AU33" i="15"/>
  <c r="DK28" i="15"/>
  <c r="Z40" i="15"/>
  <c r="B38" i="15"/>
  <c r="F35" i="15"/>
  <c r="BJ29" i="15"/>
  <c r="AW40" i="15"/>
  <c r="AW35" i="15"/>
  <c r="CC10" i="15"/>
  <c r="BI35" i="15"/>
  <c r="M31" i="15"/>
  <c r="AO24" i="15"/>
  <c r="BH29" i="15"/>
  <c r="BO29" i="15"/>
  <c r="AL18" i="15"/>
  <c r="H21" i="15"/>
  <c r="BB48" i="15"/>
  <c r="DB47" i="15"/>
  <c r="AP47" i="15"/>
  <c r="CP46" i="15"/>
  <c r="AD46" i="15"/>
  <c r="CD45" i="15"/>
  <c r="R45" i="15"/>
  <c r="BR44" i="15"/>
  <c r="F44" i="15"/>
  <c r="BF43" i="15"/>
  <c r="CQ42" i="15"/>
  <c r="J42" i="15"/>
  <c r="AN41" i="15"/>
  <c r="AJ40" i="15"/>
  <c r="X39" i="15"/>
  <c r="L38" i="15"/>
  <c r="DL36" i="15"/>
  <c r="X35" i="15"/>
  <c r="DB32" i="15"/>
  <c r="BC28" i="15"/>
  <c r="CR36" i="15"/>
  <c r="CV34" i="15"/>
  <c r="AA32" i="15"/>
  <c r="BQ26" i="15"/>
  <c r="CA36" i="15"/>
  <c r="BO34" i="15"/>
  <c r="BZ31" i="15"/>
  <c r="BD22" i="15"/>
  <c r="CW42" i="15"/>
  <c r="AK42" i="15"/>
  <c r="CK41" i="15"/>
  <c r="Y41" i="15"/>
  <c r="BY40" i="15"/>
  <c r="M40" i="15"/>
  <c r="BM39" i="15"/>
  <c r="DM38" i="15"/>
  <c r="BA38" i="15"/>
  <c r="DA37" i="15"/>
  <c r="AO37" i="15"/>
  <c r="CO36" i="15"/>
  <c r="DA35" i="15"/>
  <c r="CO34" i="15"/>
  <c r="CC33" i="15"/>
  <c r="BE31" i="15"/>
  <c r="AG29" i="15"/>
  <c r="M21" i="15"/>
  <c r="AN31" i="15"/>
  <c r="P29" i="15"/>
  <c r="CW19" i="15"/>
  <c r="AI40" i="15"/>
  <c r="W39" i="15"/>
  <c r="K38" i="15"/>
  <c r="DK36" i="15"/>
  <c r="W35" i="15"/>
  <c r="DK32" i="15"/>
  <c r="CM30" i="15"/>
  <c r="BM28" i="15"/>
  <c r="N41" i="15"/>
  <c r="B40" i="15"/>
  <c r="DB38" i="15"/>
  <c r="CP37" i="15"/>
  <c r="CD36" i="15"/>
  <c r="BV34" i="15"/>
  <c r="AX32" i="15"/>
  <c r="BL28" i="15"/>
  <c r="Q42" i="15"/>
  <c r="DE39" i="15"/>
  <c r="CG37" i="15"/>
  <c r="BA34" i="15"/>
  <c r="E30" i="15"/>
  <c r="AB32" i="15"/>
  <c r="CJ26" i="15"/>
  <c r="E35" i="15"/>
  <c r="CS32" i="15"/>
  <c r="BU30" i="15"/>
  <c r="AS28" i="15"/>
  <c r="AW22" i="15"/>
  <c r="DL33" i="15"/>
  <c r="AH28" i="15"/>
  <c r="G34" i="15"/>
  <c r="DI27" i="15"/>
  <c r="BV31" i="15"/>
  <c r="AR23" i="15"/>
  <c r="BK19" i="15"/>
  <c r="AM23" i="15"/>
  <c r="DE38" i="15"/>
  <c r="AS38" i="15"/>
  <c r="CS37" i="15"/>
  <c r="AG37" i="15"/>
  <c r="CG36" i="15"/>
  <c r="CK35" i="15"/>
  <c r="BY34" i="15"/>
  <c r="BM33" i="15"/>
  <c r="AO31" i="15"/>
  <c r="Q29" i="15"/>
  <c r="CY19" i="15"/>
  <c r="X31" i="15"/>
  <c r="DL28" i="15"/>
  <c r="BS18" i="15"/>
  <c r="AA40" i="15"/>
  <c r="O39" i="15"/>
  <c r="C38" i="15"/>
  <c r="DC36" i="15"/>
  <c r="G35" i="15"/>
  <c r="CU32" i="15"/>
  <c r="BW30" i="15"/>
  <c r="AU28" i="15"/>
  <c r="F41" i="15"/>
  <c r="DF39" i="15"/>
  <c r="CT38" i="15"/>
  <c r="CH37" i="15"/>
  <c r="BV36" i="15"/>
  <c r="BF34" i="15"/>
  <c r="AH32" i="15"/>
  <c r="AT28" i="15"/>
  <c r="I42" i="15"/>
  <c r="CW39" i="15"/>
  <c r="BY37" i="15"/>
  <c r="AK34" i="15"/>
  <c r="DA29" i="15"/>
  <c r="L32" i="15"/>
  <c r="DM25" i="15"/>
  <c r="DI34" i="15"/>
  <c r="CK32" i="15"/>
  <c r="BM30" i="15"/>
  <c r="AJ28" i="15"/>
  <c r="Q22" i="15"/>
  <c r="DD33" i="15"/>
  <c r="CR27" i="15"/>
  <c r="DK33" i="15"/>
  <c r="CZ27" i="15"/>
  <c r="BZ30" i="15"/>
  <c r="L23" i="15"/>
  <c r="BA19" i="15"/>
  <c r="DD16" i="15"/>
  <c r="CW38" i="15"/>
  <c r="AK38" i="15"/>
  <c r="CK37" i="15"/>
  <c r="Y37" i="15"/>
  <c r="BY36" i="15"/>
  <c r="BU35" i="15"/>
  <c r="BI34" i="15"/>
  <c r="AW33" i="15"/>
  <c r="Y31" i="15"/>
  <c r="DM28" i="15"/>
  <c r="BT18" i="15"/>
  <c r="H31" i="15"/>
  <c r="CV28" i="15"/>
  <c r="V15" i="15"/>
  <c r="S40" i="15"/>
  <c r="G39" i="15"/>
  <c r="DG37" i="15"/>
  <c r="CU36" i="15"/>
  <c r="DC34" i="15"/>
  <c r="CE32" i="15"/>
  <c r="BG30" i="15"/>
  <c r="AC28" i="15"/>
  <c r="DJ40" i="15"/>
  <c r="CX39" i="15"/>
  <c r="CL38" i="15"/>
  <c r="BZ37" i="15"/>
  <c r="BN36" i="15"/>
  <c r="AP34" i="15"/>
  <c r="R32" i="15"/>
  <c r="AB28" i="15"/>
  <c r="DM41" i="15"/>
  <c r="CO39" i="15"/>
  <c r="BQ37" i="15"/>
  <c r="U34" i="15"/>
  <c r="CK29" i="15"/>
  <c r="DH31" i="15"/>
  <c r="DH24" i="15"/>
  <c r="DA34" i="15"/>
  <c r="CC32" i="15"/>
  <c r="BE30" i="15"/>
  <c r="Z28" i="15"/>
  <c r="CW21" i="15"/>
  <c r="CV33" i="15"/>
  <c r="CE27" i="15"/>
  <c r="BO33" i="15"/>
  <c r="CO27" i="15"/>
  <c r="BR30" i="15"/>
  <c r="N14" i="15"/>
  <c r="AR19" i="15"/>
  <c r="BR14" i="15"/>
  <c r="AD48" i="15"/>
  <c r="CD47" i="15"/>
  <c r="R47" i="15"/>
  <c r="BR46" i="15"/>
  <c r="F46" i="15"/>
  <c r="BF45" i="15"/>
  <c r="DF44" i="15"/>
  <c r="AT44" i="15"/>
  <c r="CT43" i="15"/>
  <c r="AF43" i="15"/>
  <c r="BK42" i="15"/>
  <c r="CP41" i="15"/>
  <c r="DL40" i="15"/>
  <c r="CZ39" i="15"/>
  <c r="CN38" i="15"/>
  <c r="CB37" i="15"/>
  <c r="BP36" i="15"/>
  <c r="AR34" i="15"/>
  <c r="AD31" i="15"/>
  <c r="DD18" i="15"/>
  <c r="AB36" i="15"/>
  <c r="D34" i="15"/>
  <c r="BO30" i="15"/>
  <c r="AQ37" i="15"/>
  <c r="DG35" i="15"/>
  <c r="CI33" i="15"/>
  <c r="B30" i="15"/>
  <c r="Y43" i="15"/>
  <c r="BY42" i="15"/>
  <c r="M42" i="15"/>
  <c r="BM41" i="15"/>
  <c r="DM40" i="15"/>
  <c r="BA40" i="15"/>
  <c r="DA39" i="15"/>
  <c r="AO39" i="15"/>
  <c r="CO38" i="15"/>
  <c r="AC38" i="15"/>
  <c r="CC37" i="15"/>
  <c r="Q37" i="15"/>
  <c r="BQ36" i="15"/>
  <c r="BE35" i="15"/>
  <c r="AS34" i="15"/>
  <c r="DM32" i="15"/>
  <c r="CO30" i="15"/>
  <c r="BP28" i="15"/>
  <c r="CV32" i="15"/>
  <c r="BX30" i="15"/>
  <c r="AV28" i="15"/>
  <c r="G41" i="15"/>
  <c r="DG39" i="15"/>
  <c r="CU38" i="15"/>
  <c r="CI37" i="15"/>
  <c r="BW36" i="15"/>
  <c r="BG34" i="15"/>
  <c r="AI32" i="15"/>
  <c r="K30" i="15"/>
  <c r="DH26" i="15"/>
  <c r="CL40" i="15"/>
  <c r="BZ39" i="15"/>
  <c r="BN38" i="15"/>
  <c r="BB37" i="15"/>
  <c r="R36" i="15"/>
  <c r="DF33" i="15"/>
  <c r="CH31" i="15"/>
  <c r="D23" i="15"/>
  <c r="BI41" i="15"/>
  <c r="AK39" i="15"/>
  <c r="M37" i="15"/>
  <c r="Y33" i="15"/>
  <c r="CO28" i="15"/>
  <c r="DL30" i="15"/>
  <c r="CA10" i="15"/>
  <c r="AW34" i="15"/>
  <c r="Y32" i="15"/>
  <c r="DM29" i="15"/>
  <c r="BT27" i="15"/>
  <c r="CO19" i="15"/>
  <c r="AN32" i="15"/>
  <c r="AN24" i="15"/>
  <c r="AU32" i="15"/>
  <c r="U23" i="15"/>
  <c r="AF28" i="15"/>
  <c r="W24" i="15"/>
  <c r="CO22" i="15"/>
  <c r="DG17" i="15"/>
  <c r="AG33" i="15"/>
  <c r="U32" i="15"/>
  <c r="I31" i="15"/>
  <c r="DI29" i="15"/>
  <c r="CW28" i="15"/>
  <c r="AV26" i="15"/>
  <c r="W15" i="15"/>
  <c r="D32" i="15"/>
  <c r="DD30" i="15"/>
  <c r="CR29" i="15"/>
  <c r="CF28" i="15"/>
  <c r="BH25" i="15"/>
  <c r="W41" i="15"/>
  <c r="BW40" i="15"/>
  <c r="K40" i="15"/>
  <c r="BK39" i="15"/>
  <c r="DK38" i="15"/>
  <c r="AY38" i="15"/>
  <c r="CY37" i="15"/>
  <c r="AM37" i="15"/>
  <c r="CM36" i="15"/>
  <c r="CY35" i="15"/>
  <c r="CM34" i="15"/>
  <c r="CA33" i="15"/>
  <c r="BO32" i="15"/>
  <c r="BC31" i="15"/>
  <c r="AQ30" i="15"/>
  <c r="AE29" i="15"/>
  <c r="DD27" i="15"/>
  <c r="CR20" i="15"/>
  <c r="DB40" i="15"/>
  <c r="AP40" i="15"/>
  <c r="CP39" i="15"/>
  <c r="AD39" i="15"/>
  <c r="CD38" i="15"/>
  <c r="R38" i="15"/>
  <c r="BR37" i="15"/>
  <c r="F37" i="15"/>
  <c r="AX36" i="15"/>
  <c r="AL35" i="15"/>
  <c r="Z34" i="15"/>
  <c r="N33" i="15"/>
  <c r="B32" i="15"/>
  <c r="AP30" i="15"/>
  <c r="DC27" i="15"/>
  <c r="E43" i="15"/>
  <c r="DE41" i="15"/>
  <c r="CS40" i="15"/>
  <c r="CG39" i="15"/>
  <c r="BU38" i="15"/>
  <c r="BI37" i="15"/>
  <c r="AC36" i="15"/>
  <c r="E34" i="15"/>
  <c r="CS31" i="15"/>
  <c r="BU29" i="15"/>
  <c r="CW23" i="15"/>
  <c r="CR31" i="15"/>
  <c r="BT29" i="15"/>
  <c r="CV23" i="15"/>
  <c r="DE35" i="15"/>
  <c r="CS34" i="15"/>
  <c r="CG33" i="15"/>
  <c r="BU32" i="15"/>
  <c r="BI31" i="15"/>
  <c r="AW30" i="15"/>
  <c r="AK29" i="15"/>
  <c r="Q28" i="15"/>
  <c r="DL25" i="15"/>
  <c r="BQ21" i="15"/>
  <c r="BY9" i="15"/>
  <c r="AZ33" i="15"/>
  <c r="BT30" i="15"/>
  <c r="BQ27" i="15"/>
  <c r="AM36" i="15"/>
  <c r="BG33" i="15"/>
  <c r="CA30" i="15"/>
  <c r="E27" i="15"/>
  <c r="N36" i="15"/>
  <c r="BJ30" i="15"/>
  <c r="DM26" i="15"/>
  <c r="BS11" i="15"/>
  <c r="AV18" i="15"/>
  <c r="F15" i="15"/>
  <c r="CJ25" i="15"/>
  <c r="DH10" i="15"/>
  <c r="Q33" i="15"/>
  <c r="E32" i="15"/>
  <c r="DE30" i="15"/>
  <c r="CS29" i="15"/>
  <c r="CG28" i="15"/>
  <c r="BI25" i="15"/>
  <c r="DL32" i="15"/>
  <c r="CZ31" i="15"/>
  <c r="CN30" i="15"/>
  <c r="CB29" i="15"/>
  <c r="BN28" i="15"/>
  <c r="AV24" i="15"/>
  <c r="O41" i="15"/>
  <c r="BO40" i="15"/>
  <c r="C40" i="15"/>
  <c r="BC39" i="15"/>
  <c r="DC38" i="15"/>
  <c r="AQ38" i="15"/>
  <c r="CQ37" i="15"/>
  <c r="AE37" i="15"/>
  <c r="CE36" i="15"/>
  <c r="CI35" i="15"/>
  <c r="BW34" i="15"/>
  <c r="BK33" i="15"/>
  <c r="AY32" i="15"/>
  <c r="AM31" i="15"/>
  <c r="AA30" i="15"/>
  <c r="O29" i="15"/>
  <c r="BI27" i="15"/>
  <c r="BN19" i="15"/>
  <c r="CT40" i="15"/>
  <c r="AH40" i="15"/>
  <c r="CH39" i="15"/>
  <c r="V39" i="15"/>
  <c r="BV38" i="15"/>
  <c r="J38" i="15"/>
  <c r="BJ37" i="15"/>
  <c r="DJ36" i="15"/>
  <c r="AH36" i="15"/>
  <c r="V35" i="15"/>
  <c r="J34" i="15"/>
  <c r="DJ32" i="15"/>
  <c r="CX31" i="15"/>
  <c r="BZ29" i="15"/>
  <c r="P24" i="15"/>
  <c r="CC42" i="15"/>
  <c r="BQ41" i="15"/>
  <c r="BE40" i="15"/>
  <c r="AS39" i="15"/>
  <c r="AG38" i="15"/>
  <c r="U37" i="15"/>
  <c r="BM35" i="15"/>
  <c r="AO33" i="15"/>
  <c r="Q31" i="15"/>
  <c r="DE28" i="15"/>
  <c r="AU17" i="15"/>
  <c r="P31" i="15"/>
  <c r="DD28" i="15"/>
  <c r="AT17" i="15"/>
  <c r="BQ35" i="15"/>
  <c r="BE34" i="15"/>
  <c r="AS33" i="15"/>
  <c r="AG32" i="15"/>
  <c r="U31" i="15"/>
  <c r="I30" i="15"/>
  <c r="DI28" i="15"/>
  <c r="CF27" i="15"/>
  <c r="BU24" i="15"/>
  <c r="N20" i="15"/>
  <c r="BP35" i="15"/>
  <c r="CJ32" i="15"/>
  <c r="BP29" i="15"/>
  <c r="BT24" i="15"/>
  <c r="BW35" i="15"/>
  <c r="BC32" i="15"/>
  <c r="BW29" i="15"/>
  <c r="CS24" i="15"/>
  <c r="DJ33" i="15"/>
  <c r="AO28" i="15"/>
  <c r="BM22" i="15"/>
  <c r="AE24" i="15"/>
  <c r="CL25" i="15"/>
  <c r="BQ24" i="15"/>
  <c r="AF21" i="15"/>
  <c r="DM13" i="15"/>
  <c r="CW32" i="15"/>
  <c r="CK31" i="15"/>
  <c r="BY30" i="15"/>
  <c r="BM29" i="15"/>
  <c r="AW28" i="15"/>
  <c r="AK23" i="15"/>
  <c r="CF32" i="15"/>
  <c r="BT31" i="15"/>
  <c r="BH30" i="15"/>
  <c r="AV29" i="15"/>
  <c r="AD28" i="15"/>
  <c r="X22" i="15"/>
  <c r="DK40" i="15"/>
  <c r="AY40" i="15"/>
  <c r="CY39" i="15"/>
  <c r="AM39" i="15"/>
  <c r="CM38" i="15"/>
  <c r="AA38" i="15"/>
  <c r="CA37" i="15"/>
  <c r="O37" i="15"/>
  <c r="BO36" i="15"/>
  <c r="BC35" i="15"/>
  <c r="AQ34" i="15"/>
  <c r="AE33" i="15"/>
  <c r="S32" i="15"/>
  <c r="G31" i="15"/>
  <c r="DG29" i="15"/>
  <c r="CU28" i="15"/>
  <c r="Y26" i="15"/>
  <c r="BW13" i="15"/>
  <c r="CD40" i="15"/>
  <c r="R40" i="15"/>
  <c r="BR39" i="15"/>
  <c r="F39" i="15"/>
  <c r="BF38" i="15"/>
  <c r="DF37" i="15"/>
  <c r="AT37" i="15"/>
  <c r="CT36" i="15"/>
  <c r="B36" i="15"/>
  <c r="DB34" i="15"/>
  <c r="CP33" i="15"/>
  <c r="CD32" i="15"/>
  <c r="BR31" i="15"/>
  <c r="AT29" i="15"/>
  <c r="DD21" i="15"/>
  <c r="BM42" i="15"/>
  <c r="BA41" i="15"/>
  <c r="AO40" i="15"/>
  <c r="AC39" i="15"/>
  <c r="Q38" i="15"/>
  <c r="E37" i="15"/>
  <c r="AG35" i="15"/>
  <c r="I33" i="15"/>
  <c r="CW30" i="15"/>
  <c r="BY28" i="15"/>
  <c r="H33" i="15"/>
  <c r="CV30" i="15"/>
  <c r="BX28" i="15"/>
  <c r="BM36" i="15"/>
  <c r="BA35" i="15"/>
  <c r="AO34" i="15"/>
  <c r="AC33" i="15"/>
  <c r="Q32" i="15"/>
  <c r="E31" i="15"/>
  <c r="DE29" i="15"/>
  <c r="CS28" i="15"/>
  <c r="BE27" i="15"/>
  <c r="I24" i="15"/>
  <c r="BE19" i="15"/>
  <c r="L35" i="15"/>
  <c r="AF32" i="15"/>
  <c r="AZ29" i="15"/>
  <c r="CB22" i="15"/>
  <c r="S35" i="15"/>
  <c r="AM32" i="15"/>
  <c r="S29" i="15"/>
  <c r="DA22" i="15"/>
  <c r="CT33" i="15"/>
  <c r="BY26" i="15"/>
  <c r="CA17" i="15"/>
  <c r="O24" i="15"/>
  <c r="DB23" i="15"/>
  <c r="BY22" i="15"/>
  <c r="CM20" i="15"/>
  <c r="BY13" i="15"/>
  <c r="CG32" i="15"/>
  <c r="BU31" i="15"/>
  <c r="BI30" i="15"/>
  <c r="AW29" i="15"/>
  <c r="AE28" i="15"/>
  <c r="Y22" i="15"/>
  <c r="BP32" i="15"/>
  <c r="BD31" i="15"/>
  <c r="AR30" i="15"/>
  <c r="AF29" i="15"/>
  <c r="DL27" i="15"/>
  <c r="L21" i="15"/>
  <c r="DC40" i="15"/>
  <c r="AQ40" i="15"/>
  <c r="CQ39" i="15"/>
  <c r="AE39" i="15"/>
  <c r="CE38" i="15"/>
  <c r="S38" i="15"/>
  <c r="BS37" i="15"/>
  <c r="G37" i="15"/>
  <c r="AY36" i="15"/>
  <c r="AM35" i="15"/>
  <c r="AA34" i="15"/>
  <c r="O33" i="15"/>
  <c r="C32" i="15"/>
  <c r="DC30" i="15"/>
  <c r="CQ29" i="15"/>
  <c r="CE28" i="15"/>
  <c r="AC25" i="15"/>
  <c r="V41" i="15"/>
  <c r="BV40" i="15"/>
  <c r="J40" i="15"/>
  <c r="BJ39" i="15"/>
  <c r="DJ38" i="15"/>
  <c r="AX38" i="15"/>
  <c r="CX37" i="15"/>
  <c r="AL37" i="15"/>
  <c r="CL36" i="15"/>
  <c r="CX35" i="15"/>
  <c r="CL34" i="15"/>
  <c r="BZ33" i="15"/>
  <c r="BN32" i="15"/>
  <c r="BB31" i="15"/>
  <c r="AD29" i="15"/>
  <c r="CQ20" i="15"/>
  <c r="BE42" i="15"/>
  <c r="AS41" i="15"/>
  <c r="AG40" i="15"/>
  <c r="U39" i="15"/>
  <c r="I38" i="15"/>
  <c r="DI36" i="15"/>
  <c r="Q35" i="15"/>
  <c r="DE32" i="15"/>
  <c r="CG30" i="15"/>
  <c r="BF28" i="15"/>
  <c r="DD32" i="15"/>
  <c r="CF30" i="15"/>
  <c r="BE28" i="15"/>
  <c r="BE36" i="15"/>
  <c r="AS35" i="15"/>
  <c r="AG34" i="15"/>
  <c r="U33" i="15"/>
  <c r="I32" i="15"/>
  <c r="DI30" i="15"/>
  <c r="CW29" i="15"/>
  <c r="CK28" i="15"/>
  <c r="AO27" i="15"/>
  <c r="CO23" i="15"/>
  <c r="T19" i="15"/>
  <c r="D35" i="15"/>
  <c r="X32" i="15"/>
  <c r="D29" i="15"/>
  <c r="AV22" i="15"/>
  <c r="K35" i="15"/>
  <c r="DC31" i="15"/>
  <c r="K29" i="15"/>
  <c r="BU22" i="15"/>
  <c r="CX32" i="15"/>
  <c r="BD26" i="15"/>
  <c r="BO16" i="15"/>
  <c r="BK22" i="15"/>
  <c r="CT23" i="15"/>
  <c r="AS22" i="15"/>
  <c r="BM18" i="15"/>
  <c r="BI17" i="15"/>
  <c r="AL31" i="15"/>
  <c r="Z30" i="15"/>
  <c r="N29" i="15"/>
  <c r="BH27" i="15"/>
  <c r="BM19" i="15"/>
  <c r="DI42" i="15"/>
  <c r="AW42" i="15"/>
  <c r="CW41" i="15"/>
  <c r="AK41" i="15"/>
  <c r="CK40" i="15"/>
  <c r="Y40" i="15"/>
  <c r="BY39" i="15"/>
  <c r="M39" i="15"/>
  <c r="BM38" i="15"/>
  <c r="DM37" i="15"/>
  <c r="BA37" i="15"/>
  <c r="DA36" i="15"/>
  <c r="M36" i="15"/>
  <c r="DM34" i="15"/>
  <c r="DA33" i="15"/>
  <c r="CO32" i="15"/>
  <c r="CC31" i="15"/>
  <c r="BQ30" i="15"/>
  <c r="BE29" i="15"/>
  <c r="AN28" i="15"/>
  <c r="CK22" i="15"/>
  <c r="CN32" i="15"/>
  <c r="CB31" i="15"/>
  <c r="BP30" i="15"/>
  <c r="BD29" i="15"/>
  <c r="AM28" i="15"/>
  <c r="CJ22" i="15"/>
  <c r="AW36" i="15"/>
  <c r="CW35" i="15"/>
  <c r="AK35" i="15"/>
  <c r="CK34" i="15"/>
  <c r="Y34" i="15"/>
  <c r="BY33" i="15"/>
  <c r="M33" i="15"/>
  <c r="BM32" i="15"/>
  <c r="DM31" i="15"/>
  <c r="BA31" i="15"/>
  <c r="DA30" i="15"/>
  <c r="AO30" i="15"/>
  <c r="CO29" i="15"/>
  <c r="AC29" i="15"/>
  <c r="CC28" i="15"/>
  <c r="H28" i="15"/>
  <c r="Y27" i="15"/>
  <c r="CG25" i="15"/>
  <c r="BI23" i="15"/>
  <c r="AK21" i="15"/>
  <c r="CV18" i="15"/>
  <c r="X36" i="15"/>
  <c r="DH34" i="15"/>
  <c r="AR33" i="15"/>
  <c r="CN31" i="15"/>
  <c r="BL30" i="15"/>
  <c r="DH28" i="15"/>
  <c r="CC26" i="15"/>
  <c r="P22" i="15"/>
  <c r="AE36" i="15"/>
  <c r="CA34" i="15"/>
  <c r="AY33" i="15"/>
  <c r="CU31" i="15"/>
  <c r="AE30" i="15"/>
  <c r="C29" i="15"/>
  <c r="CW26" i="15"/>
  <c r="DI20" i="15"/>
  <c r="F36" i="15"/>
  <c r="CP32" i="15"/>
  <c r="BN29" i="15"/>
  <c r="AG26" i="15"/>
  <c r="CR26" i="15"/>
  <c r="AF27" i="15"/>
  <c r="CB6" i="15"/>
  <c r="BC22" i="15"/>
  <c r="BQ5" i="15"/>
  <c r="BF23" i="15"/>
  <c r="CB14" i="15"/>
  <c r="BU20" i="15"/>
  <c r="CB25" i="15"/>
  <c r="DJ16" i="15"/>
  <c r="DF21" i="15"/>
  <c r="BU16" i="15"/>
  <c r="V31" i="15"/>
  <c r="J30" i="15"/>
  <c r="DJ28" i="15"/>
  <c r="DE26" i="15"/>
  <c r="W18" i="15"/>
  <c r="DA42" i="15"/>
  <c r="AO42" i="15"/>
  <c r="CO41" i="15"/>
  <c r="AC41" i="15"/>
  <c r="CC40" i="15"/>
  <c r="Q40" i="15"/>
  <c r="BQ39" i="15"/>
  <c r="E39" i="15"/>
  <c r="BE38" i="15"/>
  <c r="DE37" i="15"/>
  <c r="AS37" i="15"/>
  <c r="CS36" i="15"/>
  <c r="DI35" i="15"/>
  <c r="CW34" i="15"/>
  <c r="CK33" i="15"/>
  <c r="BY32" i="15"/>
  <c r="BM31" i="15"/>
  <c r="BA30" i="15"/>
  <c r="AO29" i="15"/>
  <c r="T28" i="15"/>
  <c r="BY21" i="15"/>
  <c r="BX32" i="15"/>
  <c r="BL31" i="15"/>
  <c r="AZ30" i="15"/>
  <c r="AN29" i="15"/>
  <c r="R28" i="15"/>
  <c r="BX21" i="15"/>
  <c r="AO36" i="15"/>
  <c r="CO35" i="15"/>
  <c r="AC35" i="15"/>
  <c r="CC34" i="15"/>
  <c r="Q34" i="15"/>
  <c r="BQ33" i="15"/>
  <c r="E33" i="15"/>
  <c r="BE32" i="15"/>
  <c r="DE31" i="15"/>
  <c r="AS31" i="15"/>
  <c r="CS30" i="15"/>
  <c r="AG30" i="15"/>
  <c r="CG29" i="15"/>
  <c r="U29" i="15"/>
  <c r="BT28" i="15"/>
  <c r="DK27" i="15"/>
  <c r="I27" i="15"/>
  <c r="BA25" i="15"/>
  <c r="AC23" i="15"/>
  <c r="E21" i="15"/>
  <c r="BJ18" i="15"/>
  <c r="P36" i="15"/>
  <c r="BL34" i="15"/>
  <c r="AJ33" i="15"/>
  <c r="CF31" i="15"/>
  <c r="P30" i="15"/>
  <c r="CZ28" i="15"/>
  <c r="BI26" i="15"/>
  <c r="AW20" i="15"/>
  <c r="W36" i="15"/>
  <c r="BS34" i="15"/>
  <c r="C33" i="15"/>
  <c r="CM31" i="15"/>
  <c r="W30" i="15"/>
  <c r="BR28" i="15"/>
  <c r="CB26" i="15"/>
  <c r="BZ20" i="15"/>
  <c r="J35" i="15"/>
  <c r="CH32" i="15"/>
  <c r="BF29" i="15"/>
  <c r="BT22" i="15"/>
  <c r="BU26" i="15"/>
  <c r="P27" i="15"/>
  <c r="DK25" i="15"/>
  <c r="W22" i="15"/>
  <c r="CL27" i="15"/>
  <c r="DB21" i="15"/>
  <c r="DC13" i="15"/>
  <c r="S20" i="15"/>
  <c r="BL23" i="15"/>
  <c r="CD16" i="15"/>
  <c r="CX21" i="15"/>
  <c r="DC11" i="15"/>
  <c r="F31" i="15"/>
  <c r="DF29" i="15"/>
  <c r="CT28" i="15"/>
  <c r="X26" i="15"/>
  <c r="BV13" i="15"/>
  <c r="CS42" i="15"/>
  <c r="AG42" i="15"/>
  <c r="CG41" i="15"/>
  <c r="U41" i="15"/>
  <c r="BU40" i="15"/>
  <c r="I40" i="15"/>
  <c r="BI39" i="15"/>
  <c r="DI38" i="15"/>
  <c r="AW38" i="15"/>
  <c r="CW37" i="15"/>
  <c r="AK37" i="15"/>
  <c r="CK36" i="15"/>
  <c r="CS35" i="15"/>
  <c r="CG34" i="15"/>
  <c r="BU33" i="15"/>
  <c r="BI32" i="15"/>
  <c r="AW31" i="15"/>
  <c r="AK30" i="15"/>
  <c r="Y29" i="15"/>
  <c r="CU27" i="15"/>
  <c r="BH20" i="15"/>
  <c r="BH32" i="15"/>
  <c r="AV31" i="15"/>
  <c r="AJ30" i="15"/>
  <c r="X29" i="15"/>
  <c r="CT27" i="15"/>
  <c r="BG20" i="15"/>
  <c r="AG36" i="15"/>
  <c r="CG35" i="15"/>
  <c r="U35" i="15"/>
  <c r="BU34" i="15"/>
  <c r="I34" i="15"/>
  <c r="BI33" i="15"/>
  <c r="DI32" i="15"/>
  <c r="AW32" i="15"/>
  <c r="CW31" i="15"/>
  <c r="AK31" i="15"/>
  <c r="CK30" i="15"/>
  <c r="Y30" i="15"/>
  <c r="BY29" i="15"/>
  <c r="M29" i="15"/>
  <c r="BK28" i="15"/>
  <c r="DB27" i="15"/>
  <c r="DA26" i="15"/>
  <c r="U25" i="15"/>
  <c r="DI22" i="15"/>
  <c r="CI20" i="15"/>
  <c r="J18" i="15"/>
  <c r="H36" i="15"/>
  <c r="BD34" i="15"/>
  <c r="CZ32" i="15"/>
  <c r="BX31" i="15"/>
  <c r="H30" i="15"/>
  <c r="BA28" i="15"/>
  <c r="AN26" i="15"/>
  <c r="M20" i="15"/>
  <c r="CM35" i="15"/>
  <c r="BK34" i="15"/>
  <c r="DG32" i="15"/>
  <c r="AQ31" i="15"/>
  <c r="O30" i="15"/>
  <c r="BI28" i="15"/>
  <c r="AS25" i="15"/>
  <c r="AO20" i="15"/>
  <c r="B35" i="15"/>
  <c r="CL31" i="15"/>
  <c r="AX29" i="15"/>
  <c r="AN22" i="15"/>
  <c r="M23" i="15"/>
  <c r="DI26" i="15"/>
  <c r="DC25" i="15"/>
  <c r="CP20" i="15"/>
  <c r="CD27" i="15"/>
  <c r="BV21" i="15"/>
  <c r="CG24" i="15"/>
  <c r="I20" i="15"/>
  <c r="BD23" i="15"/>
  <c r="AI24" i="15"/>
  <c r="F21" i="15"/>
  <c r="BM2" i="15"/>
  <c r="DB30" i="15"/>
  <c r="CP29" i="15"/>
  <c r="CD28" i="15"/>
  <c r="AB25" i="15"/>
  <c r="AK43" i="15"/>
  <c r="CK42" i="15"/>
  <c r="Y42" i="15"/>
  <c r="BY41" i="15"/>
  <c r="M41" i="15"/>
  <c r="BM40" i="15"/>
  <c r="DM39" i="15"/>
  <c r="BA39" i="15"/>
  <c r="DA38" i="15"/>
  <c r="AO38" i="15"/>
  <c r="CO37" i="15"/>
  <c r="AC37" i="15"/>
  <c r="CC36" i="15"/>
  <c r="CC35" i="15"/>
  <c r="BQ34" i="15"/>
  <c r="BE33" i="15"/>
  <c r="AS32" i="15"/>
  <c r="AG31" i="15"/>
  <c r="U30" i="15"/>
  <c r="I29" i="15"/>
  <c r="AS27" i="15"/>
  <c r="AC19" i="15"/>
  <c r="AR32" i="15"/>
  <c r="AF31" i="15"/>
  <c r="T30" i="15"/>
  <c r="H29" i="15"/>
  <c r="AR27" i="15"/>
  <c r="AB19" i="15"/>
  <c r="Y36" i="15"/>
  <c r="BY35" i="15"/>
  <c r="M35" i="15"/>
  <c r="BM34" i="15"/>
  <c r="DM33" i="15"/>
  <c r="BA33" i="15"/>
  <c r="DA32" i="15"/>
  <c r="AO32" i="15"/>
  <c r="CO31" i="15"/>
  <c r="AC31" i="15"/>
  <c r="CC30" i="15"/>
  <c r="Q30" i="15"/>
  <c r="BQ29" i="15"/>
  <c r="E29" i="15"/>
  <c r="BB28" i="15"/>
  <c r="CS27" i="15"/>
  <c r="CG26" i="15"/>
  <c r="DA24" i="15"/>
  <c r="CC22" i="15"/>
  <c r="AY20" i="15"/>
  <c r="O17" i="15"/>
  <c r="BX35" i="15"/>
  <c r="AV34" i="15"/>
  <c r="CR32" i="15"/>
  <c r="AB31" i="15"/>
  <c r="DL29" i="15"/>
  <c r="AR28" i="15"/>
  <c r="CZ24" i="15"/>
  <c r="CN19" i="15"/>
  <c r="CE35" i="15"/>
  <c r="O34" i="15"/>
  <c r="CY32" i="15"/>
  <c r="AI31" i="15"/>
  <c r="CE29" i="15"/>
  <c r="AZ28" i="15"/>
  <c r="M25" i="15"/>
  <c r="AZ18" i="15"/>
  <c r="DF34" i="15"/>
  <c r="CD31" i="15"/>
  <c r="AX28" i="15"/>
  <c r="H22" i="15"/>
  <c r="CS22" i="15"/>
  <c r="BX23" i="15"/>
  <c r="CU25" i="15"/>
  <c r="BE20" i="15"/>
  <c r="CT25" i="15"/>
  <c r="BN21" i="15"/>
  <c r="BY24" i="15"/>
  <c r="S16" i="15"/>
  <c r="AF23" i="15"/>
  <c r="CY23" i="15"/>
  <c r="Y14" i="15"/>
  <c r="I15" i="15"/>
  <c r="BL36" i="15"/>
  <c r="DL35" i="15"/>
  <c r="AZ35" i="15"/>
  <c r="CZ34" i="15"/>
  <c r="AN34" i="15"/>
  <c r="CN33" i="15"/>
  <c r="AB33" i="15"/>
  <c r="CB32" i="15"/>
  <c r="P32" i="15"/>
  <c r="BP31" i="15"/>
  <c r="D31" i="15"/>
  <c r="BD30" i="15"/>
  <c r="DD29" i="15"/>
  <c r="AR29" i="15"/>
  <c r="CR28" i="15"/>
  <c r="Y28" i="15"/>
  <c r="BD27" i="15"/>
  <c r="Q26" i="15"/>
  <c r="H24" i="15"/>
  <c r="CV21" i="15"/>
  <c r="BD19" i="15"/>
  <c r="I13" i="15"/>
  <c r="O36" i="15"/>
  <c r="BO35" i="15"/>
  <c r="C35" i="15"/>
  <c r="BC34" i="15"/>
  <c r="DC33" i="15"/>
  <c r="AQ33" i="15"/>
  <c r="CQ32" i="15"/>
  <c r="AE32" i="15"/>
  <c r="CE31" i="15"/>
  <c r="S31" i="15"/>
  <c r="BS30" i="15"/>
  <c r="G30" i="15"/>
  <c r="BG29" i="15"/>
  <c r="DG28" i="15"/>
  <c r="AP28" i="15"/>
  <c r="CC27" i="15"/>
  <c r="BE26" i="15"/>
  <c r="BM24" i="15"/>
  <c r="AO22" i="15"/>
  <c r="E20" i="15"/>
  <c r="CI15" i="15"/>
  <c r="DJ35" i="15"/>
  <c r="CX34" i="15"/>
  <c r="CL33" i="15"/>
  <c r="BZ32" i="15"/>
  <c r="BN31" i="15"/>
  <c r="BB30" i="15"/>
  <c r="AP29" i="15"/>
  <c r="W28" i="15"/>
  <c r="M26" i="15"/>
  <c r="CN21" i="15"/>
  <c r="AS12" i="15"/>
  <c r="BA26" i="15"/>
  <c r="AG22" i="15"/>
  <c r="BC15" i="15"/>
  <c r="CO26" i="15"/>
  <c r="CR22" i="15"/>
  <c r="BG27" i="15"/>
  <c r="CM25" i="15"/>
  <c r="CU23" i="15"/>
  <c r="O22" i="15"/>
  <c r="AM20" i="15"/>
  <c r="AJ18" i="15"/>
  <c r="BV27" i="15"/>
  <c r="AX25" i="15"/>
  <c r="AX23" i="15"/>
  <c r="AX21" i="15"/>
  <c r="AI19" i="15"/>
  <c r="AR13" i="15"/>
  <c r="AC24" i="15"/>
  <c r="AK22" i="15"/>
  <c r="DL19" i="15"/>
  <c r="AM15" i="15"/>
  <c r="BD25" i="15"/>
  <c r="DL22" i="15"/>
  <c r="CC20" i="15"/>
  <c r="AH14" i="15"/>
  <c r="AE23" i="15"/>
  <c r="DG9" i="15"/>
  <c r="L19" i="15"/>
  <c r="CL16" i="15"/>
  <c r="BM16" i="15"/>
  <c r="DM14" i="15"/>
  <c r="BD36" i="15"/>
  <c r="DD35" i="15"/>
  <c r="AR35" i="15"/>
  <c r="CR34" i="15"/>
  <c r="AF34" i="15"/>
  <c r="CF33" i="15"/>
  <c r="T33" i="15"/>
  <c r="BT32" i="15"/>
  <c r="H32" i="15"/>
  <c r="BH31" i="15"/>
  <c r="DH30" i="15"/>
  <c r="AV30" i="15"/>
  <c r="CV29" i="15"/>
  <c r="AJ29" i="15"/>
  <c r="CJ28" i="15"/>
  <c r="P28" i="15"/>
  <c r="AN27" i="15"/>
  <c r="DI25" i="15"/>
  <c r="CN23" i="15"/>
  <c r="BP21" i="15"/>
  <c r="S19" i="15"/>
  <c r="BV9" i="15"/>
  <c r="G36" i="15"/>
  <c r="BG35" i="15"/>
  <c r="DG34" i="15"/>
  <c r="AU34" i="15"/>
  <c r="CU33" i="15"/>
  <c r="AI33" i="15"/>
  <c r="CI32" i="15"/>
  <c r="W32" i="15"/>
  <c r="BW31" i="15"/>
  <c r="K31" i="15"/>
  <c r="BK30" i="15"/>
  <c r="DK29" i="15"/>
  <c r="AY29" i="15"/>
  <c r="CY28" i="15"/>
  <c r="AG28" i="15"/>
  <c r="BP27" i="15"/>
  <c r="AK26" i="15"/>
  <c r="AG24" i="15"/>
  <c r="I22" i="15"/>
  <c r="CF19" i="15"/>
  <c r="BE14" i="15"/>
  <c r="BV35" i="15"/>
  <c r="BJ34" i="15"/>
  <c r="AX33" i="15"/>
  <c r="AL32" i="15"/>
  <c r="Z31" i="15"/>
  <c r="N30" i="15"/>
  <c r="B29" i="15"/>
  <c r="CN27" i="15"/>
  <c r="CR24" i="15"/>
  <c r="AN20" i="15"/>
  <c r="DF27" i="15"/>
  <c r="AK25" i="15"/>
  <c r="DA20" i="15"/>
  <c r="L28" i="15"/>
  <c r="CV25" i="15"/>
  <c r="AZ21" i="15"/>
  <c r="DG26" i="15"/>
  <c r="AA25" i="15"/>
  <c r="AI23" i="15"/>
  <c r="BO21" i="15"/>
  <c r="CD19" i="15"/>
  <c r="BH16" i="15"/>
  <c r="DF26" i="15"/>
  <c r="CH24" i="15"/>
  <c r="CP22" i="15"/>
  <c r="CO20" i="15"/>
  <c r="BQ18" i="15"/>
  <c r="CS25" i="15"/>
  <c r="BU23" i="15"/>
  <c r="CC21" i="15"/>
  <c r="G19" i="15"/>
  <c r="AW4" i="15"/>
  <c r="CN24" i="15"/>
  <c r="T22" i="15"/>
  <c r="CJ19" i="15"/>
  <c r="BS27" i="15"/>
  <c r="BK21" i="15"/>
  <c r="AP26" i="15"/>
  <c r="I17" i="15"/>
  <c r="BN20" i="15"/>
  <c r="DJ13" i="15"/>
  <c r="CD12" i="15"/>
  <c r="AV36" i="15"/>
  <c r="CV35" i="15"/>
  <c r="AJ35" i="15"/>
  <c r="CJ34" i="15"/>
  <c r="X34" i="15"/>
  <c r="BX33" i="15"/>
  <c r="L33" i="15"/>
  <c r="BL32" i="15"/>
  <c r="DL31" i="15"/>
  <c r="AZ31" i="15"/>
  <c r="CZ30" i="15"/>
  <c r="AN30" i="15"/>
  <c r="CN29" i="15"/>
  <c r="AB29" i="15"/>
  <c r="CB28" i="15"/>
  <c r="G28" i="15"/>
  <c r="X27" i="15"/>
  <c r="CF25" i="15"/>
  <c r="BH23" i="15"/>
  <c r="AJ21" i="15"/>
  <c r="CU18" i="15"/>
  <c r="BK36" i="15"/>
  <c r="DK35" i="15"/>
  <c r="AY35" i="15"/>
  <c r="CY34" i="15"/>
  <c r="AM34" i="15"/>
  <c r="CM33" i="15"/>
  <c r="AA33" i="15"/>
  <c r="CA32" i="15"/>
  <c r="O32" i="15"/>
  <c r="BO31" i="15"/>
  <c r="C31" i="15"/>
  <c r="BC30" i="15"/>
  <c r="DC29" i="15"/>
  <c r="AQ29" i="15"/>
  <c r="CQ28" i="15"/>
  <c r="X28" i="15"/>
  <c r="BA27" i="15"/>
  <c r="P26" i="15"/>
  <c r="DM23" i="15"/>
  <c r="CO21" i="15"/>
  <c r="AV19" i="15"/>
  <c r="AT12" i="15"/>
  <c r="BN35" i="15"/>
  <c r="BB34" i="15"/>
  <c r="AP33" i="15"/>
  <c r="AD32" i="15"/>
  <c r="R31" i="15"/>
  <c r="F30" i="15"/>
  <c r="DF28" i="15"/>
  <c r="CB27" i="15"/>
  <c r="BL24" i="15"/>
  <c r="D20" i="15"/>
  <c r="CW27" i="15"/>
  <c r="E25" i="15"/>
  <c r="BQ20" i="15"/>
  <c r="B28" i="15"/>
  <c r="BP25" i="15"/>
  <c r="T21" i="15"/>
  <c r="CY26" i="15"/>
  <c r="DG24" i="15"/>
  <c r="AA23" i="15"/>
  <c r="BG21" i="15"/>
  <c r="BU19" i="15"/>
  <c r="AB16" i="15"/>
  <c r="BZ26" i="15"/>
  <c r="BZ24" i="15"/>
  <c r="CH22" i="15"/>
  <c r="CF20" i="15"/>
  <c r="BE18" i="15"/>
  <c r="BM25" i="15"/>
  <c r="BM23" i="15"/>
  <c r="BE21" i="15"/>
  <c r="DI18" i="15"/>
  <c r="DL26" i="15"/>
  <c r="AR24" i="15"/>
  <c r="L22" i="15"/>
  <c r="CA19" i="15"/>
  <c r="W27" i="15"/>
  <c r="O21" i="15"/>
  <c r="AD25" i="15"/>
  <c r="DE16" i="15"/>
  <c r="AH20" i="15"/>
  <c r="CV13" i="15"/>
  <c r="BS12" i="15"/>
  <c r="AN36" i="15"/>
  <c r="CN35" i="15"/>
  <c r="AB35" i="15"/>
  <c r="CB34" i="15"/>
  <c r="P34" i="15"/>
  <c r="BP33" i="15"/>
  <c r="D33" i="15"/>
  <c r="BD32" i="15"/>
  <c r="DD31" i="15"/>
  <c r="AR31" i="15"/>
  <c r="CR30" i="15"/>
  <c r="AF30" i="15"/>
  <c r="CF29" i="15"/>
  <c r="T29" i="15"/>
  <c r="BS28" i="15"/>
  <c r="DJ27" i="15"/>
  <c r="H27" i="15"/>
  <c r="AZ25" i="15"/>
  <c r="AB23" i="15"/>
  <c r="D21" i="15"/>
  <c r="BI18" i="15"/>
  <c r="BC36" i="15"/>
  <c r="DC35" i="15"/>
  <c r="AQ35" i="15"/>
  <c r="CQ34" i="15"/>
  <c r="AE34" i="15"/>
  <c r="CE33" i="15"/>
  <c r="S33" i="15"/>
  <c r="BS32" i="15"/>
  <c r="G32" i="15"/>
  <c r="BG31" i="15"/>
  <c r="DG30" i="15"/>
  <c r="AU30" i="15"/>
  <c r="CU29" i="15"/>
  <c r="AI29" i="15"/>
  <c r="CI28" i="15"/>
  <c r="O28" i="15"/>
  <c r="AK27" i="15"/>
  <c r="DE25" i="15"/>
  <c r="CG23" i="15"/>
  <c r="BI21" i="15"/>
  <c r="K19" i="15"/>
  <c r="BC8" i="15"/>
  <c r="BF35" i="15"/>
  <c r="AT34" i="15"/>
  <c r="AH33" i="15"/>
  <c r="V32" i="15"/>
  <c r="J31" i="15"/>
  <c r="DJ29" i="15"/>
  <c r="CX28" i="15"/>
  <c r="BO27" i="15"/>
  <c r="AF24" i="15"/>
  <c r="CE19" i="15"/>
  <c r="CM27" i="15"/>
  <c r="CK24" i="15"/>
  <c r="AF20" i="15"/>
  <c r="DE27" i="15"/>
  <c r="AJ25" i="15"/>
  <c r="CZ20" i="15"/>
  <c r="BS26" i="15"/>
  <c r="CY24" i="15"/>
  <c r="S23" i="15"/>
  <c r="AY21" i="15"/>
  <c r="BL19" i="15"/>
  <c r="CL14" i="15"/>
  <c r="BR26" i="15"/>
  <c r="BR24" i="15"/>
  <c r="BZ22" i="15"/>
  <c r="BW20" i="15"/>
  <c r="CQ17" i="15"/>
  <c r="AW25" i="15"/>
  <c r="BE23" i="15"/>
  <c r="AW21" i="15"/>
  <c r="CZ18" i="15"/>
  <c r="BP26" i="15"/>
  <c r="AJ24" i="15"/>
  <c r="D22" i="15"/>
  <c r="BQ19" i="15"/>
  <c r="O27" i="15"/>
  <c r="DA19" i="15"/>
  <c r="CT24" i="15"/>
  <c r="CC15" i="15"/>
  <c r="BZ19" i="15"/>
  <c r="T13" i="15"/>
  <c r="DK8" i="15"/>
  <c r="AF36" i="15"/>
  <c r="CF35" i="15"/>
  <c r="T35" i="15"/>
  <c r="BT34" i="15"/>
  <c r="H34" i="15"/>
  <c r="BH33" i="15"/>
  <c r="DH32" i="15"/>
  <c r="AV32" i="15"/>
  <c r="CV31" i="15"/>
  <c r="AJ31" i="15"/>
  <c r="CJ30" i="15"/>
  <c r="X30" i="15"/>
  <c r="BX29" i="15"/>
  <c r="L29" i="15"/>
  <c r="BJ28" i="15"/>
  <c r="DA27" i="15"/>
  <c r="CZ26" i="15"/>
  <c r="T25" i="15"/>
  <c r="DH22" i="15"/>
  <c r="CH20" i="15"/>
  <c r="D18" i="15"/>
  <c r="AU36" i="15"/>
  <c r="CU35" i="15"/>
  <c r="AI35" i="15"/>
  <c r="CI34" i="15"/>
  <c r="W34" i="15"/>
  <c r="BW33" i="15"/>
  <c r="K33" i="15"/>
  <c r="BK32" i="15"/>
  <c r="DK31" i="15"/>
  <c r="AY31" i="15"/>
  <c r="CY30" i="15"/>
  <c r="AM30" i="15"/>
  <c r="CM29" i="15"/>
  <c r="AA29" i="15"/>
  <c r="CA28" i="15"/>
  <c r="F28" i="15"/>
  <c r="U27" i="15"/>
  <c r="BY25" i="15"/>
  <c r="BA23" i="15"/>
  <c r="AC21" i="15"/>
  <c r="CM18" i="15"/>
  <c r="BJ36" i="15"/>
  <c r="AX35" i="15"/>
  <c r="AL34" i="15"/>
  <c r="Z33" i="15"/>
  <c r="N32" i="15"/>
  <c r="B31" i="15"/>
  <c r="DB29" i="15"/>
  <c r="CP28" i="15"/>
  <c r="AZ27" i="15"/>
  <c r="DL23" i="15"/>
  <c r="AU19" i="15"/>
  <c r="BY27" i="15"/>
  <c r="BE24" i="15"/>
  <c r="DH19" i="15"/>
  <c r="CV27" i="15"/>
  <c r="D25" i="15"/>
  <c r="BV19" i="15"/>
  <c r="BK26" i="15"/>
  <c r="CQ24" i="15"/>
  <c r="K23" i="15"/>
  <c r="AQ21" i="15"/>
  <c r="AA19" i="15"/>
  <c r="AV14" i="15"/>
  <c r="BJ26" i="15"/>
  <c r="BJ24" i="15"/>
  <c r="BJ22" i="15"/>
  <c r="AC20" i="15"/>
  <c r="BL17" i="15"/>
  <c r="AO25" i="15"/>
  <c r="AW23" i="15"/>
  <c r="AO21" i="15"/>
  <c r="AT18" i="15"/>
  <c r="BH26" i="15"/>
  <c r="AB24" i="15"/>
  <c r="DH21" i="15"/>
  <c r="BH19" i="15"/>
  <c r="C26" i="15"/>
  <c r="CR19" i="15"/>
  <c r="CL24" i="15"/>
  <c r="BM15" i="15"/>
  <c r="DB18" i="15"/>
  <c r="BK14" i="15"/>
  <c r="CY8" i="15"/>
  <c r="BB36" i="15"/>
  <c r="DB35" i="15"/>
  <c r="AP35" i="15"/>
  <c r="CP34" i="15"/>
  <c r="AD34" i="15"/>
  <c r="CD33" i="15"/>
  <c r="R33" i="15"/>
  <c r="BR32" i="15"/>
  <c r="F32" i="15"/>
  <c r="BF31" i="15"/>
  <c r="DF30" i="15"/>
  <c r="AT30" i="15"/>
  <c r="CT29" i="15"/>
  <c r="AH29" i="15"/>
  <c r="CH28" i="15"/>
  <c r="N28" i="15"/>
  <c r="AJ27" i="15"/>
  <c r="DD25" i="15"/>
  <c r="CF23" i="15"/>
  <c r="BH21" i="15"/>
  <c r="J19" i="15"/>
  <c r="BB8" i="15"/>
  <c r="BM27" i="15"/>
  <c r="AF26" i="15"/>
  <c r="Y24" i="15"/>
  <c r="DM21" i="15"/>
  <c r="BW19" i="15"/>
  <c r="O14" i="15"/>
  <c r="CK27" i="15"/>
  <c r="BT26" i="15"/>
  <c r="CJ24" i="15"/>
  <c r="BL22" i="15"/>
  <c r="AK19" i="15"/>
  <c r="AY27" i="15"/>
  <c r="BC26" i="15"/>
  <c r="BG25" i="15"/>
  <c r="CI24" i="15"/>
  <c r="CM23" i="15"/>
  <c r="C23" i="15"/>
  <c r="G22" i="15"/>
  <c r="K21" i="15"/>
  <c r="AD20" i="15"/>
  <c r="R19" i="15"/>
  <c r="U18" i="15"/>
  <c r="C14" i="15"/>
  <c r="AH27" i="15"/>
  <c r="AT26" i="15"/>
  <c r="AH25" i="15"/>
  <c r="BB24" i="15"/>
  <c r="AP23" i="15"/>
  <c r="AD22" i="15"/>
  <c r="AP21" i="15"/>
  <c r="T20" i="15"/>
  <c r="Z19" i="15"/>
  <c r="AF17" i="15"/>
  <c r="X10" i="15"/>
  <c r="AG25" i="15"/>
  <c r="U24" i="15"/>
  <c r="AO23" i="15"/>
  <c r="AC22" i="15"/>
  <c r="DE20" i="15"/>
  <c r="DC19" i="15"/>
  <c r="AH18" i="15"/>
  <c r="AI14" i="15"/>
  <c r="AZ26" i="15"/>
  <c r="X25" i="15"/>
  <c r="T24" i="15"/>
  <c r="DD22" i="15"/>
  <c r="CZ21" i="15"/>
  <c r="BB20" i="15"/>
  <c r="E19" i="15"/>
  <c r="CY13" i="15"/>
  <c r="DG25" i="15"/>
  <c r="W23" i="15"/>
  <c r="CI19" i="15"/>
  <c r="DJ26" i="15"/>
  <c r="CD24" i="15"/>
  <c r="C19" i="15"/>
  <c r="BR12" i="15"/>
  <c r="Z16" i="15"/>
  <c r="BM17" i="15"/>
  <c r="Y16" i="15"/>
  <c r="AY14" i="15"/>
  <c r="BE11" i="15"/>
  <c r="CO8" i="15"/>
  <c r="AT36" i="15"/>
  <c r="CT35" i="15"/>
  <c r="AH35" i="15"/>
  <c r="CH34" i="15"/>
  <c r="V34" i="15"/>
  <c r="BV33" i="15"/>
  <c r="J33" i="15"/>
  <c r="BJ32" i="15"/>
  <c r="DJ31" i="15"/>
  <c r="AX31" i="15"/>
  <c r="CX30" i="15"/>
  <c r="AL30" i="15"/>
  <c r="CL29" i="15"/>
  <c r="Z29" i="15"/>
  <c r="BZ28" i="15"/>
  <c r="E28" i="15"/>
  <c r="T27" i="15"/>
  <c r="BX25" i="15"/>
  <c r="AZ23" i="15"/>
  <c r="AB21" i="15"/>
  <c r="CK18" i="15"/>
  <c r="V28" i="15"/>
  <c r="AW27" i="15"/>
  <c r="I26" i="15"/>
  <c r="DE23" i="15"/>
  <c r="CG21" i="15"/>
  <c r="AM19" i="15"/>
  <c r="BU11" i="15"/>
  <c r="BX27" i="15"/>
  <c r="AW26" i="15"/>
  <c r="BD24" i="15"/>
  <c r="AF22" i="15"/>
  <c r="DM18" i="15"/>
  <c r="S27" i="15"/>
  <c r="AU26" i="15"/>
  <c r="AY25" i="15"/>
  <c r="CA24" i="15"/>
  <c r="CE23" i="15"/>
  <c r="CI22" i="15"/>
  <c r="DK21" i="15"/>
  <c r="C21" i="15"/>
  <c r="U20" i="15"/>
  <c r="I19" i="15"/>
  <c r="AN17" i="15"/>
  <c r="BH13" i="15"/>
  <c r="Z27" i="15"/>
  <c r="AL26" i="15"/>
  <c r="Z25" i="15"/>
  <c r="N24" i="15"/>
  <c r="AH23" i="15"/>
  <c r="V22" i="15"/>
  <c r="AH21" i="15"/>
  <c r="K20" i="15"/>
  <c r="CR18" i="15"/>
  <c r="DL16" i="15"/>
  <c r="J9" i="15"/>
  <c r="Y25" i="15"/>
  <c r="M24" i="15"/>
  <c r="DM22" i="15"/>
  <c r="M22" i="15"/>
  <c r="CW20" i="15"/>
  <c r="CB19" i="15"/>
  <c r="O18" i="15"/>
  <c r="C12" i="15"/>
  <c r="AR26" i="15"/>
  <c r="P25" i="15"/>
  <c r="L24" i="15"/>
  <c r="CF22" i="15"/>
  <c r="BD21" i="15"/>
  <c r="AS20" i="15"/>
  <c r="DH18" i="15"/>
  <c r="E9" i="15"/>
  <c r="BK25" i="15"/>
  <c r="K22" i="15"/>
  <c r="AF19" i="15"/>
  <c r="DB26" i="15"/>
  <c r="R24" i="15"/>
  <c r="DF18" i="15"/>
  <c r="CI17" i="15"/>
  <c r="J16" i="15"/>
  <c r="AW17" i="15"/>
  <c r="BL11" i="15"/>
  <c r="AO14" i="15"/>
  <c r="BI7" i="15"/>
  <c r="CZ12" i="15"/>
  <c r="AL36" i="15"/>
  <c r="CL35" i="15"/>
  <c r="Z35" i="15"/>
  <c r="BZ34" i="15"/>
  <c r="N34" i="15"/>
  <c r="BN33" i="15"/>
  <c r="B33" i="15"/>
  <c r="BB32" i="15"/>
  <c r="DB31" i="15"/>
  <c r="AP31" i="15"/>
  <c r="CP30" i="15"/>
  <c r="AD30" i="15"/>
  <c r="CD29" i="15"/>
  <c r="R29" i="15"/>
  <c r="BQ28" i="15"/>
  <c r="DH27" i="15"/>
  <c r="D27" i="15"/>
  <c r="AR25" i="15"/>
  <c r="T23" i="15"/>
  <c r="DH20" i="15"/>
  <c r="AW18" i="15"/>
  <c r="M28" i="15"/>
  <c r="AG27" i="15"/>
  <c r="CW25" i="15"/>
  <c r="BY23" i="15"/>
  <c r="BA21" i="15"/>
  <c r="B19" i="15"/>
  <c r="CC6" i="15"/>
  <c r="BL27" i="15"/>
  <c r="AC26" i="15"/>
  <c r="X24" i="15"/>
  <c r="DL21" i="15"/>
  <c r="CB18" i="15"/>
  <c r="K27" i="15"/>
  <c r="AM26" i="15"/>
  <c r="AQ25" i="15"/>
  <c r="AU24" i="15"/>
  <c r="BW23" i="15"/>
  <c r="CA22" i="15"/>
  <c r="DC21" i="15"/>
  <c r="DG20" i="15"/>
  <c r="CV19" i="15"/>
  <c r="DL18" i="15"/>
  <c r="H17" i="15"/>
  <c r="DE12" i="15"/>
  <c r="R27" i="15"/>
  <c r="F26" i="15"/>
  <c r="R25" i="15"/>
  <c r="F24" i="15"/>
  <c r="Z23" i="15"/>
  <c r="N22" i="15"/>
  <c r="B21" i="15"/>
  <c r="DM19" i="15"/>
  <c r="CI18" i="15"/>
  <c r="AZ16" i="15"/>
  <c r="BD4" i="15"/>
  <c r="CW24" i="15"/>
  <c r="E24" i="15"/>
  <c r="DE22" i="15"/>
  <c r="E22" i="15"/>
  <c r="CN20" i="15"/>
  <c r="AQ19" i="15"/>
  <c r="DK17" i="15"/>
  <c r="X11" i="15"/>
  <c r="AJ26" i="15"/>
  <c r="DD24" i="15"/>
  <c r="CB23" i="15"/>
  <c r="BX22" i="15"/>
  <c r="AV21" i="15"/>
  <c r="AJ20" i="15"/>
  <c r="CY18" i="15"/>
  <c r="CI27" i="15"/>
  <c r="BC25" i="15"/>
  <c r="CA21" i="15"/>
  <c r="BW18" i="15"/>
  <c r="BF26" i="15"/>
  <c r="DJ22" i="15"/>
  <c r="K18" i="15"/>
  <c r="BG16" i="15"/>
  <c r="CJ14" i="15"/>
  <c r="BE15" i="15"/>
  <c r="BP17" i="15"/>
  <c r="BV17" i="15"/>
  <c r="AC7" i="15"/>
  <c r="BZ7" i="15"/>
  <c r="AD36" i="15"/>
  <c r="CD35" i="15"/>
  <c r="R35" i="15"/>
  <c r="BR34" i="15"/>
  <c r="F34" i="15"/>
  <c r="BF33" i="15"/>
  <c r="DF32" i="15"/>
  <c r="AT32" i="15"/>
  <c r="CT31" i="15"/>
  <c r="AH31" i="15"/>
  <c r="CH30" i="15"/>
  <c r="V30" i="15"/>
  <c r="BV29" i="15"/>
  <c r="J29" i="15"/>
  <c r="BH28" i="15"/>
  <c r="CX27" i="15"/>
  <c r="CS26" i="15"/>
  <c r="L25" i="15"/>
  <c r="CZ22" i="15"/>
  <c r="BY20" i="15"/>
  <c r="CY17" i="15"/>
  <c r="D28" i="15"/>
  <c r="Q27" i="15"/>
  <c r="BQ25" i="15"/>
  <c r="AS23" i="15"/>
  <c r="U21" i="15"/>
  <c r="CC18" i="15"/>
  <c r="U28" i="15"/>
  <c r="AV27" i="15"/>
  <c r="H26" i="15"/>
  <c r="DD23" i="15"/>
  <c r="CF21" i="15"/>
  <c r="AK18" i="15"/>
  <c r="C27" i="15"/>
  <c r="G26" i="15"/>
  <c r="AI25" i="15"/>
  <c r="AM24" i="15"/>
  <c r="BO23" i="15"/>
  <c r="BS22" i="15"/>
  <c r="BW21" i="15"/>
  <c r="CY20" i="15"/>
  <c r="CM19" i="15"/>
  <c r="DC18" i="15"/>
  <c r="CN16" i="15"/>
  <c r="W8" i="15"/>
  <c r="J27" i="15"/>
  <c r="DJ25" i="15"/>
  <c r="J25" i="15"/>
  <c r="DJ23" i="15"/>
  <c r="CX22" i="15"/>
  <c r="DJ21" i="15"/>
  <c r="CX20" i="15"/>
  <c r="DD19" i="15"/>
  <c r="BZ18" i="15"/>
  <c r="AN15" i="15"/>
  <c r="DA25" i="15"/>
  <c r="CO24" i="15"/>
  <c r="DI23" i="15"/>
  <c r="CW22" i="15"/>
  <c r="CK21" i="15"/>
  <c r="CE20" i="15"/>
  <c r="AH19" i="15"/>
  <c r="CP17" i="15"/>
  <c r="CZ7" i="15"/>
  <c r="CZ25" i="15"/>
  <c r="CV24" i="15"/>
  <c r="BT23" i="15"/>
  <c r="BP22" i="15"/>
  <c r="AN21" i="15"/>
  <c r="CS19" i="15"/>
  <c r="CP18" i="15"/>
  <c r="CA27" i="15"/>
  <c r="DC24" i="15"/>
  <c r="BS21" i="15"/>
  <c r="X17" i="15"/>
  <c r="AX26" i="15"/>
  <c r="CD22" i="15"/>
  <c r="P17" i="15"/>
  <c r="AU14" i="15"/>
  <c r="BV20" i="15"/>
  <c r="DD13" i="15"/>
  <c r="AZ15" i="15"/>
  <c r="BN17" i="15"/>
  <c r="CO12" i="15"/>
  <c r="CL8" i="15"/>
  <c r="BP20" i="15"/>
  <c r="BZ17" i="15"/>
  <c r="AQ27" i="15"/>
  <c r="CQ26" i="15"/>
  <c r="AE26" i="15"/>
  <c r="CE25" i="15"/>
  <c r="S25" i="15"/>
  <c r="BS24" i="15"/>
  <c r="G24" i="15"/>
  <c r="BG23" i="15"/>
  <c r="DG22" i="15"/>
  <c r="AU22" i="15"/>
  <c r="CU21" i="15"/>
  <c r="AI21" i="15"/>
  <c r="CG20" i="15"/>
  <c r="L20" i="15"/>
  <c r="BC19" i="15"/>
  <c r="CS18" i="15"/>
  <c r="C18" i="15"/>
  <c r="DH15" i="15"/>
  <c r="Z12" i="15"/>
  <c r="BF27" i="15"/>
  <c r="CX26" i="15"/>
  <c r="AD26" i="15"/>
  <c r="BV25" i="15"/>
  <c r="B25" i="15"/>
  <c r="AT24" i="15"/>
  <c r="CL23" i="15"/>
  <c r="J23" i="15"/>
  <c r="BB22" i="15"/>
  <c r="CT21" i="15"/>
  <c r="Z21" i="15"/>
  <c r="BM20" i="15"/>
  <c r="CU19" i="15"/>
  <c r="Q19" i="15"/>
  <c r="AI18" i="15"/>
  <c r="T16" i="15"/>
  <c r="CL12" i="15"/>
  <c r="CK25" i="15"/>
  <c r="Q25" i="15"/>
  <c r="BI24" i="15"/>
  <c r="DA23" i="15"/>
  <c r="Y23" i="15"/>
  <c r="BQ22" i="15"/>
  <c r="DI21" i="15"/>
  <c r="AG21" i="15"/>
  <c r="BL20" i="15"/>
  <c r="BS19" i="15"/>
  <c r="CQ18" i="15"/>
  <c r="BK17" i="15"/>
  <c r="DB13" i="15"/>
  <c r="DD26" i="15"/>
  <c r="AB26" i="15"/>
  <c r="AV25" i="15"/>
  <c r="CF24" i="15"/>
  <c r="D24" i="15"/>
  <c r="X23" i="15"/>
  <c r="BH22" i="15"/>
  <c r="CR21" i="15"/>
  <c r="DL20" i="15"/>
  <c r="AA20" i="15"/>
  <c r="AY19" i="15"/>
  <c r="BC18" i="15"/>
  <c r="CW7" i="15"/>
  <c r="G27" i="15"/>
  <c r="CU24" i="15"/>
  <c r="CM22" i="15"/>
  <c r="G21" i="15"/>
  <c r="BL18" i="15"/>
  <c r="CN8" i="15"/>
  <c r="DF25" i="15"/>
  <c r="CH23" i="15"/>
  <c r="DJ20" i="15"/>
  <c r="CV16" i="15"/>
  <c r="AA12" i="15"/>
  <c r="DG10" i="15"/>
  <c r="BN14" i="15"/>
  <c r="BV18" i="15"/>
  <c r="AW12" i="15"/>
  <c r="AN10" i="15"/>
  <c r="L7" i="15"/>
  <c r="Z17" i="15"/>
  <c r="AB14" i="15"/>
  <c r="AB5" i="15"/>
  <c r="BH7" i="15"/>
  <c r="AE20" i="15"/>
  <c r="BN16" i="15"/>
  <c r="AI27" i="15"/>
  <c r="CI26" i="15"/>
  <c r="W26" i="15"/>
  <c r="BW25" i="15"/>
  <c r="K25" i="15"/>
  <c r="BK24" i="15"/>
  <c r="DK23" i="15"/>
  <c r="AY23" i="15"/>
  <c r="CY22" i="15"/>
  <c r="AM22" i="15"/>
  <c r="CM21" i="15"/>
  <c r="AA21" i="15"/>
  <c r="BX20" i="15"/>
  <c r="C20" i="15"/>
  <c r="AS19" i="15"/>
  <c r="CJ18" i="15"/>
  <c r="CX17" i="15"/>
  <c r="CB15" i="15"/>
  <c r="BB10" i="15"/>
  <c r="AX27" i="15"/>
  <c r="CP26" i="15"/>
  <c r="V26" i="15"/>
  <c r="BN25" i="15"/>
  <c r="DF24" i="15"/>
  <c r="AL24" i="15"/>
  <c r="BV23" i="15"/>
  <c r="B23" i="15"/>
  <c r="AT22" i="15"/>
  <c r="CL21" i="15"/>
  <c r="R21" i="15"/>
  <c r="BD20" i="15"/>
  <c r="CL19" i="15"/>
  <c r="DK18" i="15"/>
  <c r="R18" i="15"/>
  <c r="CZ15" i="15"/>
  <c r="E12" i="15"/>
  <c r="CC25" i="15"/>
  <c r="I25" i="15"/>
  <c r="BA24" i="15"/>
  <c r="CK23" i="15"/>
  <c r="Q23" i="15"/>
  <c r="BI22" i="15"/>
  <c r="DA21" i="15"/>
  <c r="Y21" i="15"/>
  <c r="AK20" i="15"/>
  <c r="BI19" i="15"/>
  <c r="CH18" i="15"/>
  <c r="CE16" i="15"/>
  <c r="AQ13" i="15"/>
  <c r="CV26" i="15"/>
  <c r="D26" i="15"/>
  <c r="AN25" i="15"/>
  <c r="BX24" i="15"/>
  <c r="CR23" i="15"/>
  <c r="P23" i="15"/>
  <c r="AZ22" i="15"/>
  <c r="BT21" i="15"/>
  <c r="DD20" i="15"/>
  <c r="Q20" i="15"/>
  <c r="X19" i="15"/>
  <c r="AS18" i="15"/>
  <c r="AN4" i="15"/>
  <c r="BG26" i="15"/>
  <c r="AY24" i="15"/>
  <c r="CE22" i="15"/>
  <c r="BA20" i="15"/>
  <c r="BB18" i="15"/>
  <c r="BR27" i="15"/>
  <c r="AT25" i="15"/>
  <c r="BZ23" i="15"/>
  <c r="DB20" i="15"/>
  <c r="K13" i="15"/>
  <c r="AV7" i="15"/>
  <c r="AZ10" i="15"/>
  <c r="DD9" i="15"/>
  <c r="BN18" i="15"/>
  <c r="DC7" i="15"/>
  <c r="I8" i="15"/>
  <c r="AU16" i="15"/>
  <c r="BN15" i="15"/>
  <c r="AN13" i="15"/>
  <c r="L12" i="15"/>
  <c r="DF9" i="15"/>
  <c r="DG19" i="15"/>
  <c r="BB15" i="15"/>
  <c r="AA27" i="15"/>
  <c r="CA26" i="15"/>
  <c r="O26" i="15"/>
  <c r="BO25" i="15"/>
  <c r="C25" i="15"/>
  <c r="BC24" i="15"/>
  <c r="DC23" i="15"/>
  <c r="AQ23" i="15"/>
  <c r="CQ22" i="15"/>
  <c r="AE22" i="15"/>
  <c r="CE21" i="15"/>
  <c r="S21" i="15"/>
  <c r="BO20" i="15"/>
  <c r="DE19" i="15"/>
  <c r="AJ19" i="15"/>
  <c r="CA18" i="15"/>
  <c r="BT17" i="15"/>
  <c r="P15" i="15"/>
  <c r="AS9" i="15"/>
  <c r="AP27" i="15"/>
  <c r="CH26" i="15"/>
  <c r="N26" i="15"/>
  <c r="BF25" i="15"/>
  <c r="CX24" i="15"/>
  <c r="V24" i="15"/>
  <c r="BN23" i="15"/>
  <c r="DF22" i="15"/>
  <c r="AL22" i="15"/>
  <c r="CD21" i="15"/>
  <c r="J21" i="15"/>
  <c r="AU20" i="15"/>
  <c r="BT19" i="15"/>
  <c r="DA18" i="15"/>
  <c r="B18" i="15"/>
  <c r="BT15" i="15"/>
  <c r="Y11" i="15"/>
  <c r="BU25" i="15"/>
  <c r="DM24" i="15"/>
  <c r="AK24" i="15"/>
  <c r="CC23" i="15"/>
  <c r="I23" i="15"/>
  <c r="BA22" i="15"/>
  <c r="CS21" i="15"/>
  <c r="Q21" i="15"/>
  <c r="AB20" i="15"/>
  <c r="AZ19" i="15"/>
  <c r="BY18" i="15"/>
  <c r="AY16" i="15"/>
  <c r="CK12" i="15"/>
  <c r="CN26" i="15"/>
  <c r="DH25" i="15"/>
  <c r="AF25" i="15"/>
  <c r="BP24" i="15"/>
  <c r="CJ23" i="15"/>
  <c r="H23" i="15"/>
  <c r="AR22" i="15"/>
  <c r="BL21" i="15"/>
  <c r="CV20" i="15"/>
  <c r="H20" i="15"/>
  <c r="O19" i="15"/>
  <c r="AC18" i="15"/>
  <c r="AI28" i="15"/>
  <c r="K26" i="15"/>
  <c r="AQ24" i="15"/>
  <c r="BW22" i="15"/>
  <c r="AR20" i="15"/>
  <c r="BD17" i="15"/>
  <c r="BJ27" i="15"/>
  <c r="AL25" i="15"/>
  <c r="BR23" i="15"/>
  <c r="X20" i="15"/>
  <c r="Y17" i="15"/>
  <c r="CU17" i="15"/>
  <c r="V8" i="15"/>
  <c r="AN9" i="15"/>
  <c r="CC17" i="15"/>
  <c r="BQ17" i="15"/>
  <c r="BX17" i="15"/>
  <c r="CU15" i="15"/>
  <c r="BF15" i="15"/>
  <c r="CP7" i="15"/>
  <c r="K8" i="15"/>
  <c r="CT8" i="15"/>
  <c r="CS6" i="15"/>
  <c r="AQ14" i="15"/>
  <c r="BH17" i="15"/>
  <c r="AF6" i="15"/>
  <c r="I11" i="15"/>
  <c r="AX15" i="15"/>
  <c r="BD9" i="15"/>
  <c r="DJ11" i="15"/>
  <c r="D12" i="15"/>
  <c r="DL11" i="15"/>
  <c r="BI3" i="15"/>
  <c r="AV15" i="15"/>
  <c r="AX11" i="15"/>
  <c r="BN27" i="15"/>
  <c r="B27" i="15"/>
  <c r="BB26" i="15"/>
  <c r="DB25" i="15"/>
  <c r="AP25" i="15"/>
  <c r="CP24" i="15"/>
  <c r="AD24" i="15"/>
  <c r="CD23" i="15"/>
  <c r="R23" i="15"/>
  <c r="BR22" i="15"/>
  <c r="F22" i="15"/>
  <c r="BF21" i="15"/>
  <c r="DF20" i="15"/>
  <c r="AL20" i="15"/>
  <c r="CC19" i="15"/>
  <c r="H19" i="15"/>
  <c r="AU18" i="15"/>
  <c r="CF16" i="15"/>
  <c r="AL14" i="15"/>
  <c r="DB7" i="15"/>
  <c r="BE25" i="15"/>
  <c r="DE24" i="15"/>
  <c r="AS24" i="15"/>
  <c r="CS23" i="15"/>
  <c r="AG23" i="15"/>
  <c r="CG22" i="15"/>
  <c r="U22" i="15"/>
  <c r="BU21" i="15"/>
  <c r="I21" i="15"/>
  <c r="BC20" i="15"/>
  <c r="CT19" i="15"/>
  <c r="Y19" i="15"/>
  <c r="BP18" i="15"/>
  <c r="AE17" i="15"/>
  <c r="E15" i="15"/>
  <c r="V10" i="15"/>
  <c r="CF26" i="15"/>
  <c r="T26" i="15"/>
  <c r="BT25" i="15"/>
  <c r="H25" i="15"/>
  <c r="BH24" i="15"/>
  <c r="DH23" i="15"/>
  <c r="AV23" i="15"/>
  <c r="CV22" i="15"/>
  <c r="AJ22" i="15"/>
  <c r="CJ21" i="15"/>
  <c r="X21" i="15"/>
  <c r="BT20" i="15"/>
  <c r="DK19" i="15"/>
  <c r="AP19" i="15"/>
  <c r="CG18" i="15"/>
  <c r="AX16" i="15"/>
  <c r="AA28" i="15"/>
  <c r="BW26" i="15"/>
  <c r="AU25" i="15"/>
  <c r="CQ23" i="15"/>
  <c r="AA22" i="15"/>
  <c r="DK20" i="15"/>
  <c r="W19" i="15"/>
  <c r="AF15" i="15"/>
  <c r="BB27" i="15"/>
  <c r="CX25" i="15"/>
  <c r="AH24" i="15"/>
  <c r="BV22" i="15"/>
  <c r="O20" i="15"/>
  <c r="P14" i="15"/>
  <c r="DI14" i="15"/>
  <c r="AQ16" i="15"/>
  <c r="T18" i="15"/>
  <c r="AT14" i="15"/>
  <c r="BR19" i="15"/>
  <c r="CK15" i="15"/>
  <c r="BE4" i="15"/>
  <c r="AG14" i="15"/>
  <c r="H16" i="15"/>
  <c r="E5" i="15"/>
  <c r="DD8" i="15"/>
  <c r="DE13" i="15"/>
  <c r="AK9" i="15"/>
  <c r="BG10" i="15"/>
  <c r="AQ9" i="15"/>
  <c r="CI10" i="15"/>
  <c r="AC3" i="15"/>
  <c r="BM21" i="15"/>
  <c r="DM20" i="15"/>
  <c r="AT20" i="15"/>
  <c r="CK19" i="15"/>
  <c r="P19" i="15"/>
  <c r="BD18" i="15"/>
  <c r="DK16" i="15"/>
  <c r="CA14" i="15"/>
  <c r="H9" i="15"/>
  <c r="BX26" i="15"/>
  <c r="L26" i="15"/>
  <c r="BL25" i="15"/>
  <c r="DL24" i="15"/>
  <c r="AZ24" i="15"/>
  <c r="CZ23" i="15"/>
  <c r="AN23" i="15"/>
  <c r="CN22" i="15"/>
  <c r="AB22" i="15"/>
  <c r="CB21" i="15"/>
  <c r="P21" i="15"/>
  <c r="BK20" i="15"/>
  <c r="DB19" i="15"/>
  <c r="AG19" i="15"/>
  <c r="BX18" i="15"/>
  <c r="BZ14" i="15"/>
  <c r="S28" i="15"/>
  <c r="BO26" i="15"/>
  <c r="DK24" i="15"/>
  <c r="CI23" i="15"/>
  <c r="S22" i="15"/>
  <c r="BJ20" i="15"/>
  <c r="M19" i="15"/>
  <c r="DH14" i="15"/>
  <c r="F27" i="15"/>
  <c r="CP25" i="15"/>
  <c r="Z24" i="15"/>
  <c r="B22" i="15"/>
  <c r="CQ19" i="15"/>
  <c r="BX13" i="15"/>
  <c r="DF12" i="15"/>
  <c r="AA16" i="15"/>
  <c r="G18" i="15"/>
  <c r="AW10" i="15"/>
  <c r="BJ19" i="15"/>
  <c r="BU15" i="15"/>
  <c r="CW17" i="15"/>
  <c r="W14" i="15"/>
  <c r="BH15" i="15"/>
  <c r="CI16" i="15"/>
  <c r="BU8" i="15"/>
  <c r="AH13" i="15"/>
  <c r="AJ14" i="15"/>
  <c r="AD8" i="15"/>
  <c r="AG9" i="15"/>
  <c r="CT7" i="15"/>
  <c r="AJ9" i="15"/>
  <c r="M18" i="15"/>
  <c r="R16" i="15"/>
  <c r="AP13" i="15"/>
  <c r="BW28" i="15"/>
  <c r="K28" i="15"/>
  <c r="BK27" i="15"/>
  <c r="DK26" i="15"/>
  <c r="AY26" i="15"/>
  <c r="CY25" i="15"/>
  <c r="AM25" i="15"/>
  <c r="CM24" i="15"/>
  <c r="AA24" i="15"/>
  <c r="CA23" i="15"/>
  <c r="O23" i="15"/>
  <c r="BO22" i="15"/>
  <c r="C22" i="15"/>
  <c r="BC21" i="15"/>
  <c r="DC20" i="15"/>
  <c r="AI20" i="15"/>
  <c r="BY19" i="15"/>
  <c r="D19" i="15"/>
  <c r="AR18" i="15"/>
  <c r="BX16" i="15"/>
  <c r="Z14" i="15"/>
  <c r="AS7" i="15"/>
  <c r="AT27" i="15"/>
  <c r="CT26" i="15"/>
  <c r="AH26" i="15"/>
  <c r="CH25" i="15"/>
  <c r="V25" i="15"/>
  <c r="BV24" i="15"/>
  <c r="J24" i="15"/>
  <c r="BJ23" i="15"/>
  <c r="BN22" i="15"/>
  <c r="BR21" i="15"/>
  <c r="CS20" i="15"/>
  <c r="CG19" i="15"/>
  <c r="CW18" i="15"/>
  <c r="BP16" i="15"/>
  <c r="CA9" i="15"/>
  <c r="CO16" i="15"/>
  <c r="CM14" i="15"/>
  <c r="CV11" i="15"/>
  <c r="BS17" i="15"/>
  <c r="CA15" i="15"/>
  <c r="CM13" i="15"/>
  <c r="AL7" i="15"/>
  <c r="CS17" i="15"/>
  <c r="DF15" i="15"/>
  <c r="BF13" i="15"/>
  <c r="CI8" i="15"/>
  <c r="Z20" i="15"/>
  <c r="BB19" i="15"/>
  <c r="BF18" i="15"/>
  <c r="CW16" i="15"/>
  <c r="AO15" i="15"/>
  <c r="F12" i="15"/>
  <c r="Y2" i="15"/>
  <c r="BA17" i="15"/>
  <c r="BY15" i="15"/>
  <c r="K14" i="15"/>
  <c r="CB7" i="15"/>
  <c r="T17" i="15"/>
  <c r="AR15" i="15"/>
  <c r="CI11" i="15"/>
  <c r="CW3" i="15"/>
  <c r="CM15" i="15"/>
  <c r="CU13" i="15"/>
  <c r="AL8" i="15"/>
  <c r="BZ16" i="15"/>
  <c r="AP15" i="15"/>
  <c r="CE11" i="15"/>
  <c r="M14" i="15"/>
  <c r="U9" i="15"/>
  <c r="DK11" i="15"/>
  <c r="DB6" i="15"/>
  <c r="M8" i="15"/>
  <c r="AO11" i="15"/>
  <c r="DH11" i="15"/>
  <c r="DL3" i="15"/>
  <c r="CE8" i="15"/>
  <c r="BZ10" i="15"/>
  <c r="AZ3" i="15"/>
  <c r="CD8" i="15"/>
  <c r="X8" i="15"/>
  <c r="DI17" i="15"/>
  <c r="CX15" i="15"/>
  <c r="CI12" i="15"/>
  <c r="BO28" i="15"/>
  <c r="C28" i="15"/>
  <c r="BC27" i="15"/>
  <c r="DC26" i="15"/>
  <c r="AQ26" i="15"/>
  <c r="CQ25" i="15"/>
  <c r="AE25" i="15"/>
  <c r="CE24" i="15"/>
  <c r="S24" i="15"/>
  <c r="BS23" i="15"/>
  <c r="G23" i="15"/>
  <c r="BG22" i="15"/>
  <c r="DG21" i="15"/>
  <c r="AU21" i="15"/>
  <c r="CU20" i="15"/>
  <c r="Y20" i="15"/>
  <c r="BP19" i="15"/>
  <c r="DG18" i="15"/>
  <c r="AB18" i="15"/>
  <c r="AR16" i="15"/>
  <c r="CN13" i="15"/>
  <c r="AK3" i="15"/>
  <c r="AL27" i="15"/>
  <c r="CL26" i="15"/>
  <c r="Z26" i="15"/>
  <c r="BZ25" i="15"/>
  <c r="N25" i="15"/>
  <c r="BN24" i="15"/>
  <c r="B24" i="15"/>
  <c r="AD23" i="15"/>
  <c r="BF22" i="15"/>
  <c r="BJ21" i="15"/>
  <c r="CJ20" i="15"/>
  <c r="BX19" i="15"/>
  <c r="BK18" i="15"/>
  <c r="AJ16" i="15"/>
  <c r="BE8" i="15"/>
  <c r="BY16" i="15"/>
  <c r="BS14" i="15"/>
  <c r="DI9" i="15"/>
  <c r="BC17" i="15"/>
  <c r="BK15" i="15"/>
  <c r="BG13" i="15"/>
  <c r="BP5" i="15"/>
  <c r="AL17" i="15"/>
  <c r="CP15" i="15"/>
  <c r="Z13" i="15"/>
  <c r="T8" i="15"/>
  <c r="R20" i="15"/>
  <c r="V19" i="15"/>
  <c r="AX18" i="15"/>
  <c r="CG16" i="15"/>
  <c r="Y15" i="15"/>
  <c r="BW11" i="15"/>
  <c r="Q18" i="15"/>
  <c r="AS17" i="15"/>
  <c r="BQ15" i="15"/>
  <c r="BA13" i="15"/>
  <c r="M7" i="15"/>
  <c r="BT16" i="15"/>
  <c r="AJ15" i="15"/>
  <c r="BI11" i="15"/>
  <c r="BG17" i="15"/>
  <c r="CE15" i="15"/>
  <c r="BZ12" i="15"/>
  <c r="D8" i="15"/>
  <c r="BR16" i="15"/>
  <c r="DJ14" i="15"/>
  <c r="BG11" i="15"/>
  <c r="DK12" i="15"/>
  <c r="C9" i="15"/>
  <c r="DA11" i="15"/>
  <c r="BK13" i="15"/>
  <c r="DH7" i="15"/>
  <c r="AF9" i="15"/>
  <c r="CZ11" i="15"/>
  <c r="BX3" i="15"/>
  <c r="T7" i="15"/>
  <c r="BQ10" i="15"/>
  <c r="F11" i="15"/>
  <c r="BV8" i="15"/>
  <c r="P8" i="15"/>
  <c r="CM17" i="15"/>
  <c r="BR15" i="15"/>
  <c r="B12" i="15"/>
  <c r="BG28" i="15"/>
  <c r="DG27" i="15"/>
  <c r="AU27" i="15"/>
  <c r="CU26" i="15"/>
  <c r="AI26" i="15"/>
  <c r="CI25" i="15"/>
  <c r="W25" i="15"/>
  <c r="BW24" i="15"/>
  <c r="K24" i="15"/>
  <c r="BK23" i="15"/>
  <c r="DK22" i="15"/>
  <c r="AY22" i="15"/>
  <c r="CY21" i="15"/>
  <c r="AM21" i="15"/>
  <c r="CK20" i="15"/>
  <c r="P20" i="15"/>
  <c r="BG19" i="15"/>
  <c r="CX18" i="15"/>
  <c r="L18" i="15"/>
  <c r="L16" i="15"/>
  <c r="AB13" i="15"/>
  <c r="CP27" i="15"/>
  <c r="AD27" i="15"/>
  <c r="CD26" i="15"/>
  <c r="R26" i="15"/>
  <c r="BR25" i="15"/>
  <c r="F25" i="15"/>
  <c r="BF24" i="15"/>
  <c r="DF23" i="15"/>
  <c r="V23" i="15"/>
  <c r="AX22" i="15"/>
  <c r="BB21" i="15"/>
  <c r="AZ20" i="15"/>
  <c r="BO19" i="15"/>
  <c r="BA18" i="15"/>
  <c r="D16" i="15"/>
  <c r="CL6" i="15"/>
  <c r="M16" i="15"/>
  <c r="AW14" i="15"/>
  <c r="AU9" i="15"/>
  <c r="AM17" i="15"/>
  <c r="AU15" i="15"/>
  <c r="Y12" i="15"/>
  <c r="AB3" i="15"/>
  <c r="V17" i="15"/>
  <c r="BZ15" i="15"/>
  <c r="DC12" i="15"/>
  <c r="CT20" i="15"/>
  <c r="J20" i="15"/>
  <c r="N19" i="15"/>
  <c r="AP18" i="15"/>
  <c r="BQ16" i="15"/>
  <c r="BG14" i="15"/>
  <c r="AA11" i="15"/>
  <c r="I18" i="15"/>
  <c r="AK17" i="15"/>
  <c r="BI15" i="15"/>
  <c r="Q12" i="15"/>
  <c r="AN6" i="15"/>
  <c r="BL16" i="15"/>
  <c r="DB14" i="15"/>
  <c r="AK11" i="15"/>
  <c r="DG16" i="15"/>
  <c r="BW15" i="15"/>
  <c r="BE12" i="15"/>
  <c r="CN3" i="15"/>
  <c r="BJ16" i="15"/>
  <c r="AD14" i="15"/>
  <c r="AH11" i="15"/>
  <c r="DB12" i="15"/>
  <c r="DL5" i="15"/>
  <c r="CN11" i="15"/>
  <c r="AD12" i="15"/>
  <c r="CO7" i="15"/>
  <c r="O9" i="15"/>
  <c r="CW10" i="15"/>
  <c r="AJ3" i="15"/>
  <c r="L13" i="15"/>
  <c r="BH10" i="15"/>
  <c r="DJ10" i="15"/>
  <c r="BT7" i="15"/>
  <c r="H8" i="15"/>
  <c r="BJ17" i="15"/>
  <c r="AL15" i="15"/>
  <c r="W11" i="15"/>
  <c r="AY28" i="15"/>
  <c r="CY27" i="15"/>
  <c r="AM27" i="15"/>
  <c r="CM26" i="15"/>
  <c r="AA26" i="15"/>
  <c r="CA25" i="15"/>
  <c r="O25" i="15"/>
  <c r="BO24" i="15"/>
  <c r="C24" i="15"/>
  <c r="BC23" i="15"/>
  <c r="DC22" i="15"/>
  <c r="AQ22" i="15"/>
  <c r="CQ21" i="15"/>
  <c r="AE21" i="15"/>
  <c r="CB20" i="15"/>
  <c r="G20" i="15"/>
  <c r="AX19" i="15"/>
  <c r="CO18" i="15"/>
  <c r="DC17" i="15"/>
  <c r="CR15" i="15"/>
  <c r="BQ12" i="15"/>
  <c r="CH27" i="15"/>
  <c r="V27" i="15"/>
  <c r="BV26" i="15"/>
  <c r="J26" i="15"/>
  <c r="BJ25" i="15"/>
  <c r="DJ24" i="15"/>
  <c r="AX24" i="15"/>
  <c r="CX23" i="15"/>
  <c r="N23" i="15"/>
  <c r="R22" i="15"/>
  <c r="AT21" i="15"/>
  <c r="AQ20" i="15"/>
  <c r="BF19" i="15"/>
  <c r="AM18" i="15"/>
  <c r="CX14" i="15"/>
  <c r="P2" i="15"/>
  <c r="DI15" i="15"/>
  <c r="AA14" i="15"/>
  <c r="CP8" i="15"/>
  <c r="CM16" i="15"/>
  <c r="AE15" i="15"/>
  <c r="CS11" i="15"/>
  <c r="BO18" i="15"/>
  <c r="F17" i="15"/>
  <c r="N15" i="15"/>
  <c r="BN12" i="15"/>
  <c r="CL20" i="15"/>
  <c r="B20" i="15"/>
  <c r="F19" i="15"/>
  <c r="DF17" i="15"/>
  <c r="BA16" i="15"/>
  <c r="AM14" i="15"/>
  <c r="CG10" i="15"/>
  <c r="DM17" i="15"/>
  <c r="CK16" i="15"/>
  <c r="BA15" i="15"/>
  <c r="DG11" i="15"/>
  <c r="AF18" i="15"/>
  <c r="BD16" i="15"/>
  <c r="V14" i="15"/>
  <c r="K11" i="15"/>
  <c r="CY16" i="15"/>
  <c r="AI15" i="15"/>
  <c r="AI12" i="15"/>
  <c r="CL17" i="15"/>
  <c r="BB16" i="15"/>
  <c r="R14" i="15"/>
  <c r="F10" i="15"/>
  <c r="CS12" i="15"/>
  <c r="AZ14" i="15"/>
  <c r="CB11" i="15"/>
  <c r="S12" i="15"/>
  <c r="B14" i="15"/>
  <c r="DI8" i="15"/>
  <c r="BM9" i="15"/>
  <c r="CZ2" i="15"/>
  <c r="D13" i="15"/>
  <c r="AW9" i="15"/>
  <c r="DB10" i="15"/>
  <c r="I4" i="15"/>
  <c r="DL7" i="15"/>
  <c r="AD17" i="15"/>
  <c r="D15" i="15"/>
  <c r="U10" i="15"/>
  <c r="AQ28" i="15"/>
  <c r="CQ27" i="15"/>
  <c r="AE27" i="15"/>
  <c r="CE26" i="15"/>
  <c r="S26" i="15"/>
  <c r="BS25" i="15"/>
  <c r="G25" i="15"/>
  <c r="BG24" i="15"/>
  <c r="DG23" i="15"/>
  <c r="AU23" i="15"/>
  <c r="CU22" i="15"/>
  <c r="AI22" i="15"/>
  <c r="CI21" i="15"/>
  <c r="W21" i="15"/>
  <c r="BS20" i="15"/>
  <c r="DJ19" i="15"/>
  <c r="AO19" i="15"/>
  <c r="CF18" i="15"/>
  <c r="CJ17" i="15"/>
  <c r="BL15" i="15"/>
  <c r="CT11" i="15"/>
  <c r="BZ27" i="15"/>
  <c r="N27" i="15"/>
  <c r="BN26" i="15"/>
  <c r="B26" i="15"/>
  <c r="BB25" i="15"/>
  <c r="DB24" i="15"/>
  <c r="AP24" i="15"/>
  <c r="CP23" i="15"/>
  <c r="F23" i="15"/>
  <c r="J22" i="15"/>
  <c r="AL21" i="15"/>
  <c r="AG20" i="15"/>
  <c r="U19" i="15"/>
  <c r="AA18" i="15"/>
  <c r="BF14" i="15"/>
  <c r="CK17" i="15"/>
  <c r="CS15" i="15"/>
  <c r="AC13" i="15"/>
  <c r="Y8" i="15"/>
  <c r="BW16" i="15"/>
  <c r="O15" i="15"/>
  <c r="AV11" i="15"/>
  <c r="AE18" i="15"/>
  <c r="DB16" i="15"/>
  <c r="DF14" i="15"/>
  <c r="W12" i="15"/>
  <c r="CD20" i="15"/>
  <c r="CH19" i="15"/>
  <c r="DJ18" i="15"/>
  <c r="CR17" i="15"/>
  <c r="AK16" i="15"/>
  <c r="Q14" i="15"/>
  <c r="BH8" i="15"/>
  <c r="DE17" i="15"/>
  <c r="CC16" i="15"/>
  <c r="M15" i="15"/>
  <c r="CJ11" i="15"/>
  <c r="CF17" i="15"/>
  <c r="AV16" i="15"/>
  <c r="I14" i="15"/>
  <c r="CR9" i="15"/>
  <c r="CQ16" i="15"/>
  <c r="BU14" i="15"/>
  <c r="N12" i="15"/>
  <c r="CD17" i="15"/>
  <c r="N16" i="15"/>
  <c r="G14" i="15"/>
  <c r="CF3" i="15"/>
  <c r="CH12" i="15"/>
  <c r="AR14" i="15"/>
  <c r="Q10" i="15"/>
  <c r="I12" i="15"/>
  <c r="CX12" i="15"/>
  <c r="CS8" i="15"/>
  <c r="BC9" i="15"/>
  <c r="AR10" i="15"/>
  <c r="DH12" i="15"/>
  <c r="DG7" i="15"/>
  <c r="CT10" i="15"/>
  <c r="CO3" i="15"/>
  <c r="DE5" i="15"/>
  <c r="BB23" i="15"/>
  <c r="DB22" i="15"/>
  <c r="AP22" i="15"/>
  <c r="CP21" i="15"/>
  <c r="AD21" i="15"/>
  <c r="CA20" i="15"/>
  <c r="F20" i="15"/>
  <c r="AW19" i="15"/>
  <c r="CN18" i="15"/>
  <c r="DA17" i="15"/>
  <c r="CJ15" i="15"/>
  <c r="AU12" i="15"/>
  <c r="BU17" i="15"/>
  <c r="BI16" i="15"/>
  <c r="AW15" i="15"/>
  <c r="F14" i="15"/>
  <c r="AY11" i="15"/>
  <c r="CF5" i="15"/>
  <c r="W17" i="15"/>
  <c r="K16" i="15"/>
  <c r="DG14" i="15"/>
  <c r="AA13" i="15"/>
  <c r="DE9" i="15"/>
  <c r="BG18" i="15"/>
  <c r="CH17" i="15"/>
  <c r="BV16" i="15"/>
  <c r="BJ15" i="15"/>
  <c r="X14" i="15"/>
  <c r="CR11" i="15"/>
  <c r="AF7" i="15"/>
  <c r="BF20" i="15"/>
  <c r="DF19" i="15"/>
  <c r="AT19" i="15"/>
  <c r="CT18" i="15"/>
  <c r="AD18" i="15"/>
  <c r="AG17" i="15"/>
  <c r="U16" i="15"/>
  <c r="G15" i="15"/>
  <c r="AS13" i="15"/>
  <c r="AA10" i="15"/>
  <c r="AO18" i="15"/>
  <c r="CO17" i="15"/>
  <c r="AC17" i="15"/>
  <c r="Q16" i="15"/>
  <c r="C15" i="15"/>
  <c r="AK13" i="15"/>
  <c r="L10" i="15"/>
  <c r="X18" i="15"/>
  <c r="L17" i="15"/>
  <c r="DL15" i="15"/>
  <c r="CR14" i="15"/>
  <c r="B13" i="15"/>
  <c r="BI9" i="15"/>
  <c r="AY17" i="15"/>
  <c r="AM16" i="15"/>
  <c r="AA15" i="15"/>
  <c r="CE13" i="15"/>
  <c r="CQ10" i="15"/>
  <c r="BT2" i="15"/>
  <c r="R17" i="15"/>
  <c r="F16" i="15"/>
  <c r="CZ14" i="15"/>
  <c r="R13" i="15"/>
  <c r="CL9" i="15"/>
  <c r="E14" i="15"/>
  <c r="AS11" i="15"/>
  <c r="AZ5" i="15"/>
  <c r="AF13" i="15"/>
  <c r="C10" i="15"/>
  <c r="BC13" i="15"/>
  <c r="AS10" i="15"/>
  <c r="DF13" i="15"/>
  <c r="AB11" i="15"/>
  <c r="BT4" i="15"/>
  <c r="CN10" i="15"/>
  <c r="DK7" i="15"/>
  <c r="AI10" i="15"/>
  <c r="DJ6" i="15"/>
  <c r="DD11" i="15"/>
  <c r="AM9" i="15"/>
  <c r="L3" i="15"/>
  <c r="CX9" i="15"/>
  <c r="BD7" i="15"/>
  <c r="AB9" i="15"/>
  <c r="BY5" i="15"/>
  <c r="AT23" i="15"/>
  <c r="CT22" i="15"/>
  <c r="AH22" i="15"/>
  <c r="CH21" i="15"/>
  <c r="V21" i="15"/>
  <c r="BR20" i="15"/>
  <c r="DI19" i="15"/>
  <c r="AN19" i="15"/>
  <c r="CE18" i="15"/>
  <c r="CB17" i="15"/>
  <c r="BD15" i="15"/>
  <c r="BV11" i="15"/>
  <c r="BE17" i="15"/>
  <c r="AS16" i="15"/>
  <c r="AG15" i="15"/>
  <c r="CO13" i="15"/>
  <c r="DI10" i="15"/>
  <c r="AR3" i="15"/>
  <c r="G17" i="15"/>
  <c r="DG15" i="15"/>
  <c r="CK14" i="15"/>
  <c r="DD12" i="15"/>
  <c r="AP9" i="15"/>
  <c r="AY18" i="15"/>
  <c r="BR17" i="15"/>
  <c r="BF16" i="15"/>
  <c r="AT15" i="15"/>
  <c r="DL13" i="15"/>
  <c r="AU11" i="15"/>
  <c r="BI5" i="15"/>
  <c r="AX20" i="15"/>
  <c r="CX19" i="15"/>
  <c r="AL19" i="15"/>
  <c r="CL18" i="15"/>
  <c r="S18" i="15"/>
  <c r="Q17" i="15"/>
  <c r="E16" i="15"/>
  <c r="CY14" i="15"/>
  <c r="M13" i="15"/>
  <c r="CB9" i="15"/>
  <c r="AG18" i="15"/>
  <c r="CG17" i="15"/>
  <c r="U17" i="15"/>
  <c r="I16" i="15"/>
  <c r="DC14" i="15"/>
  <c r="U13" i="15"/>
  <c r="CT9" i="15"/>
  <c r="P18" i="15"/>
  <c r="D17" i="15"/>
  <c r="DD15" i="15"/>
  <c r="CH14" i="15"/>
  <c r="CV12" i="15"/>
  <c r="Z9" i="15"/>
  <c r="AQ17" i="15"/>
  <c r="AE16" i="15"/>
  <c r="S15" i="15"/>
  <c r="BO13" i="15"/>
  <c r="BO10" i="15"/>
  <c r="V18" i="15"/>
  <c r="J17" i="15"/>
  <c r="DJ15" i="15"/>
  <c r="CP14" i="15"/>
  <c r="DL12" i="15"/>
  <c r="BE9" i="15"/>
  <c r="DI13" i="15"/>
  <c r="AG11" i="15"/>
  <c r="CR4" i="15"/>
  <c r="X13" i="15"/>
  <c r="CZ9" i="15"/>
  <c r="AU13" i="15"/>
  <c r="AD10" i="15"/>
  <c r="CX13" i="15"/>
  <c r="O11" i="15"/>
  <c r="H4" i="15"/>
  <c r="CE10" i="15"/>
  <c r="DA7" i="15"/>
  <c r="Y10" i="15"/>
  <c r="CR6" i="15"/>
  <c r="CU11" i="15"/>
  <c r="AA9" i="15"/>
  <c r="CJ2" i="15"/>
  <c r="CP9" i="15"/>
  <c r="AN7" i="15"/>
  <c r="T9" i="15"/>
  <c r="AS5" i="15"/>
  <c r="AL23" i="15"/>
  <c r="CL22" i="15"/>
  <c r="Z22" i="15"/>
  <c r="BZ21" i="15"/>
  <c r="N21" i="15"/>
  <c r="BI20" i="15"/>
  <c r="CZ19" i="15"/>
  <c r="AE19" i="15"/>
  <c r="BU18" i="15"/>
  <c r="AV17" i="15"/>
  <c r="X15" i="15"/>
  <c r="CF10" i="15"/>
  <c r="AO17" i="15"/>
  <c r="AC16" i="15"/>
  <c r="Q15" i="15"/>
  <c r="BI13" i="15"/>
  <c r="BD10" i="15"/>
  <c r="DH17" i="15"/>
  <c r="DC16" i="15"/>
  <c r="CQ15" i="15"/>
  <c r="BO14" i="15"/>
  <c r="BO12" i="15"/>
  <c r="CK8" i="15"/>
  <c r="AQ18" i="15"/>
  <c r="BB17" i="15"/>
  <c r="AP16" i="15"/>
  <c r="AD15" i="15"/>
  <c r="CL13" i="15"/>
  <c r="DE10" i="15"/>
  <c r="M3" i="15"/>
  <c r="AP20" i="15"/>
  <c r="CP19" i="15"/>
  <c r="AD19" i="15"/>
  <c r="CD18" i="15"/>
  <c r="E18" i="15"/>
  <c r="DM16" i="15"/>
  <c r="DA15" i="15"/>
  <c r="CC14" i="15"/>
  <c r="CM12" i="15"/>
  <c r="M9" i="15"/>
  <c r="Y18" i="15"/>
  <c r="BY17" i="15"/>
  <c r="M17" i="15"/>
  <c r="DM15" i="15"/>
  <c r="CS14" i="15"/>
  <c r="C13" i="15"/>
  <c r="BL9" i="15"/>
  <c r="H18" i="15"/>
  <c r="DH16" i="15"/>
  <c r="CV15" i="15"/>
  <c r="BV14" i="15"/>
  <c r="CA12" i="15"/>
  <c r="DE8" i="15"/>
  <c r="AI17" i="15"/>
  <c r="W16" i="15"/>
  <c r="K15" i="15"/>
  <c r="AY13" i="15"/>
  <c r="AL10" i="15"/>
  <c r="N18" i="15"/>
  <c r="B17" i="15"/>
  <c r="DB15" i="15"/>
  <c r="CD14" i="15"/>
  <c r="CT12" i="15"/>
  <c r="X9" i="15"/>
  <c r="DA13" i="15"/>
  <c r="T11" i="15"/>
  <c r="Y4" i="15"/>
  <c r="P13" i="15"/>
  <c r="CJ9" i="15"/>
  <c r="AM13" i="15"/>
  <c r="O10" i="15"/>
  <c r="CP13" i="15"/>
  <c r="DL10" i="15"/>
  <c r="AS3" i="15"/>
  <c r="BU10" i="15"/>
  <c r="CN7" i="15"/>
  <c r="P10" i="15"/>
  <c r="BD6" i="15"/>
  <c r="CL11" i="15"/>
  <c r="Q9" i="15"/>
  <c r="AN2" i="15"/>
  <c r="CH9" i="15"/>
  <c r="X7" i="15"/>
  <c r="L9" i="15"/>
  <c r="M5" i="15"/>
  <c r="E17" i="15"/>
  <c r="BE16" i="15"/>
  <c r="DE15" i="15"/>
  <c r="AS15" i="15"/>
  <c r="CI14" i="15"/>
  <c r="DK13" i="15"/>
  <c r="CW12" i="15"/>
  <c r="AM11" i="15"/>
  <c r="AC9" i="15"/>
  <c r="T5" i="15"/>
  <c r="DL17" i="15"/>
  <c r="AZ17" i="15"/>
  <c r="CZ16" i="15"/>
  <c r="AN16" i="15"/>
  <c r="CN15" i="15"/>
  <c r="AB15" i="15"/>
  <c r="BL14" i="15"/>
  <c r="CF13" i="15"/>
  <c r="BF12" i="15"/>
  <c r="CS10" i="15"/>
  <c r="BX8" i="15"/>
  <c r="CB2" i="15"/>
  <c r="AA17" i="15"/>
  <c r="CA16" i="15"/>
  <c r="O16" i="15"/>
  <c r="BO15" i="15"/>
  <c r="DK14" i="15"/>
  <c r="AE14" i="15"/>
  <c r="AI13" i="15"/>
  <c r="DE11" i="15"/>
  <c r="H10" i="15"/>
  <c r="BX7" i="15"/>
  <c r="F18" i="15"/>
  <c r="BF17" i="15"/>
  <c r="DF16" i="15"/>
  <c r="AT16" i="15"/>
  <c r="CT15" i="15"/>
  <c r="AH15" i="15"/>
  <c r="BT14" i="15"/>
  <c r="CT13" i="15"/>
  <c r="BY12" i="15"/>
  <c r="G11" i="15"/>
  <c r="DA8" i="15"/>
  <c r="BY14" i="15"/>
  <c r="BM13" i="15"/>
  <c r="AG12" i="15"/>
  <c r="BK10" i="15"/>
  <c r="AI8" i="15"/>
  <c r="DL14" i="15"/>
  <c r="CZ13" i="15"/>
  <c r="CG12" i="15"/>
  <c r="R11" i="15"/>
  <c r="B9" i="15"/>
  <c r="Q4" i="15"/>
  <c r="DI12" i="15"/>
  <c r="BC11" i="15"/>
  <c r="AX9" i="15"/>
  <c r="CW5" i="15"/>
  <c r="BB13" i="15"/>
  <c r="R12" i="15"/>
  <c r="AQ10" i="15"/>
  <c r="L8" i="15"/>
  <c r="BX12" i="15"/>
  <c r="BF11" i="15"/>
  <c r="AB10" i="15"/>
  <c r="CQ8" i="15"/>
  <c r="CT6" i="15"/>
  <c r="DM10" i="15"/>
  <c r="CE9" i="15"/>
  <c r="AC8" i="15"/>
  <c r="CB4" i="15"/>
  <c r="BL12" i="15"/>
  <c r="AR11" i="15"/>
  <c r="N10" i="15"/>
  <c r="CA8" i="15"/>
  <c r="AV6" i="15"/>
  <c r="BR11" i="15"/>
  <c r="BF10" i="15"/>
  <c r="AT9" i="15"/>
  <c r="AH8" i="15"/>
  <c r="AG6" i="15"/>
  <c r="CV9" i="15"/>
  <c r="CJ8" i="15"/>
  <c r="BA7" i="15"/>
  <c r="CG3" i="15"/>
  <c r="DI16" i="15"/>
  <c r="AW16" i="15"/>
  <c r="CW15" i="15"/>
  <c r="AK15" i="15"/>
  <c r="BW14" i="15"/>
  <c r="CW13" i="15"/>
  <c r="CC12" i="15"/>
  <c r="M11" i="15"/>
  <c r="DF8" i="15"/>
  <c r="DE3" i="15"/>
  <c r="DD17" i="15"/>
  <c r="AR17" i="15"/>
  <c r="CR16" i="15"/>
  <c r="AF16" i="15"/>
  <c r="CF15" i="15"/>
  <c r="T15" i="15"/>
  <c r="BB14" i="15"/>
  <c r="BP13" i="15"/>
  <c r="AK12" i="15"/>
  <c r="BP10" i="15"/>
  <c r="AO8" i="15"/>
  <c r="CE17" i="15"/>
  <c r="S17" i="15"/>
  <c r="BS16" i="15"/>
  <c r="G16" i="15"/>
  <c r="BG15" i="15"/>
  <c r="DA14" i="15"/>
  <c r="S14" i="15"/>
  <c r="S13" i="15"/>
  <c r="CF11" i="15"/>
  <c r="CO9" i="15"/>
  <c r="F7" i="15"/>
  <c r="DJ17" i="15"/>
  <c r="AX17" i="15"/>
  <c r="CX16" i="15"/>
  <c r="AL16" i="15"/>
  <c r="CL15" i="15"/>
  <c r="Z15" i="15"/>
  <c r="BJ14" i="15"/>
  <c r="CD13" i="15"/>
  <c r="BC12" i="15"/>
  <c r="CP10" i="15"/>
  <c r="BR8" i="15"/>
  <c r="BQ14" i="15"/>
  <c r="BE13" i="15"/>
  <c r="V12" i="15"/>
  <c r="AV10" i="15"/>
  <c r="Q8" i="15"/>
  <c r="DD14" i="15"/>
  <c r="CR13" i="15"/>
  <c r="BV12" i="15"/>
  <c r="D11" i="15"/>
  <c r="CV8" i="15"/>
  <c r="BQ3" i="15"/>
  <c r="CY12" i="15"/>
  <c r="AP11" i="15"/>
  <c r="AH9" i="15"/>
  <c r="AC5" i="15"/>
  <c r="AT13" i="15"/>
  <c r="G12" i="15"/>
  <c r="AC10" i="15"/>
  <c r="DE7" i="15"/>
  <c r="BP12" i="15"/>
  <c r="AW11" i="15"/>
  <c r="S10" i="15"/>
  <c r="CG8" i="15"/>
  <c r="BT6" i="15"/>
  <c r="DD10" i="15"/>
  <c r="BU9" i="15"/>
  <c r="S8" i="15"/>
  <c r="AF4" i="15"/>
  <c r="BD12" i="15"/>
  <c r="AI11" i="15"/>
  <c r="E10" i="15"/>
  <c r="BQ8" i="15"/>
  <c r="H6" i="15"/>
  <c r="BJ11" i="15"/>
  <c r="AX10" i="15"/>
  <c r="AL9" i="15"/>
  <c r="Z8" i="15"/>
  <c r="DM5" i="15"/>
  <c r="CN9" i="15"/>
  <c r="CB8" i="15"/>
  <c r="AK7" i="15"/>
  <c r="BA3" i="15"/>
  <c r="DA16" i="15"/>
  <c r="AO16" i="15"/>
  <c r="CO15" i="15"/>
  <c r="AC15" i="15"/>
  <c r="BM14" i="15"/>
  <c r="CG13" i="15"/>
  <c r="BG12" i="15"/>
  <c r="CV10" i="15"/>
  <c r="BY8" i="15"/>
  <c r="CK2" i="15"/>
  <c r="CV17" i="15"/>
  <c r="AJ17" i="15"/>
  <c r="CJ16" i="15"/>
  <c r="X16" i="15"/>
  <c r="BX15" i="15"/>
  <c r="L15" i="15"/>
  <c r="AP14" i="15"/>
  <c r="AZ13" i="15"/>
  <c r="O12" i="15"/>
  <c r="AM10" i="15"/>
  <c r="F8" i="15"/>
  <c r="BW17" i="15"/>
  <c r="K17" i="15"/>
  <c r="BK16" i="15"/>
  <c r="DK15" i="15"/>
  <c r="AY15" i="15"/>
  <c r="CQ14" i="15"/>
  <c r="H14" i="15"/>
  <c r="DM12" i="15"/>
  <c r="BH11" i="15"/>
  <c r="BF9" i="15"/>
  <c r="Q6" i="15"/>
  <c r="DB17" i="15"/>
  <c r="AP17" i="15"/>
  <c r="CP16" i="15"/>
  <c r="AD16" i="15"/>
  <c r="CD15" i="15"/>
  <c r="R15" i="15"/>
  <c r="AX14" i="15"/>
  <c r="BN13" i="15"/>
  <c r="AH12" i="15"/>
  <c r="BM10" i="15"/>
  <c r="AJ8" i="15"/>
  <c r="BI14" i="15"/>
  <c r="AW13" i="15"/>
  <c r="K12" i="15"/>
  <c r="AG10" i="15"/>
  <c r="DM7" i="15"/>
  <c r="CV14" i="15"/>
  <c r="CJ13" i="15"/>
  <c r="BK12" i="15"/>
  <c r="CZ10" i="15"/>
  <c r="CF8" i="15"/>
  <c r="D3" i="15"/>
  <c r="CP12" i="15"/>
  <c r="AC11" i="15"/>
  <c r="P9" i="15"/>
  <c r="CC4" i="15"/>
  <c r="AL13" i="15"/>
  <c r="DI11" i="15"/>
  <c r="M10" i="15"/>
  <c r="CH7" i="15"/>
  <c r="BH12" i="15"/>
  <c r="AN11" i="15"/>
  <c r="I10" i="15"/>
  <c r="BW8" i="15"/>
  <c r="X6" i="15"/>
  <c r="CU10" i="15"/>
  <c r="BK9" i="15"/>
  <c r="G8" i="15"/>
  <c r="DD3" i="15"/>
  <c r="AV12" i="15"/>
  <c r="Z11" i="15"/>
  <c r="DH9" i="15"/>
  <c r="BG8" i="15"/>
  <c r="BX5" i="15"/>
  <c r="BB11" i="15"/>
  <c r="AP10" i="15"/>
  <c r="AD9" i="15"/>
  <c r="R8" i="15"/>
  <c r="CG5" i="15"/>
  <c r="CF9" i="15"/>
  <c r="BT8" i="15"/>
  <c r="U7" i="15"/>
  <c r="U3" i="15"/>
  <c r="CS16" i="15"/>
  <c r="AG16" i="15"/>
  <c r="CG15" i="15"/>
  <c r="U15" i="15"/>
  <c r="BC14" i="15"/>
  <c r="BQ13" i="15"/>
  <c r="AL12" i="15"/>
  <c r="BR10" i="15"/>
  <c r="AR8" i="15"/>
  <c r="AN18" i="15"/>
  <c r="CN17" i="15"/>
  <c r="AB17" i="15"/>
  <c r="CB16" i="15"/>
  <c r="P16" i="15"/>
  <c r="BP15" i="15"/>
  <c r="B15" i="15"/>
  <c r="AF14" i="15"/>
  <c r="AJ13" i="15"/>
  <c r="DF11" i="15"/>
  <c r="K10" i="15"/>
  <c r="BY7" i="15"/>
  <c r="BO17" i="15"/>
  <c r="C17" i="15"/>
  <c r="BC16" i="15"/>
  <c r="DC15" i="15"/>
  <c r="AQ15" i="15"/>
  <c r="CE14" i="15"/>
  <c r="DG13" i="15"/>
  <c r="CU12" i="15"/>
  <c r="AJ11" i="15"/>
  <c r="Y9" i="15"/>
  <c r="DI4" i="15"/>
  <c r="CT17" i="15"/>
  <c r="AH17" i="15"/>
  <c r="CH16" i="15"/>
  <c r="V16" i="15"/>
  <c r="BV15" i="15"/>
  <c r="J15" i="15"/>
  <c r="AN14" i="15"/>
  <c r="AX13" i="15"/>
  <c r="M12" i="15"/>
  <c r="AJ10" i="15"/>
  <c r="C8" i="15"/>
  <c r="BA14" i="15"/>
  <c r="AO13" i="15"/>
  <c r="DM11" i="15"/>
  <c r="T10" i="15"/>
  <c r="CR7" i="15"/>
  <c r="CN14" i="15"/>
  <c r="CB13" i="15"/>
  <c r="BA12" i="15"/>
  <c r="CM10" i="15"/>
  <c r="BO8" i="15"/>
  <c r="AV2" i="15"/>
  <c r="CE12" i="15"/>
  <c r="P11" i="15"/>
  <c r="DL8" i="15"/>
  <c r="P4" i="15"/>
  <c r="AD13" i="15"/>
  <c r="CW11" i="15"/>
  <c r="DK9" i="15"/>
  <c r="AZ7" i="15"/>
  <c r="AZ12" i="15"/>
  <c r="AE11" i="15"/>
  <c r="DL9" i="15"/>
  <c r="BK8" i="15"/>
  <c r="CV5" i="15"/>
  <c r="CK10" i="15"/>
  <c r="AY9" i="15"/>
  <c r="DI7" i="15"/>
  <c r="BP3" i="15"/>
  <c r="AN12" i="15"/>
  <c r="Q11" i="15"/>
  <c r="CY9" i="15"/>
  <c r="AU8" i="15"/>
  <c r="AJ5" i="15"/>
  <c r="AT11" i="15"/>
  <c r="AH10" i="15"/>
  <c r="V9" i="15"/>
  <c r="J8" i="15"/>
  <c r="BA5" i="15"/>
  <c r="BX9" i="15"/>
  <c r="BL8" i="15"/>
  <c r="E7" i="15"/>
  <c r="DA2" i="15"/>
  <c r="BR7" i="15"/>
  <c r="DE14" i="15"/>
  <c r="AS14" i="15"/>
  <c r="CS13" i="15"/>
  <c r="AG13" i="15"/>
  <c r="BW12" i="15"/>
  <c r="DB11" i="15"/>
  <c r="E11" i="15"/>
  <c r="D10" i="15"/>
  <c r="CX8" i="15"/>
  <c r="BL7" i="15"/>
  <c r="BY3" i="15"/>
  <c r="CF14" i="15"/>
  <c r="T14" i="15"/>
  <c r="BT13" i="15"/>
  <c r="G13" i="15"/>
  <c r="AP12" i="15"/>
  <c r="BP11" i="15"/>
  <c r="BX10" i="15"/>
  <c r="BQ9" i="15"/>
  <c r="AW8" i="15"/>
  <c r="BL6" i="15"/>
  <c r="CQ13" i="15"/>
  <c r="AE13" i="15"/>
  <c r="BU12" i="15"/>
  <c r="CY11" i="15"/>
  <c r="B11" i="15"/>
  <c r="DM9" i="15"/>
  <c r="CU8" i="15"/>
  <c r="BB7" i="15"/>
  <c r="BH3" i="15"/>
  <c r="CH13" i="15"/>
  <c r="V13" i="15"/>
  <c r="BI12" i="15"/>
  <c r="CK11" i="15"/>
  <c r="CX10" i="15"/>
  <c r="CU9" i="15"/>
  <c r="BZ8" i="15"/>
  <c r="P7" i="15"/>
  <c r="CS2" i="15"/>
  <c r="AR12" i="15"/>
  <c r="CQ11" i="15"/>
  <c r="U11" i="15"/>
  <c r="BL10" i="15"/>
  <c r="DC9" i="15"/>
  <c r="W9" i="15"/>
  <c r="BA8" i="15"/>
  <c r="BP7" i="15"/>
  <c r="BH5" i="15"/>
  <c r="BL2" i="15"/>
  <c r="CB10" i="15"/>
  <c r="G10" i="15"/>
  <c r="AO9" i="15"/>
  <c r="BS8" i="15"/>
  <c r="CY7" i="15"/>
  <c r="P6" i="15"/>
  <c r="T3" i="15"/>
  <c r="CR12" i="15"/>
  <c r="AF12" i="15"/>
  <c r="CC11" i="15"/>
  <c r="H11" i="15"/>
  <c r="AY10" i="15"/>
  <c r="CM9" i="15"/>
  <c r="G9" i="15"/>
  <c r="AK8" i="15"/>
  <c r="AJ7" i="15"/>
  <c r="DH4" i="15"/>
  <c r="CX11" i="15"/>
  <c r="AL11" i="15"/>
  <c r="CL10" i="15"/>
  <c r="Z10" i="15"/>
  <c r="BZ9" i="15"/>
  <c r="N9" i="15"/>
  <c r="BN8" i="15"/>
  <c r="B8" i="15"/>
  <c r="H7" i="15"/>
  <c r="U5" i="15"/>
  <c r="DI2" i="15"/>
  <c r="BP9" i="15"/>
  <c r="D9" i="15"/>
  <c r="BD8" i="15"/>
  <c r="DD7" i="15"/>
  <c r="DA6" i="15"/>
  <c r="CS4" i="15"/>
  <c r="BU2" i="15"/>
  <c r="DL6" i="15"/>
  <c r="CW14" i="15"/>
  <c r="AK14" i="15"/>
  <c r="CK13" i="15"/>
  <c r="Y13" i="15"/>
  <c r="BM12" i="15"/>
  <c r="CO11" i="15"/>
  <c r="DC10" i="15"/>
  <c r="DB9" i="15"/>
  <c r="CH8" i="15"/>
  <c r="AD7" i="15"/>
  <c r="E3" i="15"/>
  <c r="BX14" i="15"/>
  <c r="L14" i="15"/>
  <c r="BL13" i="15"/>
  <c r="DJ12" i="15"/>
  <c r="AE12" i="15"/>
  <c r="BD11" i="15"/>
  <c r="BI10" i="15"/>
  <c r="BA9" i="15"/>
  <c r="AG8" i="15"/>
  <c r="DD5" i="15"/>
  <c r="CI13" i="15"/>
  <c r="W13" i="15"/>
  <c r="BJ12" i="15"/>
  <c r="CM11" i="15"/>
  <c r="CY10" i="15"/>
  <c r="CW9" i="15"/>
  <c r="CC8" i="15"/>
  <c r="V7" i="15"/>
  <c r="DH2" i="15"/>
  <c r="BZ13" i="15"/>
  <c r="N13" i="15"/>
  <c r="AX12" i="15"/>
  <c r="BY11" i="15"/>
  <c r="CH10" i="15"/>
  <c r="CD9" i="15"/>
  <c r="BJ8" i="15"/>
  <c r="CV6" i="15"/>
  <c r="AF2" i="15"/>
  <c r="AJ12" i="15"/>
  <c r="CG11" i="15"/>
  <c r="L11" i="15"/>
  <c r="BC10" i="15"/>
  <c r="CS9" i="15"/>
  <c r="K9" i="15"/>
  <c r="AQ8" i="15"/>
  <c r="AT7" i="15"/>
  <c r="L5" i="15"/>
  <c r="X2" i="15"/>
  <c r="BS10" i="15"/>
  <c r="DJ9" i="15"/>
  <c r="AE9" i="15"/>
  <c r="BI8" i="15"/>
  <c r="CF7" i="15"/>
  <c r="CN5" i="15"/>
  <c r="CR2" i="15"/>
  <c r="CJ12" i="15"/>
  <c r="X12" i="15"/>
  <c r="BT11" i="15"/>
  <c r="DK10" i="15"/>
  <c r="AO10" i="15"/>
  <c r="CC9" i="15"/>
  <c r="DG8" i="15"/>
  <c r="AA8" i="15"/>
  <c r="N7" i="15"/>
  <c r="BL4" i="15"/>
  <c r="CP11" i="15"/>
  <c r="AD11" i="15"/>
  <c r="CD10" i="15"/>
  <c r="R10" i="15"/>
  <c r="BR9" i="15"/>
  <c r="F9" i="15"/>
  <c r="BF8" i="15"/>
  <c r="DF7" i="15"/>
  <c r="DD6" i="15"/>
  <c r="DA4" i="15"/>
  <c r="CC2" i="15"/>
  <c r="BH9" i="15"/>
  <c r="DH8" i="15"/>
  <c r="AV8" i="15"/>
  <c r="CV7" i="15"/>
  <c r="CK6" i="15"/>
  <c r="BM4" i="15"/>
  <c r="AO2" i="15"/>
  <c r="I6" i="15"/>
  <c r="CO14" i="15"/>
  <c r="AC14" i="15"/>
  <c r="CC13" i="15"/>
  <c r="Q13" i="15"/>
  <c r="BB12" i="15"/>
  <c r="CD11" i="15"/>
  <c r="CO10" i="15"/>
  <c r="CK9" i="15"/>
  <c r="BP8" i="15"/>
  <c r="DI6" i="15"/>
  <c r="BE2" i="15"/>
  <c r="BP14" i="15"/>
  <c r="D14" i="15"/>
  <c r="BD13" i="15"/>
  <c r="DA12" i="15"/>
  <c r="U12" i="15"/>
  <c r="AQ11" i="15"/>
  <c r="AU10" i="15"/>
  <c r="AI9" i="15"/>
  <c r="N8" i="15"/>
  <c r="AK5" i="15"/>
  <c r="CA13" i="15"/>
  <c r="O13" i="15"/>
  <c r="AY12" i="15"/>
  <c r="CA11" i="15"/>
  <c r="CJ10" i="15"/>
  <c r="CG9" i="15"/>
  <c r="BM8" i="15"/>
  <c r="CZ6" i="15"/>
  <c r="AG2" i="15"/>
  <c r="BR13" i="15"/>
  <c r="E13" i="15"/>
  <c r="AM12" i="15"/>
  <c r="BM11" i="15"/>
  <c r="BT10" i="15"/>
  <c r="BN9" i="15"/>
  <c r="AS8" i="15"/>
  <c r="AO6" i="15"/>
  <c r="CN12" i="15"/>
  <c r="AB12" i="15"/>
  <c r="BX11" i="15"/>
  <c r="C11" i="15"/>
  <c r="AT10" i="15"/>
  <c r="CI9" i="15"/>
  <c r="DM8" i="15"/>
  <c r="AE8" i="15"/>
  <c r="AB7" i="15"/>
  <c r="CJ4" i="15"/>
  <c r="S11" i="15"/>
  <c r="BJ10" i="15"/>
  <c r="DA9" i="15"/>
  <c r="S9" i="15"/>
  <c r="AY8" i="15"/>
  <c r="BJ7" i="15"/>
  <c r="AR5" i="15"/>
  <c r="BD2" i="15"/>
  <c r="CB12" i="15"/>
  <c r="P12" i="15"/>
  <c r="BK11" i="15"/>
  <c r="DA10" i="15"/>
  <c r="AF10" i="15"/>
  <c r="BS9" i="15"/>
  <c r="CW8" i="15"/>
  <c r="O8" i="15"/>
  <c r="DH6" i="15"/>
  <c r="X4" i="15"/>
  <c r="CH11" i="15"/>
  <c r="V11" i="15"/>
  <c r="BV10" i="15"/>
  <c r="J10" i="15"/>
  <c r="BJ9" i="15"/>
  <c r="DJ8" i="15"/>
  <c r="AX8" i="15"/>
  <c r="CX7" i="15"/>
  <c r="CN6" i="15"/>
  <c r="BU4" i="15"/>
  <c r="AW2" i="15"/>
  <c r="AZ9" i="15"/>
  <c r="CZ8" i="15"/>
  <c r="AN8" i="15"/>
  <c r="CG7" i="15"/>
  <c r="BE6" i="15"/>
  <c r="AG4" i="15"/>
  <c r="I2" i="15"/>
  <c r="CZ4" i="15"/>
  <c r="CG14" i="15"/>
  <c r="U14" i="15"/>
  <c r="BU13" i="15"/>
  <c r="H13" i="15"/>
  <c r="AQ12" i="15"/>
  <c r="BQ11" i="15"/>
  <c r="BY10" i="15"/>
  <c r="BT9" i="15"/>
  <c r="AZ8" i="15"/>
  <c r="BU6" i="15"/>
  <c r="H15" i="15"/>
  <c r="BH14" i="15"/>
  <c r="DH13" i="15"/>
  <c r="AV13" i="15"/>
  <c r="CQ12" i="15"/>
  <c r="J12" i="15"/>
  <c r="AF11" i="15"/>
  <c r="AE10" i="15"/>
  <c r="R9" i="15"/>
  <c r="DJ7" i="15"/>
  <c r="CK4" i="15"/>
  <c r="BS13" i="15"/>
  <c r="F13" i="15"/>
  <c r="AO12" i="15"/>
  <c r="BN11" i="15"/>
  <c r="BW10" i="15"/>
  <c r="BO9" i="15"/>
  <c r="AT8" i="15"/>
  <c r="AW6" i="15"/>
  <c r="J14" i="15"/>
  <c r="BJ13" i="15"/>
  <c r="DG12" i="15"/>
  <c r="AC12" i="15"/>
  <c r="AZ11" i="15"/>
  <c r="BE10" i="15"/>
  <c r="AV9" i="15"/>
  <c r="AB8" i="15"/>
  <c r="CO5" i="15"/>
  <c r="CF12" i="15"/>
  <c r="T12" i="15"/>
  <c r="BO11" i="15"/>
  <c r="DF10" i="15"/>
  <c r="AK10" i="15"/>
  <c r="BW9" i="15"/>
  <c r="DC8" i="15"/>
  <c r="U8" i="15"/>
  <c r="D7" i="15"/>
  <c r="AV4" i="15"/>
  <c r="J11" i="15"/>
  <c r="BA10" i="15"/>
  <c r="CQ9" i="15"/>
  <c r="I9" i="15"/>
  <c r="AM8" i="15"/>
  <c r="AR7" i="15"/>
  <c r="D5" i="15"/>
  <c r="H2" i="15"/>
  <c r="BT12" i="15"/>
  <c r="H12" i="15"/>
  <c r="BA11" i="15"/>
  <c r="CR10" i="15"/>
  <c r="W10" i="15"/>
  <c r="BG9" i="15"/>
  <c r="CM8" i="15"/>
  <c r="E8" i="15"/>
  <c r="CJ6" i="15"/>
  <c r="CV3" i="15"/>
  <c r="BZ11" i="15"/>
  <c r="N11" i="15"/>
  <c r="BN10" i="15"/>
  <c r="B10" i="15"/>
  <c r="BB9" i="15"/>
  <c r="DB8" i="15"/>
  <c r="AP8" i="15"/>
  <c r="CJ7" i="15"/>
  <c r="BM6" i="15"/>
  <c r="AO4" i="15"/>
  <c r="Q2" i="15"/>
  <c r="AR9" i="15"/>
  <c r="CR8" i="15"/>
  <c r="AF8" i="15"/>
  <c r="BQ7" i="15"/>
  <c r="Y6" i="15"/>
  <c r="DM3" i="15"/>
  <c r="C78" i="3"/>
  <c r="V80" i="3"/>
  <c r="C76" i="3"/>
  <c r="C80" i="3"/>
  <c r="V76" i="3"/>
  <c r="V78" i="3"/>
  <c r="B64" i="6"/>
  <c r="B73" i="6"/>
  <c r="B60" i="6"/>
  <c r="B81" i="6"/>
  <c r="B26" i="6"/>
  <c r="B65" i="6"/>
  <c r="B59" i="6"/>
  <c r="B25" i="6"/>
  <c r="B68" i="6"/>
  <c r="B70" i="6"/>
  <c r="B20" i="6"/>
  <c r="B71" i="6"/>
  <c r="B74" i="6"/>
  <c r="B27" i="6"/>
  <c r="B72" i="6"/>
  <c r="B56" i="6"/>
  <c r="B61" i="6"/>
  <c r="B49" i="6"/>
  <c r="B16" i="6"/>
  <c r="B78" i="6"/>
  <c r="B15" i="6"/>
  <c r="B63" i="6"/>
  <c r="B18" i="6"/>
  <c r="B55" i="6"/>
  <c r="B7" i="6"/>
  <c r="B44" i="6"/>
  <c r="B23" i="6"/>
  <c r="B19" i="6"/>
  <c r="B30" i="6"/>
  <c r="B11" i="6"/>
  <c r="B40" i="6"/>
  <c r="B28" i="6"/>
  <c r="B62" i="6"/>
  <c r="B29" i="6"/>
  <c r="B12" i="6"/>
  <c r="B2" i="6"/>
  <c r="B6" i="6"/>
  <c r="B80" i="6"/>
  <c r="B77" i="6"/>
  <c r="B17" i="6"/>
  <c r="B1" i="6"/>
  <c r="B51" i="6"/>
  <c r="B3" i="6"/>
  <c r="B43" i="6"/>
  <c r="B57" i="6"/>
  <c r="B34" i="6"/>
  <c r="B13" i="6"/>
  <c r="B4" i="6"/>
  <c r="B36" i="6"/>
  <c r="B75" i="6"/>
  <c r="B58" i="6"/>
  <c r="B79" i="6"/>
  <c r="B82" i="6"/>
  <c r="B54" i="6"/>
  <c r="B21" i="6"/>
  <c r="B46" i="6"/>
  <c r="B9" i="6"/>
  <c r="B67" i="6"/>
  <c r="B5" i="6"/>
  <c r="B83" i="6"/>
  <c r="B48" i="6"/>
  <c r="B32" i="6"/>
  <c r="B10" i="6"/>
  <c r="B87" i="6"/>
  <c r="B35" i="6"/>
  <c r="B39" i="6"/>
  <c r="B22" i="6"/>
  <c r="B50" i="6"/>
  <c r="B37" i="6"/>
  <c r="B47" i="6"/>
  <c r="B8" i="6"/>
  <c r="B45" i="6"/>
  <c r="B33" i="6"/>
  <c r="B53" i="6"/>
  <c r="B69" i="6"/>
  <c r="B52" i="6"/>
  <c r="B41" i="6"/>
  <c r="B42" i="6"/>
  <c r="B31" i="6"/>
  <c r="B24" i="6"/>
  <c r="B38" i="6"/>
  <c r="B14" i="6"/>
  <c r="B66" i="6"/>
  <c r="B76" i="6"/>
  <c r="T4" i="3"/>
  <c r="J4" i="3" s="1"/>
  <c r="U4" i="3"/>
  <c r="T5" i="3"/>
  <c r="J5" i="3" s="1"/>
  <c r="U5" i="3"/>
  <c r="T6" i="3"/>
  <c r="U6" i="3"/>
  <c r="T7" i="3"/>
  <c r="U7" i="3"/>
  <c r="T8" i="3"/>
  <c r="J8" i="3" s="1"/>
  <c r="U8" i="3"/>
  <c r="T9" i="3"/>
  <c r="U9" i="3"/>
  <c r="T10" i="3"/>
  <c r="U10" i="3"/>
  <c r="T11" i="3"/>
  <c r="U11" i="3"/>
  <c r="T12" i="3"/>
  <c r="J12" i="3" s="1"/>
  <c r="U12" i="3"/>
  <c r="T13" i="3"/>
  <c r="U13" i="3"/>
  <c r="T14" i="3"/>
  <c r="U14" i="3"/>
  <c r="T15" i="3"/>
  <c r="U15" i="3"/>
  <c r="T16" i="3"/>
  <c r="J16" i="3" s="1"/>
  <c r="U16" i="3"/>
  <c r="T17" i="3"/>
  <c r="U17" i="3"/>
  <c r="T18" i="3"/>
  <c r="U18" i="3"/>
  <c r="T19" i="3"/>
  <c r="U19" i="3"/>
  <c r="T20" i="3"/>
  <c r="J20" i="3" s="1"/>
  <c r="U20" i="3"/>
  <c r="T21" i="3"/>
  <c r="U21" i="3"/>
  <c r="T22" i="3"/>
  <c r="U22" i="3"/>
  <c r="T23" i="3"/>
  <c r="U23" i="3"/>
  <c r="T24" i="3"/>
  <c r="J24" i="3" s="1"/>
  <c r="U24" i="3"/>
  <c r="T25" i="3"/>
  <c r="U25" i="3"/>
  <c r="T26" i="3"/>
  <c r="U26" i="3"/>
  <c r="T27" i="3"/>
  <c r="U27" i="3"/>
  <c r="T28" i="3"/>
  <c r="J28" i="3" s="1"/>
  <c r="U28" i="3"/>
  <c r="T29" i="3"/>
  <c r="J29" i="3" s="1"/>
  <c r="U29" i="3"/>
  <c r="T30" i="3"/>
  <c r="J30" i="3" s="1"/>
  <c r="U30" i="3"/>
  <c r="T31" i="3"/>
  <c r="J31" i="3" s="1"/>
  <c r="U31" i="3"/>
  <c r="T32" i="3"/>
  <c r="J32" i="3" s="1"/>
  <c r="U32" i="3"/>
  <c r="T33" i="3"/>
  <c r="J33" i="3" s="1"/>
  <c r="U33" i="3"/>
  <c r="T34" i="3"/>
  <c r="U34" i="3"/>
  <c r="T35" i="3"/>
  <c r="J35" i="3" s="1"/>
  <c r="U35" i="3"/>
  <c r="T36" i="3"/>
  <c r="U36" i="3"/>
  <c r="T37" i="3"/>
  <c r="U37" i="3"/>
  <c r="T38" i="3"/>
  <c r="J38" i="3" s="1"/>
  <c r="U38" i="3"/>
  <c r="T39" i="3"/>
  <c r="J39" i="3" s="1"/>
  <c r="U39" i="3"/>
  <c r="T40" i="3"/>
  <c r="J40" i="3" s="1"/>
  <c r="U40" i="3"/>
  <c r="T41" i="3"/>
  <c r="U41" i="3"/>
  <c r="T42" i="3"/>
  <c r="U42" i="3"/>
  <c r="T43" i="3"/>
  <c r="J43" i="3" s="1"/>
  <c r="U43" i="3"/>
  <c r="T44" i="3"/>
  <c r="J44" i="3" s="1"/>
  <c r="U44" i="3"/>
  <c r="T45" i="3"/>
  <c r="U45" i="3"/>
  <c r="T46" i="3"/>
  <c r="U46" i="3"/>
  <c r="T47" i="3"/>
  <c r="U47" i="3"/>
  <c r="T48" i="3"/>
  <c r="J48" i="3" s="1"/>
  <c r="U48" i="3"/>
  <c r="T49" i="3"/>
  <c r="U49" i="3"/>
  <c r="T50" i="3"/>
  <c r="U50" i="3"/>
  <c r="T51" i="3"/>
  <c r="U51" i="3"/>
  <c r="T52" i="3"/>
  <c r="J52" i="3" s="1"/>
  <c r="U52" i="3"/>
  <c r="T53" i="3"/>
  <c r="U53" i="3"/>
  <c r="T54" i="3"/>
  <c r="J54" i="3" s="1"/>
  <c r="U54" i="3"/>
  <c r="T55" i="3"/>
  <c r="U55" i="3"/>
  <c r="T56" i="3"/>
  <c r="J56" i="3" s="1"/>
  <c r="U56" i="3"/>
  <c r="T57" i="3"/>
  <c r="J57" i="3" s="1"/>
  <c r="U57" i="3"/>
  <c r="T58" i="3"/>
  <c r="U58" i="3"/>
  <c r="T59" i="3"/>
  <c r="J59" i="3" s="1"/>
  <c r="U59" i="3"/>
  <c r="T122" i="3"/>
  <c r="U122" i="3"/>
  <c r="T60" i="3"/>
  <c r="U60" i="3"/>
  <c r="T61" i="3"/>
  <c r="U61" i="3"/>
  <c r="T62" i="3"/>
  <c r="U62" i="3"/>
  <c r="T63" i="3"/>
  <c r="J63" i="3" s="1"/>
  <c r="U63" i="3"/>
  <c r="T64" i="3"/>
  <c r="U64" i="3"/>
  <c r="T65" i="3"/>
  <c r="U65" i="3"/>
  <c r="T66" i="3"/>
  <c r="U66" i="3"/>
  <c r="T67" i="3"/>
  <c r="J67" i="3" s="1"/>
  <c r="U67" i="3"/>
  <c r="T68" i="3"/>
  <c r="U68" i="3"/>
  <c r="T69" i="3"/>
  <c r="U69" i="3"/>
  <c r="T70" i="3"/>
  <c r="U70" i="3"/>
  <c r="T71" i="3"/>
  <c r="J71" i="3" s="1"/>
  <c r="U71" i="3"/>
  <c r="T72" i="3"/>
  <c r="U72" i="3"/>
  <c r="T73" i="3"/>
  <c r="U73" i="3"/>
  <c r="T74" i="3"/>
  <c r="U74" i="3"/>
  <c r="T75" i="3"/>
  <c r="J75" i="3" s="1"/>
  <c r="U75" i="3"/>
  <c r="T77" i="3"/>
  <c r="U77" i="3"/>
  <c r="T79" i="3"/>
  <c r="U79" i="3"/>
  <c r="T81" i="3"/>
  <c r="U81" i="3"/>
  <c r="T82" i="3"/>
  <c r="J82" i="3" s="1"/>
  <c r="U82" i="3"/>
  <c r="T83" i="3"/>
  <c r="U83" i="3"/>
  <c r="T84" i="3"/>
  <c r="U84" i="3"/>
  <c r="T85" i="3"/>
  <c r="J85" i="3" s="1"/>
  <c r="U85" i="3"/>
  <c r="T86" i="3"/>
  <c r="J86" i="3" s="1"/>
  <c r="U86" i="3"/>
  <c r="T87" i="3"/>
  <c r="U87" i="3"/>
  <c r="T88" i="3"/>
  <c r="U88" i="3"/>
  <c r="T89" i="3"/>
  <c r="U89" i="3"/>
  <c r="T90" i="3"/>
  <c r="J90" i="3" s="1"/>
  <c r="U90" i="3"/>
  <c r="T91" i="3"/>
  <c r="U91" i="3"/>
  <c r="T92" i="3"/>
  <c r="U92" i="3"/>
  <c r="T93" i="3"/>
  <c r="U93" i="3"/>
  <c r="T94" i="3"/>
  <c r="J94" i="3" s="1"/>
  <c r="U94" i="3"/>
  <c r="T95" i="3"/>
  <c r="U95" i="3"/>
  <c r="T96" i="3"/>
  <c r="U96" i="3"/>
  <c r="T97" i="3"/>
  <c r="U97" i="3"/>
  <c r="T98" i="3"/>
  <c r="J98" i="3" s="1"/>
  <c r="U98" i="3"/>
  <c r="T99" i="3"/>
  <c r="J99" i="3" s="1"/>
  <c r="U99" i="3"/>
  <c r="T100" i="3"/>
  <c r="U100" i="3"/>
  <c r="T101" i="3"/>
  <c r="U101" i="3"/>
  <c r="T102" i="3"/>
  <c r="J102" i="3" s="1"/>
  <c r="U102" i="3"/>
  <c r="T103" i="3"/>
  <c r="U103" i="3"/>
  <c r="T104" i="3"/>
  <c r="U104" i="3"/>
  <c r="T105" i="3"/>
  <c r="U105" i="3"/>
  <c r="T106" i="3"/>
  <c r="J106" i="3" s="1"/>
  <c r="U106" i="3"/>
  <c r="T107" i="3"/>
  <c r="U107" i="3"/>
  <c r="T108" i="3"/>
  <c r="U108" i="3"/>
  <c r="T109" i="3"/>
  <c r="U109" i="3"/>
  <c r="T110" i="3"/>
  <c r="J110" i="3" s="1"/>
  <c r="U110" i="3"/>
  <c r="T111" i="3"/>
  <c r="U111" i="3"/>
  <c r="T112" i="3"/>
  <c r="J112" i="3" s="1"/>
  <c r="U112" i="3"/>
  <c r="T113" i="3"/>
  <c r="U113" i="3"/>
  <c r="T114" i="3"/>
  <c r="J114" i="3" s="1"/>
  <c r="U114" i="3"/>
  <c r="T115" i="3"/>
  <c r="U115" i="3"/>
  <c r="T116" i="3"/>
  <c r="U116" i="3"/>
  <c r="T117" i="3"/>
  <c r="U117" i="3"/>
  <c r="T118" i="3"/>
  <c r="J118" i="3" s="1"/>
  <c r="U118" i="3"/>
  <c r="T119" i="3"/>
  <c r="U119" i="3"/>
  <c r="T120" i="3"/>
  <c r="J120" i="3" s="1"/>
  <c r="U120" i="3"/>
  <c r="T121" i="3"/>
  <c r="U121" i="3"/>
  <c r="T123" i="3"/>
  <c r="J123" i="3" s="1"/>
  <c r="U123" i="3"/>
  <c r="T124" i="3"/>
  <c r="U124" i="3"/>
  <c r="T125" i="3"/>
  <c r="J125" i="3" s="1"/>
  <c r="U125" i="3"/>
  <c r="T126" i="3"/>
  <c r="J126" i="3" s="1"/>
  <c r="U126" i="3"/>
  <c r="T127" i="3"/>
  <c r="J127" i="3" s="1"/>
  <c r="U127" i="3"/>
  <c r="T128" i="3"/>
  <c r="J128" i="3" s="1"/>
  <c r="U128" i="3"/>
  <c r="T129" i="3"/>
  <c r="J129" i="3" s="1"/>
  <c r="U129" i="3"/>
  <c r="T130" i="3"/>
  <c r="U130" i="3"/>
  <c r="T131" i="3"/>
  <c r="U131" i="3"/>
  <c r="T132" i="3"/>
  <c r="U132" i="3"/>
  <c r="T133" i="3"/>
  <c r="U133" i="3"/>
  <c r="T134" i="3"/>
  <c r="J134" i="3" s="1"/>
  <c r="U134" i="3"/>
  <c r="T135" i="3"/>
  <c r="J135" i="3" s="1"/>
  <c r="U135" i="3"/>
  <c r="T136" i="3"/>
  <c r="U136" i="3"/>
  <c r="T137" i="3"/>
  <c r="U137" i="3"/>
  <c r="T138" i="3"/>
  <c r="U138" i="3"/>
  <c r="T139" i="3"/>
  <c r="J139" i="3" s="1"/>
  <c r="U139" i="3"/>
  <c r="T140" i="3"/>
  <c r="U140" i="3"/>
  <c r="T141" i="3"/>
  <c r="U141" i="3"/>
  <c r="T142" i="3"/>
  <c r="U142" i="3"/>
  <c r="T143" i="3"/>
  <c r="J143" i="3" s="1"/>
  <c r="U143" i="3"/>
  <c r="T144" i="3"/>
  <c r="U144" i="3"/>
  <c r="T145" i="3"/>
  <c r="U145" i="3"/>
  <c r="T146" i="3"/>
  <c r="U146" i="3"/>
  <c r="T147" i="3"/>
  <c r="J147" i="3" s="1"/>
  <c r="U147" i="3"/>
  <c r="T148" i="3"/>
  <c r="J148" i="3" s="1"/>
  <c r="U148" i="3"/>
  <c r="T149" i="3"/>
  <c r="J149" i="3" s="1"/>
  <c r="U149" i="3"/>
  <c r="T150" i="3"/>
  <c r="J150" i="3" s="1"/>
  <c r="U150" i="3"/>
  <c r="T151" i="3"/>
  <c r="J151" i="3" s="1"/>
  <c r="U151" i="3"/>
  <c r="T152" i="3"/>
  <c r="U152" i="3"/>
  <c r="T153" i="3"/>
  <c r="U153" i="3"/>
  <c r="T154" i="3"/>
  <c r="U154" i="3"/>
  <c r="T155" i="3"/>
  <c r="J155" i="3" s="1"/>
  <c r="U155" i="3"/>
  <c r="T156" i="3"/>
  <c r="U156" i="3"/>
  <c r="T157" i="3"/>
  <c r="U157" i="3"/>
  <c r="T158" i="3"/>
  <c r="U158" i="3"/>
  <c r="T159" i="3"/>
  <c r="J159" i="3" s="1"/>
  <c r="U159" i="3"/>
  <c r="T160" i="3"/>
  <c r="U160" i="3"/>
  <c r="T161" i="3"/>
  <c r="U161" i="3"/>
  <c r="T162" i="3"/>
  <c r="U162" i="3"/>
  <c r="T163" i="3"/>
  <c r="U163" i="3"/>
  <c r="T164" i="3"/>
  <c r="J164" i="3" s="1"/>
  <c r="U164" i="3"/>
  <c r="T165" i="3"/>
  <c r="U165" i="3"/>
  <c r="T166" i="3"/>
  <c r="U166" i="3"/>
  <c r="T167" i="3"/>
  <c r="J167" i="3" s="1"/>
  <c r="U167" i="3"/>
  <c r="T168" i="3"/>
  <c r="J168" i="3" s="1"/>
  <c r="U168" i="3"/>
  <c r="T169" i="3"/>
  <c r="J169" i="3" s="1"/>
  <c r="U169" i="3"/>
  <c r="T170" i="3"/>
  <c r="J170" i="3" s="1"/>
  <c r="U170" i="3"/>
  <c r="T171" i="3"/>
  <c r="J171" i="3" s="1"/>
  <c r="U171" i="3"/>
  <c r="T172" i="3"/>
  <c r="U172" i="3"/>
  <c r="T173" i="3"/>
  <c r="U173" i="3"/>
  <c r="T174" i="3"/>
  <c r="U174" i="3"/>
  <c r="T175" i="3"/>
  <c r="J175" i="3" s="1"/>
  <c r="U175" i="3"/>
  <c r="T176" i="3"/>
  <c r="J176" i="3" s="1"/>
  <c r="U176" i="3"/>
  <c r="T177" i="3"/>
  <c r="J177" i="3" s="1"/>
  <c r="U177" i="3"/>
  <c r="T178" i="3"/>
  <c r="J178" i="3" s="1"/>
  <c r="U178" i="3"/>
  <c r="T179" i="3"/>
  <c r="J179" i="3" s="1"/>
  <c r="U179" i="3"/>
  <c r="T180" i="3"/>
  <c r="U180" i="3"/>
  <c r="T181" i="3"/>
  <c r="U181" i="3"/>
  <c r="T182" i="3"/>
  <c r="U182" i="3"/>
  <c r="T183" i="3"/>
  <c r="J183" i="3" s="1"/>
  <c r="U183" i="3"/>
  <c r="T184" i="3"/>
  <c r="U184" i="3"/>
  <c r="T185" i="3"/>
  <c r="U185" i="3"/>
  <c r="T186" i="3"/>
  <c r="J186" i="3" s="1"/>
  <c r="U186" i="3"/>
  <c r="T187" i="3"/>
  <c r="J187" i="3" s="1"/>
  <c r="U187" i="3"/>
  <c r="T188" i="3"/>
  <c r="U188" i="3"/>
  <c r="T189" i="3"/>
  <c r="U189" i="3"/>
  <c r="T190" i="3"/>
  <c r="U190" i="3"/>
  <c r="T191" i="3"/>
  <c r="J191" i="3" s="1"/>
  <c r="U191" i="3"/>
  <c r="T192" i="3"/>
  <c r="U192" i="3"/>
  <c r="T193" i="3"/>
  <c r="U193" i="3"/>
  <c r="T194" i="3"/>
  <c r="U194" i="3"/>
  <c r="T195" i="3"/>
  <c r="J195" i="3" s="1"/>
  <c r="U195" i="3"/>
  <c r="T196" i="3"/>
  <c r="U196" i="3"/>
  <c r="T197" i="3"/>
  <c r="U197" i="3"/>
  <c r="T198" i="3"/>
  <c r="U198" i="3"/>
  <c r="T199" i="3"/>
  <c r="J199" i="3" s="1"/>
  <c r="U199" i="3"/>
  <c r="T200" i="3"/>
  <c r="U200" i="3"/>
  <c r="T201" i="3"/>
  <c r="U201" i="3"/>
  <c r="T202" i="3"/>
  <c r="U202" i="3"/>
  <c r="T203" i="3"/>
  <c r="J203" i="3" s="1"/>
  <c r="U203" i="3"/>
  <c r="T204" i="3"/>
  <c r="U204" i="3"/>
  <c r="T205" i="3"/>
  <c r="J205" i="3" s="1"/>
  <c r="U205" i="3"/>
  <c r="T206" i="3"/>
  <c r="J206" i="3" s="1"/>
  <c r="U206" i="3"/>
  <c r="T207" i="3"/>
  <c r="J207" i="3" s="1"/>
  <c r="U207" i="3"/>
  <c r="T208" i="3"/>
  <c r="U208" i="3"/>
  <c r="T209" i="3"/>
  <c r="U209" i="3"/>
  <c r="T210" i="3"/>
  <c r="U210" i="3"/>
  <c r="T211" i="3"/>
  <c r="J211" i="3" s="1"/>
  <c r="U211" i="3"/>
  <c r="T212" i="3"/>
  <c r="J212" i="3" s="1"/>
  <c r="U212" i="3"/>
  <c r="T213" i="3"/>
  <c r="J213" i="3" s="1"/>
  <c r="U213" i="3"/>
  <c r="T214" i="3"/>
  <c r="J214" i="3" s="1"/>
  <c r="U214" i="3"/>
  <c r="T215" i="3"/>
  <c r="J215" i="3" s="1"/>
  <c r="U215" i="3"/>
  <c r="T216" i="3"/>
  <c r="U216" i="3"/>
  <c r="T217" i="3"/>
  <c r="U217" i="3"/>
  <c r="T218" i="3"/>
  <c r="U218" i="3"/>
  <c r="U3" i="3"/>
  <c r="T3" i="3"/>
  <c r="J3" i="3" s="1"/>
  <c r="J197" i="3" l="1"/>
  <c r="J189" i="3"/>
  <c r="J181" i="3"/>
  <c r="J173" i="3"/>
  <c r="J165" i="3"/>
  <c r="J161" i="3"/>
  <c r="J157" i="3"/>
  <c r="J153" i="3"/>
  <c r="J145" i="3"/>
  <c r="J141" i="3"/>
  <c r="J137" i="3"/>
  <c r="J133" i="3"/>
  <c r="J116" i="3"/>
  <c r="J108" i="3"/>
  <c r="J104" i="3"/>
  <c r="J100" i="3"/>
  <c r="J96" i="3"/>
  <c r="J92" i="3"/>
  <c r="J88" i="3"/>
  <c r="J84" i="3"/>
  <c r="J79" i="3"/>
  <c r="J73" i="3"/>
  <c r="J69" i="3"/>
  <c r="J65" i="3"/>
  <c r="J61" i="3"/>
  <c r="J50" i="3"/>
  <c r="J46" i="3"/>
  <c r="J42" i="3"/>
  <c r="J34" i="3"/>
  <c r="J26" i="3"/>
  <c r="J22" i="3"/>
  <c r="J18" i="3"/>
  <c r="J14" i="3"/>
  <c r="J10" i="3"/>
  <c r="J6" i="3"/>
  <c r="J217" i="3"/>
  <c r="J209" i="3"/>
  <c r="J201" i="3"/>
  <c r="J193" i="3"/>
  <c r="J185" i="3"/>
  <c r="J218" i="3"/>
  <c r="J210" i="3"/>
  <c r="J202" i="3"/>
  <c r="J198" i="3"/>
  <c r="J194" i="3"/>
  <c r="J190" i="3"/>
  <c r="J182" i="3"/>
  <c r="J174" i="3"/>
  <c r="J166" i="3"/>
  <c r="J158" i="3"/>
  <c r="J154" i="3"/>
  <c r="J146" i="3"/>
  <c r="J142" i="3"/>
  <c r="J138" i="3"/>
  <c r="J121" i="3"/>
  <c r="J117" i="3"/>
  <c r="J113" i="3"/>
  <c r="J109" i="3"/>
  <c r="J105" i="3"/>
  <c r="J101" i="3"/>
  <c r="J97" i="3"/>
  <c r="J93" i="3"/>
  <c r="J89" i="3"/>
  <c r="J81" i="3"/>
  <c r="J74" i="3"/>
  <c r="J70" i="3"/>
  <c r="J66" i="3"/>
  <c r="J62" i="3"/>
  <c r="J55" i="3"/>
  <c r="J51" i="3"/>
  <c r="J47" i="3"/>
  <c r="J27" i="3"/>
  <c r="J23" i="3"/>
  <c r="J19" i="3"/>
  <c r="J15" i="3"/>
  <c r="J11" i="3"/>
  <c r="J7" i="3"/>
  <c r="J216" i="3"/>
  <c r="J208" i="3"/>
  <c r="J204" i="3"/>
  <c r="J200" i="3"/>
  <c r="J196" i="3"/>
  <c r="J192" i="3"/>
  <c r="J188" i="3"/>
  <c r="J184" i="3"/>
  <c r="C163" i="3"/>
  <c r="J163" i="3"/>
  <c r="C131" i="3"/>
  <c r="J131" i="3"/>
  <c r="C122" i="3"/>
  <c r="J122" i="3"/>
  <c r="C36" i="3"/>
  <c r="J36" i="3"/>
  <c r="C162" i="3"/>
  <c r="J162" i="3"/>
  <c r="C130" i="3"/>
  <c r="J130" i="3"/>
  <c r="C58" i="3"/>
  <c r="J58" i="3"/>
  <c r="C180" i="3"/>
  <c r="J180" i="3"/>
  <c r="C172" i="3"/>
  <c r="J172" i="3"/>
  <c r="J160" i="3"/>
  <c r="J156" i="3"/>
  <c r="J152" i="3"/>
  <c r="J144" i="3"/>
  <c r="J140" i="3"/>
  <c r="J136" i="3"/>
  <c r="J132" i="3"/>
  <c r="J124" i="3"/>
  <c r="J119" i="3"/>
  <c r="J115" i="3"/>
  <c r="C111" i="3"/>
  <c r="J111" i="3"/>
  <c r="J107" i="3"/>
  <c r="J103" i="3"/>
  <c r="J95" i="3"/>
  <c r="J91" i="3"/>
  <c r="J87" i="3"/>
  <c r="J83" i="3"/>
  <c r="J77" i="3"/>
  <c r="J72" i="3"/>
  <c r="J68" i="3"/>
  <c r="J64" i="3"/>
  <c r="J60" i="3"/>
  <c r="C53" i="3"/>
  <c r="J53" i="3"/>
  <c r="J49" i="3"/>
  <c r="C45" i="3"/>
  <c r="J45" i="3"/>
  <c r="C41" i="3"/>
  <c r="J41" i="3"/>
  <c r="C37" i="3"/>
  <c r="J37" i="3"/>
  <c r="J25" i="3"/>
  <c r="J21" i="3"/>
  <c r="J17" i="3"/>
  <c r="J13" i="3"/>
  <c r="J9" i="3"/>
  <c r="G6" i="3" a="1"/>
  <c r="G6" i="3" s="1"/>
  <c r="G39" i="3" a="1"/>
  <c r="G39" i="3" s="1"/>
  <c r="I39" i="3" s="1"/>
  <c r="G51" i="3" a="1"/>
  <c r="G51" i="3" s="1"/>
  <c r="G52" i="3" a="1"/>
  <c r="G52" i="3" s="1"/>
  <c r="G34" i="3" a="1"/>
  <c r="G34" i="3" s="1"/>
  <c r="G174" i="3" a="1"/>
  <c r="G174" i="3" s="1"/>
  <c r="G154" i="3" a="1"/>
  <c r="G154" i="3" s="1"/>
  <c r="G152" i="3" a="1"/>
  <c r="G152" i="3" s="1"/>
  <c r="G208" i="3" a="1"/>
  <c r="G208" i="3" s="1"/>
  <c r="G198" i="3" a="1"/>
  <c r="G198" i="3" s="1"/>
  <c r="G197" i="3" a="1"/>
  <c r="G197" i="3" s="1"/>
  <c r="G153" i="3" a="1"/>
  <c r="G153" i="3" s="1"/>
  <c r="G173" i="3" a="1"/>
  <c r="G173" i="3" s="1"/>
  <c r="G172" i="3" a="1"/>
  <c r="G172" i="3" s="1"/>
  <c r="G210" i="3" a="1"/>
  <c r="G210" i="3" s="1"/>
  <c r="C208" i="3"/>
  <c r="G209" i="3" a="1"/>
  <c r="G209" i="3" s="1"/>
  <c r="G212" i="3" a="1"/>
  <c r="G212" i="3" s="1"/>
  <c r="G188" i="3" a="1"/>
  <c r="G188" i="3" s="1"/>
  <c r="G58" i="3" a="1"/>
  <c r="G58" i="3" s="1"/>
  <c r="G205" i="3" a="1"/>
  <c r="G205" i="3" s="1"/>
  <c r="G19" i="3" a="1"/>
  <c r="G19" i="3" s="1"/>
  <c r="G102" i="3" a="1"/>
  <c r="G102" i="3" s="1"/>
  <c r="G177" i="3" a="1"/>
  <c r="G177" i="3" s="1"/>
  <c r="G73" i="3" a="1"/>
  <c r="G73" i="3" s="1"/>
  <c r="G10" i="3" a="1"/>
  <c r="G10" i="3" s="1"/>
  <c r="G112" i="3" a="1"/>
  <c r="G112" i="3" s="1"/>
  <c r="G163" i="3" a="1"/>
  <c r="G163" i="3" s="1"/>
  <c r="G36" i="3" a="1"/>
  <c r="G36" i="3" s="1"/>
  <c r="G57" i="3" a="1"/>
  <c r="G57" i="3" s="1"/>
  <c r="G187" i="3" a="1"/>
  <c r="G187" i="3" s="1"/>
  <c r="E80" i="3"/>
  <c r="E78" i="3"/>
  <c r="E76" i="3"/>
  <c r="C3" i="3"/>
  <c r="T219" i="3"/>
  <c r="C158" i="3"/>
  <c r="C207" i="3"/>
  <c r="C191" i="3"/>
  <c r="C133" i="3"/>
  <c r="C165" i="3"/>
  <c r="C153" i="3"/>
  <c r="C119" i="3"/>
  <c r="C92" i="3"/>
  <c r="C14" i="3"/>
  <c r="C101" i="3"/>
  <c r="C69" i="3"/>
  <c r="C48" i="3"/>
  <c r="C22" i="3"/>
  <c r="C204" i="3"/>
  <c r="C13" i="3"/>
  <c r="C150" i="3"/>
  <c r="C47" i="3"/>
  <c r="C33" i="3"/>
  <c r="C185" i="3"/>
  <c r="C43" i="3"/>
  <c r="C29" i="3"/>
  <c r="C67" i="3"/>
  <c r="C214" i="3"/>
  <c r="C179" i="3"/>
  <c r="C112" i="3"/>
  <c r="C77" i="3"/>
  <c r="C39" i="3"/>
  <c r="C125" i="3"/>
  <c r="C157" i="3"/>
  <c r="C151" i="3"/>
  <c r="C79" i="3"/>
  <c r="C27" i="3"/>
  <c r="C178" i="3"/>
  <c r="C126" i="3"/>
  <c r="C57" i="3"/>
  <c r="C38" i="3"/>
  <c r="C209" i="3"/>
  <c r="C200" i="3"/>
  <c r="C218" i="3"/>
  <c r="C216" i="3"/>
  <c r="C212" i="3"/>
  <c r="C210" i="3"/>
  <c r="C206" i="3"/>
  <c r="C202" i="3"/>
  <c r="C198" i="3"/>
  <c r="C196" i="3"/>
  <c r="C194" i="3"/>
  <c r="C190" i="3"/>
  <c r="C186" i="3"/>
  <c r="C184" i="3"/>
  <c r="C182" i="3"/>
  <c r="C176" i="3"/>
  <c r="C174" i="3"/>
  <c r="C170" i="3"/>
  <c r="C168" i="3"/>
  <c r="C164" i="3"/>
  <c r="C160" i="3"/>
  <c r="C156" i="3"/>
  <c r="C154" i="3"/>
  <c r="C152" i="3"/>
  <c r="C148" i="3"/>
  <c r="C146" i="3"/>
  <c r="C144" i="3"/>
  <c r="C140" i="3"/>
  <c r="C138" i="3"/>
  <c r="C136" i="3"/>
  <c r="C132" i="3"/>
  <c r="C128" i="3"/>
  <c r="C123" i="3"/>
  <c r="C118" i="3"/>
  <c r="C116" i="3"/>
  <c r="C114" i="3"/>
  <c r="C110" i="3"/>
  <c r="C108" i="3"/>
  <c r="C106" i="3"/>
  <c r="C99" i="3"/>
  <c r="C97" i="3"/>
  <c r="C95" i="3"/>
  <c r="C93" i="3"/>
  <c r="C89" i="3"/>
  <c r="C87" i="3"/>
  <c r="C85" i="3"/>
  <c r="C83" i="3"/>
  <c r="C81" i="3"/>
  <c r="C74" i="3"/>
  <c r="C72" i="3"/>
  <c r="C70" i="3"/>
  <c r="C65" i="3"/>
  <c r="C63" i="3"/>
  <c r="C61" i="3"/>
  <c r="C56" i="3"/>
  <c r="C54" i="3"/>
  <c r="C52" i="3"/>
  <c r="C50" i="3"/>
  <c r="C46" i="3"/>
  <c r="C44" i="3"/>
  <c r="C42" i="3"/>
  <c r="C40" i="3"/>
  <c r="C34" i="3"/>
  <c r="C30" i="3"/>
  <c r="C28" i="3"/>
  <c r="C26" i="3"/>
  <c r="C24" i="3"/>
  <c r="C19" i="3"/>
  <c r="C17" i="3"/>
  <c r="C11" i="3"/>
  <c r="C9" i="3"/>
  <c r="C7" i="3"/>
  <c r="C5" i="3"/>
  <c r="C211" i="3"/>
  <c r="C199" i="3"/>
  <c r="C188" i="3"/>
  <c r="C141" i="3"/>
  <c r="C91" i="3"/>
  <c r="C217" i="3"/>
  <c r="C213" i="3"/>
  <c r="C142" i="3"/>
  <c r="C215" i="3"/>
  <c r="C205" i="3"/>
  <c r="C192" i="3"/>
  <c r="C166" i="3"/>
  <c r="C134" i="3"/>
  <c r="C120" i="3"/>
  <c r="C103" i="3"/>
  <c r="C32" i="3"/>
  <c r="C197" i="3"/>
  <c r="C193" i="3"/>
  <c r="C187" i="3"/>
  <c r="C181" i="3"/>
  <c r="C177" i="3"/>
  <c r="C175" i="3"/>
  <c r="C171" i="3"/>
  <c r="C167" i="3"/>
  <c r="C159" i="3"/>
  <c r="C155" i="3"/>
  <c r="C149" i="3"/>
  <c r="C147" i="3"/>
  <c r="C143" i="3"/>
  <c r="C139" i="3"/>
  <c r="C135" i="3"/>
  <c r="C127" i="3"/>
  <c r="C124" i="3"/>
  <c r="C121" i="3"/>
  <c r="C117" i="3"/>
  <c r="C113" i="3"/>
  <c r="C109" i="3"/>
  <c r="C105" i="3"/>
  <c r="C104" i="3"/>
  <c r="C102" i="3"/>
  <c r="C100" i="3"/>
  <c r="C98" i="3"/>
  <c r="C94" i="3"/>
  <c r="C90" i="3"/>
  <c r="C88" i="3"/>
  <c r="C86" i="3"/>
  <c r="C84" i="3"/>
  <c r="C82" i="3"/>
  <c r="C75" i="3"/>
  <c r="C71" i="3"/>
  <c r="C68" i="3"/>
  <c r="C66" i="3"/>
  <c r="C64" i="3"/>
  <c r="C60" i="3"/>
  <c r="C59" i="3"/>
  <c r="C55" i="3"/>
  <c r="C51" i="3"/>
  <c r="C49" i="3"/>
  <c r="C201" i="3"/>
  <c r="C195" i="3"/>
  <c r="C189" i="3"/>
  <c r="C173" i="3"/>
  <c r="C169" i="3"/>
  <c r="C161" i="3"/>
  <c r="C145" i="3"/>
  <c r="C137" i="3"/>
  <c r="C129" i="3"/>
  <c r="C115" i="3"/>
  <c r="C96" i="3"/>
  <c r="C62" i="3"/>
  <c r="C16" i="3"/>
  <c r="C23" i="3"/>
  <c r="C10" i="3"/>
  <c r="C203" i="3"/>
  <c r="C183" i="3"/>
  <c r="C107" i="3"/>
  <c r="C73" i="3"/>
  <c r="C25" i="3"/>
  <c r="C21" i="3"/>
  <c r="C18" i="3"/>
  <c r="C15" i="3"/>
  <c r="C12" i="3"/>
  <c r="C8" i="3"/>
  <c r="C4" i="3"/>
  <c r="C35" i="3"/>
  <c r="C31" i="3"/>
  <c r="C20" i="3"/>
  <c r="C6" i="3"/>
  <c r="V218" i="3"/>
  <c r="V216" i="3"/>
  <c r="V214" i="3"/>
  <c r="V212" i="3"/>
  <c r="V210" i="3"/>
  <c r="V208" i="3"/>
  <c r="V206" i="3"/>
  <c r="V204" i="3"/>
  <c r="V202" i="3"/>
  <c r="V200" i="3"/>
  <c r="V198" i="3"/>
  <c r="V196" i="3"/>
  <c r="V194" i="3"/>
  <c r="V192" i="3"/>
  <c r="V190" i="3"/>
  <c r="V188" i="3"/>
  <c r="V186" i="3"/>
  <c r="V184" i="3"/>
  <c r="V178" i="3"/>
  <c r="V168" i="3"/>
  <c r="V162" i="3"/>
  <c r="V158" i="3"/>
  <c r="V152" i="3"/>
  <c r="V146" i="3"/>
  <c r="V140" i="3"/>
  <c r="V134" i="3"/>
  <c r="V130" i="3"/>
  <c r="V182" i="3"/>
  <c r="V180" i="3"/>
  <c r="V176" i="3"/>
  <c r="V174" i="3"/>
  <c r="V172" i="3"/>
  <c r="V170" i="3"/>
  <c r="V166" i="3"/>
  <c r="V164" i="3"/>
  <c r="V160" i="3"/>
  <c r="V156" i="3"/>
  <c r="V154" i="3"/>
  <c r="V150" i="3"/>
  <c r="V148" i="3"/>
  <c r="V144" i="3"/>
  <c r="V142" i="3"/>
  <c r="V138" i="3"/>
  <c r="V136" i="3"/>
  <c r="V132" i="3"/>
  <c r="V128" i="3"/>
  <c r="V217" i="3"/>
  <c r="V213" i="3"/>
  <c r="V209" i="3"/>
  <c r="V203" i="3"/>
  <c r="V199" i="3"/>
  <c r="V195" i="3"/>
  <c r="V191" i="3"/>
  <c r="V189" i="3"/>
  <c r="V185" i="3"/>
  <c r="V181" i="3"/>
  <c r="V177" i="3"/>
  <c r="V173" i="3"/>
  <c r="V169" i="3"/>
  <c r="V165" i="3"/>
  <c r="V161" i="3"/>
  <c r="V157" i="3"/>
  <c r="V153" i="3"/>
  <c r="V149" i="3"/>
  <c r="V145" i="3"/>
  <c r="V141" i="3"/>
  <c r="V137" i="3"/>
  <c r="V133" i="3"/>
  <c r="V129" i="3"/>
  <c r="V125" i="3"/>
  <c r="V119" i="3"/>
  <c r="V115" i="3"/>
  <c r="V111" i="3"/>
  <c r="V107" i="3"/>
  <c r="V104" i="3"/>
  <c r="V100" i="3"/>
  <c r="V96" i="3"/>
  <c r="V92" i="3"/>
  <c r="V88" i="3"/>
  <c r="V84" i="3"/>
  <c r="V79" i="3"/>
  <c r="V73" i="3"/>
  <c r="V66" i="3"/>
  <c r="V62" i="3"/>
  <c r="V59" i="3"/>
  <c r="V55" i="3"/>
  <c r="V51" i="3"/>
  <c r="V47" i="3"/>
  <c r="V43" i="3"/>
  <c r="V39" i="3"/>
  <c r="V35" i="3"/>
  <c r="V31" i="3"/>
  <c r="V27" i="3"/>
  <c r="V23" i="3"/>
  <c r="V20" i="3"/>
  <c r="V16" i="3"/>
  <c r="V14" i="3"/>
  <c r="V10" i="3"/>
  <c r="V6" i="3"/>
  <c r="V126" i="3"/>
  <c r="V123" i="3"/>
  <c r="V120" i="3"/>
  <c r="V118" i="3"/>
  <c r="V116" i="3"/>
  <c r="V114" i="3"/>
  <c r="V112" i="3"/>
  <c r="V110" i="3"/>
  <c r="V108" i="3"/>
  <c r="V106" i="3"/>
  <c r="V103" i="3"/>
  <c r="V101" i="3"/>
  <c r="V99" i="3"/>
  <c r="V97" i="3"/>
  <c r="V95" i="3"/>
  <c r="V93" i="3"/>
  <c r="V91" i="3"/>
  <c r="V89" i="3"/>
  <c r="V87" i="3"/>
  <c r="V85" i="3"/>
  <c r="V83" i="3"/>
  <c r="V81" i="3"/>
  <c r="V77" i="3"/>
  <c r="V74" i="3"/>
  <c r="V72" i="3"/>
  <c r="V70" i="3"/>
  <c r="V69" i="3"/>
  <c r="V67" i="3"/>
  <c r="V65" i="3"/>
  <c r="V63" i="3"/>
  <c r="V61" i="3"/>
  <c r="V122" i="3"/>
  <c r="V58" i="3"/>
  <c r="V56" i="3"/>
  <c r="V54" i="3"/>
  <c r="V52" i="3"/>
  <c r="V50" i="3"/>
  <c r="V48" i="3"/>
  <c r="V46" i="3"/>
  <c r="V44" i="3"/>
  <c r="V42" i="3"/>
  <c r="V40" i="3"/>
  <c r="V38" i="3"/>
  <c r="V36" i="3"/>
  <c r="V34" i="3"/>
  <c r="V32" i="3"/>
  <c r="V30" i="3"/>
  <c r="V28" i="3"/>
  <c r="V26" i="3"/>
  <c r="V24" i="3"/>
  <c r="V22" i="3"/>
  <c r="V19" i="3"/>
  <c r="V17" i="3"/>
  <c r="V13" i="3"/>
  <c r="V11" i="3"/>
  <c r="V9" i="3"/>
  <c r="V7" i="3"/>
  <c r="V5" i="3"/>
  <c r="V4" i="3"/>
  <c r="V3" i="3"/>
  <c r="V215" i="3"/>
  <c r="V211" i="3"/>
  <c r="V207" i="3"/>
  <c r="V205" i="3"/>
  <c r="V201" i="3"/>
  <c r="V197" i="3"/>
  <c r="V193" i="3"/>
  <c r="V187" i="3"/>
  <c r="V183" i="3"/>
  <c r="V179" i="3"/>
  <c r="V175" i="3"/>
  <c r="V171" i="3"/>
  <c r="V167" i="3"/>
  <c r="V163" i="3"/>
  <c r="V159" i="3"/>
  <c r="V155" i="3"/>
  <c r="V151" i="3"/>
  <c r="V147" i="3"/>
  <c r="V143" i="3"/>
  <c r="V139" i="3"/>
  <c r="V135" i="3"/>
  <c r="V131" i="3"/>
  <c r="V127" i="3"/>
  <c r="V124" i="3"/>
  <c r="V121" i="3"/>
  <c r="V117" i="3"/>
  <c r="V113" i="3"/>
  <c r="V109" i="3"/>
  <c r="V105" i="3"/>
  <c r="V102" i="3"/>
  <c r="V98" i="3"/>
  <c r="V94" i="3"/>
  <c r="V90" i="3"/>
  <c r="V86" i="3"/>
  <c r="V82" i="3"/>
  <c r="V75" i="3"/>
  <c r="V71" i="3"/>
  <c r="V68" i="3"/>
  <c r="V64" i="3"/>
  <c r="V60" i="3"/>
  <c r="V57" i="3"/>
  <c r="V53" i="3"/>
  <c r="V49" i="3"/>
  <c r="V45" i="3"/>
  <c r="V41" i="3"/>
  <c r="V37" i="3"/>
  <c r="V33" i="3"/>
  <c r="V29" i="3"/>
  <c r="V25" i="3"/>
  <c r="V21" i="3"/>
  <c r="V18" i="3"/>
  <c r="V15" i="3"/>
  <c r="V12" i="3"/>
  <c r="V8" i="3"/>
  <c r="E12" i="3" l="1"/>
  <c r="E25" i="3"/>
  <c r="E41" i="3"/>
  <c r="E57" i="3"/>
  <c r="E71" i="3"/>
  <c r="E105" i="3"/>
  <c r="E121" i="3"/>
  <c r="E151" i="3"/>
  <c r="E167" i="3"/>
  <c r="E179" i="3"/>
  <c r="E193" i="3"/>
  <c r="E207" i="3"/>
  <c r="E4" i="3"/>
  <c r="E36" i="3"/>
  <c r="E44" i="3"/>
  <c r="E122" i="3"/>
  <c r="E85" i="3"/>
  <c r="E93" i="3"/>
  <c r="E108" i="3"/>
  <c r="E116" i="3"/>
  <c r="E31" i="3"/>
  <c r="E79" i="3"/>
  <c r="E96" i="3"/>
  <c r="E111" i="3"/>
  <c r="E145" i="3"/>
  <c r="E161" i="3"/>
  <c r="E189" i="3"/>
  <c r="E203" i="3"/>
  <c r="E164" i="3"/>
  <c r="E182" i="3"/>
  <c r="E168" i="3"/>
  <c r="E200" i="3"/>
  <c r="E214" i="3"/>
  <c r="E33" i="3"/>
  <c r="E49" i="3"/>
  <c r="E82" i="3"/>
  <c r="E113" i="3"/>
  <c r="E127" i="3"/>
  <c r="E159" i="3"/>
  <c r="E187" i="3"/>
  <c r="E215" i="3"/>
  <c r="E17" i="3"/>
  <c r="E24" i="3"/>
  <c r="E32" i="3"/>
  <c r="E40" i="3"/>
  <c r="E48" i="3"/>
  <c r="E56" i="3"/>
  <c r="E63" i="3"/>
  <c r="E81" i="3"/>
  <c r="E89" i="3"/>
  <c r="E97" i="3"/>
  <c r="E112" i="3"/>
  <c r="E120" i="3"/>
  <c r="E10" i="3"/>
  <c r="E39" i="3"/>
  <c r="E55" i="3"/>
  <c r="E88" i="3"/>
  <c r="E119" i="3"/>
  <c r="E169" i="3"/>
  <c r="E181" i="3"/>
  <c r="E195" i="3"/>
  <c r="E209" i="3"/>
  <c r="E156" i="3"/>
  <c r="E170" i="3"/>
  <c r="E176" i="3"/>
  <c r="E134" i="3"/>
  <c r="E158" i="3"/>
  <c r="E178" i="3"/>
  <c r="E196" i="3"/>
  <c r="E204" i="3"/>
  <c r="E210" i="3"/>
  <c r="E37" i="3"/>
  <c r="E53" i="3"/>
  <c r="E86" i="3"/>
  <c r="E131" i="3"/>
  <c r="E147" i="3"/>
  <c r="E163" i="3"/>
  <c r="E205" i="3"/>
  <c r="E3" i="3"/>
  <c r="E9" i="3"/>
  <c r="E19" i="3"/>
  <c r="E26" i="3"/>
  <c r="E34" i="3"/>
  <c r="E50" i="3"/>
  <c r="E58" i="3"/>
  <c r="E65" i="3"/>
  <c r="E72" i="3"/>
  <c r="E83" i="3"/>
  <c r="E91" i="3"/>
  <c r="E106" i="3"/>
  <c r="E114" i="3"/>
  <c r="E123" i="3"/>
  <c r="E27" i="3"/>
  <c r="E73" i="3"/>
  <c r="E92" i="3"/>
  <c r="E125" i="3"/>
  <c r="E141" i="3"/>
  <c r="E157" i="3"/>
  <c r="E185" i="3"/>
  <c r="E199" i="3"/>
  <c r="E213" i="3"/>
  <c r="E136" i="3"/>
  <c r="E148" i="3"/>
  <c r="E160" i="3"/>
  <c r="E172" i="3"/>
  <c r="E180" i="3"/>
  <c r="E140" i="3"/>
  <c r="E162" i="3"/>
  <c r="E190" i="3"/>
  <c r="E206" i="3"/>
  <c r="E212" i="3"/>
  <c r="E15" i="3"/>
  <c r="E29" i="3"/>
  <c r="E45" i="3"/>
  <c r="E60" i="3"/>
  <c r="E75" i="3"/>
  <c r="E94" i="3"/>
  <c r="E109" i="3"/>
  <c r="E124" i="3"/>
  <c r="E139" i="3"/>
  <c r="E155" i="3"/>
  <c r="E183" i="3"/>
  <c r="E197" i="3"/>
  <c r="E211" i="3"/>
  <c r="E5" i="3"/>
  <c r="E13" i="3"/>
  <c r="E22" i="3"/>
  <c r="E30" i="3"/>
  <c r="E38" i="3"/>
  <c r="E54" i="3"/>
  <c r="E61" i="3"/>
  <c r="E77" i="3"/>
  <c r="E118" i="3"/>
  <c r="E35" i="3"/>
  <c r="E115" i="3"/>
  <c r="E165" i="3"/>
  <c r="E191" i="3"/>
  <c r="E128" i="3"/>
  <c r="E174" i="3"/>
  <c r="E130" i="3"/>
  <c r="E152" i="3"/>
  <c r="E202" i="3"/>
  <c r="E216" i="3"/>
  <c r="E90" i="3"/>
  <c r="E135" i="3"/>
  <c r="E11" i="3"/>
  <c r="E70" i="3"/>
  <c r="E23" i="3"/>
  <c r="E104" i="3"/>
  <c r="E137" i="3"/>
  <c r="E153" i="3"/>
  <c r="E132" i="3"/>
  <c r="E144" i="3"/>
  <c r="E218" i="3"/>
  <c r="E66" i="3"/>
  <c r="E100" i="3"/>
  <c r="E99" i="3"/>
  <c r="E14" i="3"/>
  <c r="E43" i="3"/>
  <c r="E59" i="3"/>
  <c r="E184" i="3"/>
  <c r="E198" i="3"/>
  <c r="E64" i="3"/>
  <c r="E98" i="3"/>
  <c r="E143" i="3"/>
  <c r="E201" i="3"/>
  <c r="E7" i="3"/>
  <c r="E28" i="3"/>
  <c r="E52" i="3"/>
  <c r="E67" i="3"/>
  <c r="E74" i="3"/>
  <c r="E101" i="3"/>
  <c r="E126" i="3"/>
  <c r="E16" i="3"/>
  <c r="E47" i="3"/>
  <c r="E62" i="3"/>
  <c r="E129" i="3"/>
  <c r="E173" i="3"/>
  <c r="E217" i="3"/>
  <c r="E138" i="3"/>
  <c r="E150" i="3"/>
  <c r="E146" i="3"/>
  <c r="E186" i="3"/>
  <c r="E192" i="3"/>
  <c r="E171" i="3"/>
  <c r="E42" i="3"/>
  <c r="E107" i="3"/>
  <c r="E18" i="3"/>
  <c r="E8" i="3"/>
  <c r="E21" i="3"/>
  <c r="E68" i="3"/>
  <c r="E102" i="3"/>
  <c r="E117" i="3"/>
  <c r="E175" i="3"/>
  <c r="E46" i="3"/>
  <c r="E69" i="3"/>
  <c r="E87" i="3"/>
  <c r="E95" i="3"/>
  <c r="E103" i="3"/>
  <c r="E110" i="3"/>
  <c r="E6" i="3"/>
  <c r="E20" i="3"/>
  <c r="E51" i="3"/>
  <c r="E84" i="3"/>
  <c r="E133" i="3"/>
  <c r="E149" i="3"/>
  <c r="E177" i="3"/>
  <c r="E142" i="3"/>
  <c r="E154" i="3"/>
  <c r="E166" i="3"/>
  <c r="E188" i="3"/>
  <c r="E194" i="3"/>
  <c r="E208" i="3"/>
  <c r="Z135" i="3" l="1"/>
  <c r="AA137" i="3"/>
  <c r="AA138" i="3"/>
  <c r="AA136" i="3"/>
  <c r="Z138" i="3"/>
  <c r="Z136" i="3"/>
  <c r="Z137" i="3"/>
  <c r="AA135" i="3"/>
  <c r="H80" i="3" a="1"/>
  <c r="H80" i="3" s="1"/>
  <c r="H76" i="3" a="1"/>
  <c r="H76" i="3" s="1"/>
  <c r="H78" i="3" a="1"/>
  <c r="H78" i="3" s="1"/>
  <c r="H208" i="3" l="1" a="1"/>
  <c r="H208" i="3" s="1"/>
  <c r="I208" i="3" s="1"/>
  <c r="H90" i="3" a="1"/>
  <c r="H90" i="3" s="1"/>
  <c r="H140" i="3" a="1"/>
  <c r="H140" i="3" s="1"/>
  <c r="H189" i="3" a="1"/>
  <c r="H189" i="3" s="1"/>
  <c r="H44" i="3" a="1"/>
  <c r="H44" i="3" s="1"/>
  <c r="H129" i="3" a="1"/>
  <c r="H129" i="3" s="1"/>
  <c r="H72" i="3" a="1"/>
  <c r="H72" i="3" s="1"/>
  <c r="H191" i="3" a="1"/>
  <c r="H191" i="3" s="1"/>
  <c r="H4" i="3" a="1"/>
  <c r="H4" i="3" s="1"/>
  <c r="H77" i="3" a="1"/>
  <c r="H77" i="3" s="1"/>
  <c r="H124" i="3" a="1"/>
  <c r="H124" i="3" s="1"/>
  <c r="H97" i="3" a="1"/>
  <c r="H97" i="3" s="1"/>
  <c r="H111" i="3" a="1"/>
  <c r="H111" i="3" s="1"/>
  <c r="H139" i="3" a="1"/>
  <c r="H139" i="3" s="1"/>
  <c r="H207" i="3" a="1"/>
  <c r="H207" i="3" s="1"/>
  <c r="H209" i="3" a="1"/>
  <c r="H209" i="3" s="1"/>
  <c r="I209" i="3" s="1"/>
  <c r="H8" i="3" a="1"/>
  <c r="H8" i="3" s="1"/>
  <c r="H48" i="3" a="1"/>
  <c r="H48" i="3" s="1"/>
  <c r="H53" i="3" a="1"/>
  <c r="H53" i="3" s="1"/>
  <c r="H186" i="3" a="1"/>
  <c r="H186" i="3" s="1"/>
  <c r="H56" i="3" a="1"/>
  <c r="H56" i="3" s="1"/>
  <c r="H171" i="3" a="1"/>
  <c r="H171" i="3" s="1"/>
  <c r="H161" i="3" a="1"/>
  <c r="H161" i="3" s="1"/>
  <c r="H85" i="3" a="1"/>
  <c r="H85" i="3" s="1"/>
  <c r="H25" i="3" a="1"/>
  <c r="H25" i="3" s="1"/>
  <c r="H20" i="3" a="1"/>
  <c r="H20" i="3" s="1"/>
  <c r="H86" i="3" a="1"/>
  <c r="H86" i="3" s="1"/>
  <c r="H115" i="3" a="1"/>
  <c r="H115" i="3" s="1"/>
  <c r="H178" i="3" a="1"/>
  <c r="H178" i="3" s="1"/>
  <c r="H17" i="3" a="1"/>
  <c r="H17" i="3" s="1"/>
  <c r="H75" i="3" a="1"/>
  <c r="H75" i="3" s="1"/>
  <c r="H146" i="3" a="1"/>
  <c r="H146" i="3" s="1"/>
  <c r="H103" i="3" a="1"/>
  <c r="H103" i="3" s="1"/>
  <c r="H145" i="3" a="1"/>
  <c r="H145" i="3" s="1"/>
  <c r="H210" i="3" a="1"/>
  <c r="H210" i="3" s="1"/>
  <c r="I210" i="3" s="1"/>
  <c r="H92" i="3" a="1"/>
  <c r="H92" i="3" s="1"/>
  <c r="H184" i="3" a="1"/>
  <c r="H184" i="3" s="1"/>
  <c r="H182" i="3" a="1"/>
  <c r="H182" i="3" s="1"/>
  <c r="H28" i="3" a="1"/>
  <c r="H28" i="3" s="1"/>
  <c r="H114" i="3" a="1"/>
  <c r="H114" i="3" s="1"/>
  <c r="H94" i="3" a="1"/>
  <c r="H94" i="3" s="1"/>
  <c r="H9" i="3" a="1"/>
  <c r="H9" i="3" s="1"/>
  <c r="H185" i="3" a="1"/>
  <c r="H185" i="3" s="1"/>
  <c r="H168" i="3" a="1"/>
  <c r="H168" i="3" s="1"/>
  <c r="H119" i="3" a="1"/>
  <c r="H119" i="3" s="1"/>
  <c r="H107" i="3" a="1"/>
  <c r="H107" i="3" s="1"/>
  <c r="H181" i="3" a="1"/>
  <c r="H181" i="3" s="1"/>
  <c r="H218" i="3" a="1"/>
  <c r="H218" i="3" s="1"/>
  <c r="H159" i="3" a="1"/>
  <c r="H159" i="3" s="1"/>
  <c r="H196" i="3" a="1"/>
  <c r="H196" i="3" s="1"/>
  <c r="H26" i="3" a="1"/>
  <c r="H26" i="3" s="1"/>
  <c r="H158" i="3" a="1"/>
  <c r="H158" i="3" s="1"/>
  <c r="H45" i="3" a="1"/>
  <c r="H45" i="3" s="1"/>
  <c r="H153" i="3" a="1"/>
  <c r="H153" i="3" s="1"/>
  <c r="I153" i="3" s="1"/>
  <c r="H91" i="3" a="1"/>
  <c r="H91" i="3" s="1"/>
  <c r="H199" i="3" a="1"/>
  <c r="H199" i="3" s="1"/>
  <c r="H152" i="3" a="1"/>
  <c r="H152" i="3" s="1"/>
  <c r="I152" i="3" s="1"/>
  <c r="H22" i="3" a="1"/>
  <c r="H22" i="3" s="1"/>
  <c r="H156" i="3" a="1"/>
  <c r="H156" i="3" s="1"/>
  <c r="H13" i="3" a="1"/>
  <c r="H13" i="3" s="1"/>
  <c r="H35" i="3" a="1"/>
  <c r="H35" i="3" s="1"/>
  <c r="H65" i="3" a="1"/>
  <c r="H65" i="3" s="1"/>
  <c r="H68" i="3" a="1"/>
  <c r="H68" i="3" s="1"/>
  <c r="H7" i="3" a="1"/>
  <c r="H7" i="3" s="1"/>
  <c r="H176" i="3" a="1"/>
  <c r="H176" i="3" s="1"/>
  <c r="H194" i="3" a="1"/>
  <c r="H194" i="3" s="1"/>
  <c r="H62" i="3" a="1"/>
  <c r="H62" i="3" s="1"/>
  <c r="H83" i="3" a="1"/>
  <c r="H83" i="3" s="1"/>
  <c r="H89" i="3" a="1"/>
  <c r="H89" i="3" s="1"/>
  <c r="H121" i="3" a="1"/>
  <c r="H121" i="3" s="1"/>
  <c r="H133" i="3" a="1"/>
  <c r="H133" i="3" s="1"/>
  <c r="H87" i="3" a="1"/>
  <c r="H87" i="3" s="1"/>
  <c r="H160" i="3" a="1"/>
  <c r="H160" i="3" s="1"/>
  <c r="H118" i="3" a="1"/>
  <c r="H118" i="3" s="1"/>
  <c r="H180" i="3" a="1"/>
  <c r="H180" i="3" s="1"/>
  <c r="H73" i="3" a="1"/>
  <c r="H73" i="3" s="1"/>
  <c r="I73" i="3" s="1"/>
  <c r="H148" i="3" a="1"/>
  <c r="H148" i="3" s="1"/>
  <c r="H50" i="3" a="1"/>
  <c r="H50" i="3" s="1"/>
  <c r="H132" i="3" a="1"/>
  <c r="H132" i="3" s="1"/>
  <c r="H162" i="3" a="1"/>
  <c r="H162" i="3" s="1"/>
  <c r="H155" i="3" a="1"/>
  <c r="H155" i="3" s="1"/>
  <c r="H125" i="3" a="1"/>
  <c r="H125" i="3" s="1"/>
  <c r="H123" i="3" a="1"/>
  <c r="H123" i="3" s="1"/>
  <c r="H142" i="3" a="1"/>
  <c r="H142" i="3" s="1"/>
  <c r="H46" i="3" a="1"/>
  <c r="H46" i="3" s="1"/>
  <c r="H110" i="3" a="1"/>
  <c r="H110" i="3" s="1"/>
  <c r="H187" i="3" a="1"/>
  <c r="H187" i="3" s="1"/>
  <c r="I187" i="3" s="1"/>
  <c r="H84" i="3" a="1"/>
  <c r="H84" i="3" s="1"/>
  <c r="H99" i="3" a="1"/>
  <c r="H99" i="3" s="1"/>
  <c r="H195" i="3" a="1"/>
  <c r="H195" i="3" s="1"/>
  <c r="H128" i="3" a="1"/>
  <c r="H128" i="3" s="1"/>
  <c r="H122" i="3" a="1"/>
  <c r="H122" i="3" s="1"/>
  <c r="H126" i="3" a="1"/>
  <c r="H126" i="3" s="1"/>
  <c r="H113" i="3" a="1"/>
  <c r="H113" i="3" s="1"/>
  <c r="H100" i="3" a="1"/>
  <c r="H100" i="3" s="1"/>
  <c r="H19" i="3" a="1"/>
  <c r="H19" i="3" s="1"/>
  <c r="I19" i="3" s="1"/>
  <c r="H211" i="3" a="1"/>
  <c r="H211" i="3" s="1"/>
  <c r="H66" i="3" a="1"/>
  <c r="H66" i="3" s="1"/>
  <c r="H102" i="3" a="1"/>
  <c r="H102" i="3" s="1"/>
  <c r="I102" i="3" s="1"/>
  <c r="H200" i="3" a="1"/>
  <c r="H200" i="3" s="1"/>
  <c r="H67" i="3" a="1"/>
  <c r="H67" i="3" s="1"/>
  <c r="H12" i="3" a="1"/>
  <c r="H12" i="3" s="1"/>
  <c r="H177" i="3" a="1"/>
  <c r="H177" i="3" s="1"/>
  <c r="I177" i="3" s="1"/>
  <c r="H154" i="3" a="1"/>
  <c r="H154" i="3" s="1"/>
  <c r="I154" i="3" s="1"/>
  <c r="H98" i="3" a="1"/>
  <c r="H98" i="3" s="1"/>
  <c r="H18" i="3" a="1"/>
  <c r="H18" i="3" s="1"/>
  <c r="H127" i="3" a="1"/>
  <c r="H127" i="3" s="1"/>
  <c r="H170" i="3" a="1"/>
  <c r="H170" i="3" s="1"/>
  <c r="H104" i="3" a="1"/>
  <c r="H104" i="3" s="1"/>
  <c r="H201" i="3" a="1"/>
  <c r="H201" i="3" s="1"/>
  <c r="H214" i="3" a="1"/>
  <c r="H214" i="3" s="1"/>
  <c r="H151" i="3" a="1"/>
  <c r="H151" i="3" s="1"/>
  <c r="H166" i="3" a="1"/>
  <c r="H166" i="3" s="1"/>
  <c r="H217" i="3" a="1"/>
  <c r="H217" i="3" s="1"/>
  <c r="H136" i="3" a="1"/>
  <c r="H136" i="3" s="1"/>
  <c r="H37" i="3" a="1"/>
  <c r="H37" i="3" s="1"/>
  <c r="H163" i="3" a="1"/>
  <c r="H163" i="3" s="1"/>
  <c r="I163" i="3" s="1"/>
  <c r="H101" i="3" a="1"/>
  <c r="H101" i="3" s="1"/>
  <c r="H175" i="3" a="1"/>
  <c r="H175" i="3" s="1"/>
  <c r="H81" i="3" a="1"/>
  <c r="H81" i="3" s="1"/>
  <c r="H24" i="3" a="1"/>
  <c r="H24" i="3" s="1"/>
  <c r="H96" i="3" a="1"/>
  <c r="H96" i="3" s="1"/>
  <c r="H63" i="3" a="1"/>
  <c r="H63" i="3" s="1"/>
  <c r="H55" i="3" a="1"/>
  <c r="H55" i="3" s="1"/>
  <c r="H51" i="3" a="1"/>
  <c r="H51" i="3" s="1"/>
  <c r="I51" i="3" s="1"/>
  <c r="H61" i="3" a="1"/>
  <c r="H61" i="3" s="1"/>
  <c r="H117" i="3" a="1"/>
  <c r="H117" i="3" s="1"/>
  <c r="H215" i="3" a="1"/>
  <c r="H215" i="3" s="1"/>
  <c r="H47" i="3" a="1"/>
  <c r="H47" i="3" s="1"/>
  <c r="H31" i="3" a="1"/>
  <c r="H31" i="3" s="1"/>
  <c r="H36" i="3" a="1"/>
  <c r="H36" i="3" s="1"/>
  <c r="I36" i="3" s="1"/>
  <c r="H147" i="3" a="1"/>
  <c r="H147" i="3" s="1"/>
  <c r="H179" i="3" a="1"/>
  <c r="H179" i="3" s="1"/>
  <c r="H95" i="3" a="1"/>
  <c r="H95" i="3" s="1"/>
  <c r="H64" i="3" a="1"/>
  <c r="H64" i="3" s="1"/>
  <c r="H21" i="3" a="1"/>
  <c r="H21" i="3" s="1"/>
  <c r="H138" i="3" a="1"/>
  <c r="H138" i="3" s="1"/>
  <c r="H131" i="3" a="1"/>
  <c r="H131" i="3" s="1"/>
  <c r="H109" i="3" a="1"/>
  <c r="H109" i="3" s="1"/>
  <c r="H173" i="3" a="1"/>
  <c r="H173" i="3" s="1"/>
  <c r="I173" i="3" s="1"/>
  <c r="H193" i="3" a="1"/>
  <c r="H193" i="3" s="1"/>
  <c r="H10" i="3" a="1"/>
  <c r="H10" i="3" s="1"/>
  <c r="I10" i="3" s="1"/>
  <c r="H192" i="3" a="1"/>
  <c r="H192" i="3" s="1"/>
  <c r="H206" i="3" a="1"/>
  <c r="H206" i="3" s="1"/>
  <c r="H88" i="3" a="1"/>
  <c r="H88" i="3" s="1"/>
  <c r="H93" i="3" a="1"/>
  <c r="H93" i="3" s="1"/>
  <c r="H6" i="3" a="1"/>
  <c r="H6" i="3" s="1"/>
  <c r="I6" i="3" s="1"/>
  <c r="H106" i="3" a="1"/>
  <c r="H106" i="3" s="1"/>
  <c r="H5" i="3" a="1"/>
  <c r="H5" i="3" s="1"/>
  <c r="H150" i="3" a="1"/>
  <c r="H150" i="3" s="1"/>
  <c r="H42" i="3" a="1"/>
  <c r="H42" i="3" s="1"/>
  <c r="H169" i="3" a="1"/>
  <c r="H169" i="3" s="1"/>
  <c r="H164" i="3" a="1"/>
  <c r="H164" i="3" s="1"/>
  <c r="H15" i="3" a="1"/>
  <c r="H15" i="3" s="1"/>
  <c r="H134" i="3" a="1"/>
  <c r="H134" i="3" s="1"/>
  <c r="H190" i="3" a="1"/>
  <c r="H190" i="3" s="1"/>
  <c r="H204" i="3" a="1"/>
  <c r="H204" i="3" s="1"/>
  <c r="H71" i="3" a="1"/>
  <c r="H71" i="3" s="1"/>
  <c r="H33" i="3" a="1"/>
  <c r="H33" i="3" s="1"/>
  <c r="H49" i="3" a="1"/>
  <c r="H49" i="3" s="1"/>
  <c r="H205" i="3" a="1"/>
  <c r="H205" i="3" s="1"/>
  <c r="I205" i="3" s="1"/>
  <c r="H144" i="3" a="1"/>
  <c r="H144" i="3" s="1"/>
  <c r="H116" i="3" a="1"/>
  <c r="H116" i="3" s="1"/>
  <c r="H212" i="3" a="1"/>
  <c r="H212" i="3" s="1"/>
  <c r="I212" i="3" s="1"/>
  <c r="H30" i="3" a="1"/>
  <c r="H30" i="3" s="1"/>
  <c r="H79" i="3" a="1"/>
  <c r="H79" i="3" s="1"/>
  <c r="H112" i="3" a="1"/>
  <c r="H112" i="3" s="1"/>
  <c r="I112" i="3" s="1"/>
  <c r="H32" i="3" a="1"/>
  <c r="H32" i="3" s="1"/>
  <c r="H188" i="3" a="1"/>
  <c r="H188" i="3" s="1"/>
  <c r="I188" i="3" s="1"/>
  <c r="H157" i="3" a="1"/>
  <c r="H157" i="3" s="1"/>
  <c r="H16" i="3" a="1"/>
  <c r="H16" i="3" s="1"/>
  <c r="H82" i="3" a="1"/>
  <c r="H82" i="3" s="1"/>
  <c r="H108" i="3" a="1"/>
  <c r="H108" i="3" s="1"/>
  <c r="H52" i="3" l="1" a="1"/>
  <c r="H52" i="3" s="1"/>
  <c r="I52" i="3" s="1"/>
  <c r="H29" i="3" a="1"/>
  <c r="H29" i="3" s="1"/>
  <c r="H57" i="3" a="1"/>
  <c r="H57" i="3" s="1"/>
  <c r="I57" i="3" s="1"/>
  <c r="H143" i="3" a="1"/>
  <c r="H143" i="3" s="1"/>
  <c r="H120" i="3" a="1"/>
  <c r="H120" i="3" s="1"/>
  <c r="H130" i="3" a="1"/>
  <c r="H130" i="3" s="1"/>
  <c r="H58" i="3" a="1"/>
  <c r="H58" i="3" s="1"/>
  <c r="I58" i="3" s="1"/>
  <c r="H135" i="3" a="1"/>
  <c r="H135" i="3" s="1"/>
  <c r="H59" i="3" a="1"/>
  <c r="H59" i="3" s="1"/>
  <c r="H183" i="3" a="1"/>
  <c r="H183" i="3" s="1"/>
  <c r="H14" i="3" a="1"/>
  <c r="H14" i="3" s="1"/>
  <c r="H203" i="3" a="1"/>
  <c r="H203" i="3" s="1"/>
  <c r="H23" i="3" a="1"/>
  <c r="H23" i="3" s="1"/>
  <c r="H70" i="3" a="1"/>
  <c r="H70" i="3" s="1"/>
  <c r="H54" i="3" a="1"/>
  <c r="H54" i="3" s="1"/>
  <c r="H60" i="3" a="1"/>
  <c r="H60" i="3" s="1"/>
  <c r="H167" i="3" a="1"/>
  <c r="H167" i="3" s="1"/>
  <c r="H137" i="3" a="1"/>
  <c r="H137" i="3" s="1"/>
  <c r="H69" i="3" a="1"/>
  <c r="H69" i="3" s="1"/>
  <c r="H202" i="3" a="1"/>
  <c r="H202" i="3" s="1"/>
  <c r="H172" i="3" a="1"/>
  <c r="H172" i="3" s="1"/>
  <c r="I172" i="3" s="1"/>
  <c r="H105" i="3" a="1"/>
  <c r="H105" i="3" s="1"/>
  <c r="H198" i="3" a="1"/>
  <c r="H198" i="3" s="1"/>
  <c r="I198" i="3" s="1"/>
  <c r="H74" i="3" a="1"/>
  <c r="H74" i="3" s="1"/>
  <c r="H11" i="3" a="1"/>
  <c r="H11" i="3" s="1"/>
  <c r="H213" i="3" a="1"/>
  <c r="H213" i="3" s="1"/>
  <c r="H197" i="3" a="1"/>
  <c r="H197" i="3" s="1"/>
  <c r="I197" i="3" s="1"/>
  <c r="H27" i="3" a="1"/>
  <c r="H27" i="3" s="1"/>
  <c r="H174" i="3" a="1"/>
  <c r="H174" i="3" s="1"/>
  <c r="I174" i="3" s="1"/>
  <c r="H34" i="3" a="1"/>
  <c r="H34" i="3" s="1"/>
  <c r="I34" i="3" s="1"/>
  <c r="H141" i="3" a="1"/>
  <c r="H141" i="3" s="1"/>
  <c r="H216" i="3" a="1"/>
  <c r="H216" i="3" s="1"/>
  <c r="H165" i="3" a="1"/>
  <c r="H165" i="3" s="1"/>
  <c r="H43" i="3" a="1"/>
  <c r="H43" i="3" s="1"/>
  <c r="G80" i="3" l="1" a="1"/>
  <c r="G80" i="3" s="1"/>
  <c r="I80" i="3" s="1"/>
  <c r="G76" i="3" a="1"/>
  <c r="G76" i="3" s="1"/>
  <c r="I76" i="3" s="1"/>
  <c r="G78" i="3" a="1"/>
  <c r="G78" i="3" s="1"/>
  <c r="I78" i="3" s="1"/>
  <c r="G124" i="3" a="1"/>
  <c r="G124" i="3" s="1"/>
  <c r="I124" i="3" s="1"/>
  <c r="G147" i="3" a="1"/>
  <c r="G147" i="3" s="1"/>
  <c r="I147" i="3" s="1"/>
  <c r="G60" i="3" a="1"/>
  <c r="G60" i="3" s="1"/>
  <c r="I60" i="3" s="1"/>
  <c r="G35" i="3" a="1"/>
  <c r="G35" i="3" s="1"/>
  <c r="I35" i="3" s="1"/>
  <c r="G201" i="3" a="1"/>
  <c r="G201" i="3" s="1"/>
  <c r="I201" i="3" s="1"/>
  <c r="G82" i="3" a="1"/>
  <c r="G82" i="3" s="1"/>
  <c r="I82" i="3" s="1"/>
  <c r="G29" i="3" a="1"/>
  <c r="G29" i="3" s="1"/>
  <c r="I29" i="3" s="1"/>
  <c r="G175" i="3" a="1"/>
  <c r="G175" i="3" s="1"/>
  <c r="I175" i="3" s="1"/>
  <c r="G75" i="3" a="1"/>
  <c r="G75" i="3" s="1"/>
  <c r="I75" i="3" s="1"/>
  <c r="G16" i="3" a="1"/>
  <c r="G16" i="3" s="1"/>
  <c r="I16" i="3" s="1"/>
  <c r="G166" i="3" a="1"/>
  <c r="G166" i="3" s="1"/>
  <c r="I166" i="3" s="1"/>
  <c r="G31" i="3" a="1"/>
  <c r="G31" i="3" s="1"/>
  <c r="I31" i="3" s="1"/>
  <c r="G121" i="3" a="1"/>
  <c r="G121" i="3" s="1"/>
  <c r="I121" i="3" s="1"/>
  <c r="G46" i="3" a="1"/>
  <c r="G46" i="3" s="1"/>
  <c r="I46" i="3" s="1"/>
  <c r="G99" i="3" a="1"/>
  <c r="G99" i="3" s="1"/>
  <c r="I99" i="3" s="1"/>
  <c r="G79" i="3" a="1"/>
  <c r="G79" i="3" s="1"/>
  <c r="I79" i="3" s="1"/>
  <c r="G90" i="3" a="1"/>
  <c r="G90" i="3" s="1"/>
  <c r="I90" i="3" s="1"/>
  <c r="G68" i="3" a="1"/>
  <c r="G68" i="3" s="1"/>
  <c r="I68" i="3" s="1"/>
  <c r="G189" i="3" a="1"/>
  <c r="G189" i="3" s="1"/>
  <c r="I189" i="3" s="1"/>
  <c r="G104" i="3" a="1"/>
  <c r="G104" i="3" s="1"/>
  <c r="I104" i="3" s="1"/>
  <c r="G92" i="3" a="1"/>
  <c r="G92" i="3" s="1"/>
  <c r="I92" i="3" s="1"/>
  <c r="G66" i="3" a="1"/>
  <c r="G66" i="3" s="1"/>
  <c r="I66" i="3" s="1"/>
  <c r="G120" i="3" a="1"/>
  <c r="G120" i="3" s="1"/>
  <c r="I120" i="3" s="1"/>
  <c r="G202" i="3" a="1"/>
  <c r="G202" i="3" s="1"/>
  <c r="I202" i="3" s="1"/>
  <c r="G9" i="3" a="1"/>
  <c r="G9" i="3" s="1"/>
  <c r="I9" i="3" s="1"/>
  <c r="G211" i="3" a="1"/>
  <c r="G211" i="3" s="1"/>
  <c r="I211" i="3" s="1"/>
  <c r="G199" i="3" a="1"/>
  <c r="G199" i="3" s="1"/>
  <c r="I199" i="3" s="1"/>
  <c r="G137" i="3" a="1"/>
  <c r="G137" i="3" s="1"/>
  <c r="I137" i="3" s="1"/>
  <c r="G98" i="3" a="1"/>
  <c r="G98" i="3" s="1"/>
  <c r="I98" i="3" s="1"/>
  <c r="G191" i="3" a="1"/>
  <c r="G191" i="3" s="1"/>
  <c r="I191" i="3" s="1"/>
  <c r="G204" i="3" a="1"/>
  <c r="G204" i="3" s="1"/>
  <c r="I204" i="3" s="1"/>
  <c r="G89" i="3" a="1"/>
  <c r="G89" i="3" s="1"/>
  <c r="I89" i="3" s="1"/>
  <c r="G28" i="3" a="1"/>
  <c r="G28" i="3" s="1"/>
  <c r="I28" i="3" s="1"/>
  <c r="G30" i="3" a="1"/>
  <c r="G30" i="3" s="1"/>
  <c r="I30" i="3" s="1"/>
  <c r="G218" i="3" a="1"/>
  <c r="G218" i="3" s="1"/>
  <c r="I218" i="3" s="1"/>
  <c r="G26" i="3" a="1"/>
  <c r="G26" i="3" s="1"/>
  <c r="I26" i="3" s="1"/>
  <c r="G72" i="3" a="1"/>
  <c r="G72" i="3" s="1"/>
  <c r="I72" i="3" s="1"/>
  <c r="G11" i="3" a="1"/>
  <c r="G11" i="3" s="1"/>
  <c r="I11" i="3" s="1"/>
  <c r="G185" i="3" a="1"/>
  <c r="G185" i="3" s="1"/>
  <c r="I185" i="3" s="1"/>
  <c r="G181" i="3" a="1"/>
  <c r="G181" i="3" s="1"/>
  <c r="I181" i="3" s="1"/>
  <c r="G64" i="3" a="1"/>
  <c r="G64" i="3" s="1"/>
  <c r="I64" i="3" s="1"/>
  <c r="G132" i="3" a="1"/>
  <c r="G132" i="3" s="1"/>
  <c r="I132" i="3" s="1"/>
  <c r="G203" i="3" a="1"/>
  <c r="G203" i="3" s="1"/>
  <c r="I203" i="3" s="1"/>
  <c r="G165" i="3" a="1"/>
  <c r="G165" i="3" s="1"/>
  <c r="I165" i="3" s="1"/>
  <c r="G142" i="3" a="1"/>
  <c r="G142" i="3" s="1"/>
  <c r="I142" i="3" s="1"/>
  <c r="G160" i="3" a="1"/>
  <c r="G160" i="3" s="1"/>
  <c r="I160" i="3" s="1"/>
  <c r="G40" i="3" a="1"/>
  <c r="G40" i="3" s="1"/>
  <c r="I40" i="3" s="1"/>
  <c r="G44" i="3" a="1"/>
  <c r="G44" i="3" s="1"/>
  <c r="I44" i="3" s="1"/>
  <c r="G215" i="3" a="1"/>
  <c r="G215" i="3" s="1"/>
  <c r="I215" i="3" s="1"/>
  <c r="G213" i="3" a="1"/>
  <c r="G213" i="3" s="1"/>
  <c r="I213" i="3" s="1"/>
  <c r="G15" i="3" a="1"/>
  <c r="G15" i="3" s="1"/>
  <c r="I15" i="3" s="1"/>
  <c r="G118" i="3" a="1"/>
  <c r="G118" i="3" s="1"/>
  <c r="I118" i="3" s="1"/>
  <c r="G122" i="3" a="1"/>
  <c r="G122" i="3" s="1"/>
  <c r="I122" i="3" s="1"/>
  <c r="G87" i="3" a="1"/>
  <c r="G87" i="3" s="1"/>
  <c r="I87" i="3" s="1"/>
  <c r="G127" i="3" a="1"/>
  <c r="G127" i="3" s="1"/>
  <c r="I127" i="3" s="1"/>
  <c r="G162" i="3" a="1"/>
  <c r="G162" i="3" s="1"/>
  <c r="I162" i="3" s="1"/>
  <c r="G149" i="3" a="1"/>
  <c r="G149" i="3" s="1"/>
  <c r="I149" i="3" s="1"/>
  <c r="G53" i="3" a="1"/>
  <c r="G53" i="3" s="1"/>
  <c r="I53" i="3" s="1"/>
  <c r="G156" i="3" a="1"/>
  <c r="G156" i="3" s="1"/>
  <c r="I156" i="3" s="1"/>
  <c r="G144" i="3" a="1"/>
  <c r="G144" i="3" s="1"/>
  <c r="I144" i="3" s="1"/>
  <c r="G195" i="3" a="1"/>
  <c r="G195" i="3" s="1"/>
  <c r="I195" i="3" s="1"/>
  <c r="G126" i="3" a="1"/>
  <c r="G126" i="3" s="1"/>
  <c r="I126" i="3" s="1"/>
  <c r="G183" i="3" a="1"/>
  <c r="G183" i="3" s="1"/>
  <c r="I183" i="3" s="1"/>
  <c r="G134" i="3" a="1"/>
  <c r="G134" i="3" s="1"/>
  <c r="I134" i="3" s="1"/>
  <c r="G133" i="3" a="1"/>
  <c r="G133" i="3" s="1"/>
  <c r="I133" i="3" s="1"/>
  <c r="G8" i="3" a="1"/>
  <c r="G8" i="3" s="1"/>
  <c r="I8" i="3" s="1"/>
  <c r="G77" i="3" a="1"/>
  <c r="G77" i="3" s="1"/>
  <c r="I77" i="3" s="1"/>
  <c r="G110" i="3" a="1"/>
  <c r="G110" i="3" s="1"/>
  <c r="I110" i="3" s="1"/>
  <c r="G49" i="3" a="1"/>
  <c r="G49" i="3" s="1"/>
  <c r="I49" i="3" s="1"/>
  <c r="G146" i="3" a="1"/>
  <c r="G146" i="3" s="1"/>
  <c r="I146" i="3" s="1"/>
  <c r="G85" i="3" a="1"/>
  <c r="G85" i="3" s="1"/>
  <c r="I85" i="3" s="1"/>
  <c r="G55" i="3" a="1"/>
  <c r="G55" i="3" s="1"/>
  <c r="I55" i="3" s="1"/>
  <c r="G109" i="3" a="1"/>
  <c r="G109" i="3" s="1"/>
  <c r="I109" i="3" s="1"/>
  <c r="G178" i="3" a="1"/>
  <c r="G178" i="3" s="1"/>
  <c r="I178" i="3" s="1"/>
  <c r="G67" i="3" a="1"/>
  <c r="G67" i="3" s="1"/>
  <c r="I67" i="3" s="1"/>
  <c r="G138" i="3" a="1"/>
  <c r="G138" i="3" s="1"/>
  <c r="I138" i="3" s="1"/>
  <c r="G150" i="3" a="1"/>
  <c r="G150" i="3" s="1"/>
  <c r="I150" i="3" s="1"/>
  <c r="G125" i="3" a="1"/>
  <c r="G125" i="3" s="1"/>
  <c r="I125" i="3" s="1"/>
  <c r="G180" i="3" a="1"/>
  <c r="G180" i="3" s="1"/>
  <c r="I180" i="3" s="1"/>
  <c r="G81" i="3" a="1"/>
  <c r="G81" i="3" s="1"/>
  <c r="I81" i="3" s="1"/>
  <c r="G129" i="3" a="1"/>
  <c r="G129" i="3" s="1"/>
  <c r="I129" i="3" s="1"/>
  <c r="G194" i="3" a="1"/>
  <c r="G194" i="3" s="1"/>
  <c r="I194" i="3" s="1"/>
  <c r="G206" i="3" a="1"/>
  <c r="G206" i="3" s="1"/>
  <c r="I206" i="3" s="1"/>
  <c r="G117" i="3" a="1"/>
  <c r="G117" i="3" s="1"/>
  <c r="I117" i="3" s="1"/>
  <c r="G23" i="3" a="1"/>
  <c r="G23" i="3" s="1"/>
  <c r="I23" i="3" s="1"/>
  <c r="G12" i="3" a="1"/>
  <c r="G12" i="3" s="1"/>
  <c r="I12" i="3" s="1"/>
  <c r="G168" i="3" a="1"/>
  <c r="G168" i="3" s="1"/>
  <c r="I168" i="3" s="1"/>
  <c r="G24" i="3" a="1"/>
  <c r="G24" i="3" s="1"/>
  <c r="I24" i="3" s="1"/>
  <c r="G88" i="3" a="1"/>
  <c r="G88" i="3" s="1"/>
  <c r="I88" i="3" s="1"/>
  <c r="G7" i="3" a="1"/>
  <c r="G7" i="3" s="1"/>
  <c r="I7" i="3" s="1"/>
  <c r="G169" i="3" a="1"/>
  <c r="G169" i="3" s="1"/>
  <c r="I169" i="3" s="1"/>
  <c r="G170" i="3" a="1"/>
  <c r="G170" i="3" s="1"/>
  <c r="I170" i="3" s="1"/>
  <c r="G94" i="3" a="1"/>
  <c r="G94" i="3" s="1"/>
  <c r="I94" i="3" s="1"/>
  <c r="G161" i="3" a="1"/>
  <c r="G161" i="3" s="1"/>
  <c r="I161" i="3" s="1"/>
  <c r="G217" i="3" a="1"/>
  <c r="G217" i="3" s="1"/>
  <c r="I217" i="3" s="1"/>
  <c r="G33" i="3" a="1"/>
  <c r="G33" i="3" s="1"/>
  <c r="I33" i="3" s="1"/>
  <c r="G21" i="3" a="1"/>
  <c r="G21" i="3" s="1"/>
  <c r="I21" i="3" s="1"/>
  <c r="G100" i="3" a="1"/>
  <c r="G100" i="3" s="1"/>
  <c r="I100" i="3" s="1"/>
  <c r="G115" i="3" a="1"/>
  <c r="G115" i="3" s="1"/>
  <c r="I115" i="3" s="1"/>
  <c r="G95" i="3" a="1"/>
  <c r="G95" i="3" s="1"/>
  <c r="I95" i="3" s="1"/>
  <c r="G200" i="3" a="1"/>
  <c r="G200" i="3" s="1"/>
  <c r="I200" i="3" s="1"/>
  <c r="G93" i="3" a="1"/>
  <c r="G93" i="3" s="1"/>
  <c r="I93" i="3" s="1"/>
  <c r="G113" i="3" a="1"/>
  <c r="G113" i="3" s="1"/>
  <c r="I113" i="3" s="1"/>
  <c r="G167" i="3" a="1"/>
  <c r="G167" i="3" s="1"/>
  <c r="I167" i="3" s="1"/>
  <c r="G108" i="3" a="1"/>
  <c r="G108" i="3" s="1"/>
  <c r="I108" i="3" s="1"/>
  <c r="G128" i="3" a="1"/>
  <c r="G128" i="3" s="1"/>
  <c r="I128" i="3" s="1"/>
  <c r="G131" i="3" a="1"/>
  <c r="G131" i="3" s="1"/>
  <c r="I131" i="3" s="1"/>
  <c r="G148" i="3" a="1"/>
  <c r="G148" i="3" s="1"/>
  <c r="I148" i="3" s="1"/>
  <c r="G17" i="3" a="1"/>
  <c r="G17" i="3" s="1"/>
  <c r="I17" i="3" s="1"/>
  <c r="G62" i="3" a="1"/>
  <c r="G62" i="3" s="1"/>
  <c r="I62" i="3" s="1"/>
  <c r="G136" i="3" a="1"/>
  <c r="G136" i="3" s="1"/>
  <c r="I136" i="3" s="1"/>
  <c r="G91" i="3" a="1"/>
  <c r="G91" i="3" s="1"/>
  <c r="I91" i="3" s="1"/>
  <c r="G193" i="3" a="1"/>
  <c r="G193" i="3" s="1"/>
  <c r="I193" i="3" s="1"/>
  <c r="G59" i="3" a="1"/>
  <c r="G59" i="3" s="1"/>
  <c r="I59" i="3" s="1"/>
  <c r="G70" i="3" a="1"/>
  <c r="G70" i="3" s="1"/>
  <c r="I70" i="3" s="1"/>
  <c r="G182" i="3" a="1"/>
  <c r="G182" i="3" s="1"/>
  <c r="I182" i="3" s="1"/>
  <c r="G145" i="3" a="1"/>
  <c r="G145" i="3" s="1"/>
  <c r="I145" i="3" s="1"/>
  <c r="G61" i="3" a="1"/>
  <c r="G61" i="3" s="1"/>
  <c r="I61" i="3" s="1"/>
  <c r="G48" i="3" a="1"/>
  <c r="G48" i="3" s="1"/>
  <c r="I48" i="3" s="1"/>
  <c r="G41" i="3" a="1"/>
  <c r="G41" i="3" s="1"/>
  <c r="I41" i="3" s="1"/>
  <c r="G25" i="3" a="1"/>
  <c r="G25" i="3" s="1"/>
  <c r="I25" i="3" s="1"/>
  <c r="G179" i="3" a="1"/>
  <c r="G179" i="3" s="1"/>
  <c r="I179" i="3" s="1"/>
  <c r="G184" i="3" a="1"/>
  <c r="G184" i="3" s="1"/>
  <c r="I184" i="3" s="1"/>
  <c r="G116" i="3" a="1"/>
  <c r="G116" i="3" s="1"/>
  <c r="I116" i="3" s="1"/>
  <c r="G157" i="3" a="1"/>
  <c r="G157" i="3" s="1"/>
  <c r="I157" i="3" s="1"/>
  <c r="G13" i="3" a="1"/>
  <c r="G13" i="3" s="1"/>
  <c r="I13" i="3" s="1"/>
  <c r="G111" i="3" a="1"/>
  <c r="G111" i="3" s="1"/>
  <c r="I111" i="3" s="1"/>
  <c r="G84" i="3" a="1"/>
  <c r="G84" i="3" s="1"/>
  <c r="I84" i="3" s="1"/>
  <c r="G45" i="3" a="1"/>
  <c r="G45" i="3" s="1"/>
  <c r="I45" i="3" s="1"/>
  <c r="G164" i="3" a="1"/>
  <c r="G164" i="3" s="1"/>
  <c r="I164" i="3" s="1"/>
  <c r="G54" i="3" a="1"/>
  <c r="G54" i="3" s="1"/>
  <c r="I54" i="3" s="1"/>
  <c r="G69" i="3" a="1"/>
  <c r="G69" i="3" s="1"/>
  <c r="I69" i="3" s="1"/>
  <c r="G42" i="3" a="1"/>
  <c r="G42" i="3" s="1"/>
  <c r="I42" i="3" s="1"/>
  <c r="G130" i="3" a="1"/>
  <c r="G130" i="3" s="1"/>
  <c r="I130" i="3" s="1"/>
  <c r="G86" i="3" a="1"/>
  <c r="G86" i="3" s="1"/>
  <c r="I86" i="3" s="1"/>
  <c r="G38" i="3" a="1"/>
  <c r="G38" i="3" s="1"/>
  <c r="I38" i="3" s="1"/>
  <c r="G171" i="3" a="1"/>
  <c r="G171" i="3" s="1"/>
  <c r="I171" i="3" s="1"/>
  <c r="G151" i="3" a="1"/>
  <c r="G151" i="3" s="1"/>
  <c r="I151" i="3" s="1"/>
  <c r="G123" i="3" a="1"/>
  <c r="G123" i="3" s="1"/>
  <c r="I123" i="3" s="1"/>
  <c r="G186" i="3" a="1"/>
  <c r="G186" i="3" s="1"/>
  <c r="I186" i="3" s="1"/>
  <c r="G103" i="3" a="1"/>
  <c r="G103" i="3" s="1"/>
  <c r="I103" i="3" s="1"/>
  <c r="G159" i="3" a="1"/>
  <c r="G159" i="3" s="1"/>
  <c r="I159" i="3" s="1"/>
  <c r="G50" i="3" a="1"/>
  <c r="G50" i="3" s="1"/>
  <c r="I50" i="3" s="1"/>
  <c r="G4" i="3" a="1"/>
  <c r="G4" i="3" s="1"/>
  <c r="I4" i="3" s="1"/>
  <c r="G47" i="3" a="1"/>
  <c r="G47" i="3" s="1"/>
  <c r="I47" i="3" s="1"/>
  <c r="G176" i="3" a="1"/>
  <c r="G176" i="3" s="1"/>
  <c r="I176" i="3" s="1"/>
  <c r="G190" i="3" a="1"/>
  <c r="G190" i="3" s="1"/>
  <c r="I190" i="3" s="1"/>
  <c r="G214" i="3" a="1"/>
  <c r="G214" i="3" s="1"/>
  <c r="I214" i="3" s="1"/>
  <c r="G18" i="3" a="1"/>
  <c r="G18" i="3" s="1"/>
  <c r="I18" i="3" s="1"/>
  <c r="G105" i="3" a="1"/>
  <c r="G105" i="3" s="1"/>
  <c r="I105" i="3" s="1"/>
  <c r="G96" i="3" a="1"/>
  <c r="G96" i="3" s="1"/>
  <c r="I96" i="3" s="1"/>
  <c r="G207" i="3" a="1"/>
  <c r="G207" i="3" s="1"/>
  <c r="I207" i="3" s="1"/>
  <c r="G20" i="3" a="1"/>
  <c r="G20" i="3" s="1"/>
  <c r="I20" i="3" s="1"/>
  <c r="G63" i="3" a="1"/>
  <c r="G63" i="3" s="1"/>
  <c r="I63" i="3" s="1"/>
  <c r="G83" i="3" a="1"/>
  <c r="G83" i="3" s="1"/>
  <c r="I83" i="3" s="1"/>
  <c r="G155" i="3" a="1"/>
  <c r="G155" i="3" s="1"/>
  <c r="I155" i="3" s="1"/>
  <c r="G119" i="3" a="1"/>
  <c r="G119" i="3" s="1"/>
  <c r="I119" i="3" s="1"/>
  <c r="G27" i="3" a="1"/>
  <c r="G27" i="3" s="1"/>
  <c r="I27" i="3" s="1"/>
  <c r="G37" i="3" a="1"/>
  <c r="G37" i="3" s="1"/>
  <c r="I37" i="3" s="1"/>
  <c r="G106" i="3" a="1"/>
  <c r="G106" i="3" s="1"/>
  <c r="I106" i="3" s="1"/>
  <c r="G140" i="3" a="1"/>
  <c r="G140" i="3" s="1"/>
  <c r="I140" i="3" s="1"/>
  <c r="G192" i="3" a="1"/>
  <c r="G192" i="3" s="1"/>
  <c r="I192" i="3" s="1"/>
  <c r="G135" i="3" a="1"/>
  <c r="G135" i="3" s="1"/>
  <c r="I135" i="3" s="1"/>
  <c r="G97" i="3" a="1"/>
  <c r="G97" i="3" s="1"/>
  <c r="I97" i="3" s="1"/>
  <c r="G56" i="3" a="1"/>
  <c r="G56" i="3" s="1"/>
  <c r="I56" i="3" s="1"/>
  <c r="G101" i="3" a="1"/>
  <c r="G101" i="3" s="1"/>
  <c r="I101" i="3" s="1"/>
  <c r="G107" i="3" a="1"/>
  <c r="G107" i="3" s="1"/>
  <c r="I107" i="3" s="1"/>
  <c r="G143" i="3" a="1"/>
  <c r="G143" i="3" s="1"/>
  <c r="I143" i="3" s="1"/>
  <c r="G14" i="3" a="1"/>
  <c r="G14" i="3" s="1"/>
  <c r="I14" i="3" s="1"/>
  <c r="G32" i="3" a="1"/>
  <c r="G32" i="3" s="1"/>
  <c r="I32" i="3" s="1"/>
  <c r="G139" i="3" a="1"/>
  <c r="G139" i="3" s="1"/>
  <c r="I139" i="3" s="1"/>
  <c r="G43" i="3" a="1"/>
  <c r="G43" i="3" s="1"/>
  <c r="I43" i="3" s="1"/>
  <c r="G74" i="3" a="1"/>
  <c r="G74" i="3" s="1"/>
  <c r="I74" i="3" s="1"/>
  <c r="G5" i="3" a="1"/>
  <c r="G5" i="3" s="1"/>
  <c r="I5" i="3" s="1"/>
  <c r="G114" i="3" a="1"/>
  <c r="G114" i="3" s="1"/>
  <c r="I114" i="3" s="1"/>
  <c r="G22" i="3" a="1"/>
  <c r="G22" i="3" s="1"/>
  <c r="I22" i="3" s="1"/>
  <c r="G196" i="3" a="1"/>
  <c r="G196" i="3" s="1"/>
  <c r="I196" i="3" s="1"/>
  <c r="G65" i="3" a="1"/>
  <c r="G65" i="3" s="1"/>
  <c r="I65" i="3" s="1"/>
  <c r="G71" i="3" a="1"/>
  <c r="G71" i="3" s="1"/>
  <c r="I71" i="3" s="1"/>
  <c r="G141" i="3" a="1"/>
  <c r="G141" i="3" s="1"/>
  <c r="I141" i="3" s="1"/>
  <c r="G3" i="3" a="1"/>
  <c r="G3" i="3" s="1"/>
  <c r="I3" i="3" s="1"/>
  <c r="G158" i="3" a="1"/>
  <c r="G158" i="3" s="1"/>
  <c r="I158" i="3" s="1"/>
  <c r="G216" i="3" a="1"/>
  <c r="G216" i="3" s="1"/>
  <c r="I216" i="3" s="1"/>
  <c r="D76" i="3" l="1"/>
  <c r="D122" i="3"/>
  <c r="D78" i="3"/>
  <c r="D88" i="3"/>
  <c r="D98" i="3"/>
  <c r="D80" i="3"/>
  <c r="D20" i="3"/>
  <c r="D141" i="3"/>
  <c r="D48" i="3"/>
  <c r="D47" i="3"/>
  <c r="D50" i="3"/>
  <c r="D51" i="3"/>
  <c r="D43" i="3"/>
  <c r="D56" i="3" l="1"/>
  <c r="D7" i="3"/>
  <c r="D153" i="3"/>
  <c r="D105" i="3"/>
  <c r="D181" i="3"/>
  <c r="D131" i="3"/>
  <c r="D166" i="3"/>
  <c r="D84" i="3"/>
  <c r="D165" i="3"/>
  <c r="D39" i="3"/>
  <c r="D211" i="3"/>
  <c r="D109" i="3"/>
  <c r="D15" i="3"/>
  <c r="D188" i="3"/>
  <c r="D45" i="3"/>
  <c r="D198" i="3"/>
  <c r="D79" i="3"/>
  <c r="D129" i="3"/>
  <c r="D11" i="3"/>
  <c r="D68" i="3"/>
  <c r="D118" i="3"/>
  <c r="D175" i="3"/>
  <c r="D130" i="3"/>
  <c r="D190" i="3"/>
  <c r="D155" i="3"/>
  <c r="D156" i="3"/>
  <c r="D133" i="3"/>
  <c r="D173" i="3"/>
  <c r="D148" i="3"/>
  <c r="D157" i="3"/>
  <c r="D196" i="3"/>
  <c r="D37" i="3"/>
  <c r="D176" i="3"/>
  <c r="D169" i="3"/>
  <c r="D193" i="3"/>
  <c r="D146" i="3"/>
  <c r="D81" i="3"/>
  <c r="D200" i="3"/>
  <c r="D55" i="3"/>
  <c r="D186" i="3"/>
  <c r="D5" i="3"/>
  <c r="D199" i="3"/>
  <c r="D179" i="3"/>
  <c r="D178" i="3"/>
  <c r="D145" i="3"/>
  <c r="D113" i="3"/>
  <c r="D34" i="3"/>
  <c r="D134" i="3"/>
  <c r="D210" i="3"/>
  <c r="D44" i="3"/>
  <c r="D60" i="3"/>
  <c r="D67" i="3"/>
  <c r="D66" i="3"/>
  <c r="D167" i="3"/>
  <c r="D102" i="3"/>
  <c r="D18" i="3"/>
  <c r="D180" i="3"/>
  <c r="D116" i="3"/>
  <c r="D149" i="3"/>
  <c r="D217" i="3"/>
  <c r="D99" i="3"/>
  <c r="D10" i="3"/>
  <c r="D27" i="3"/>
  <c r="D170" i="3"/>
  <c r="D114" i="3"/>
  <c r="D72" i="3"/>
  <c r="D41" i="3"/>
  <c r="D63" i="3"/>
  <c r="D108" i="3"/>
  <c r="D195" i="3"/>
  <c r="D111" i="3"/>
  <c r="D164" i="3"/>
  <c r="D120" i="3"/>
  <c r="D4" i="3"/>
  <c r="D107" i="3"/>
  <c r="D58" i="3"/>
  <c r="D212" i="3"/>
  <c r="D140" i="3"/>
  <c r="D106" i="3"/>
  <c r="D70" i="3"/>
  <c r="D97" i="3"/>
  <c r="D46" i="3"/>
  <c r="D206" i="3"/>
  <c r="D103" i="3"/>
  <c r="D197" i="3"/>
  <c r="D61" i="3"/>
  <c r="D52" i="3"/>
  <c r="D16" i="3"/>
  <c r="D49" i="3"/>
  <c r="D8" i="3"/>
  <c r="D25" i="3"/>
  <c r="D96" i="3"/>
  <c r="D35" i="3"/>
  <c r="D91" i="3"/>
  <c r="D192" i="3"/>
  <c r="D185" i="3"/>
  <c r="D90" i="3"/>
  <c r="D218" i="3"/>
  <c r="D174" i="3"/>
  <c r="D69" i="3"/>
  <c r="D3" i="3"/>
  <c r="D136" i="3"/>
  <c r="D216" i="3"/>
  <c r="D62" i="3"/>
  <c r="D137" i="3"/>
  <c r="D112" i="3"/>
  <c r="D104" i="3"/>
  <c r="D14" i="3"/>
  <c r="D215" i="3"/>
  <c r="D182" i="3"/>
  <c r="D184" i="3"/>
  <c r="D73" i="3"/>
  <c r="D161" i="3"/>
  <c r="D94" i="3"/>
  <c r="D123" i="3"/>
  <c r="D12" i="3"/>
  <c r="D150" i="3"/>
  <c r="D100" i="3"/>
  <c r="D101" i="3"/>
  <c r="D110" i="3"/>
  <c r="D31" i="3"/>
  <c r="D158" i="3"/>
  <c r="D30" i="3"/>
  <c r="D191" i="3"/>
  <c r="D168" i="3"/>
  <c r="D144" i="3"/>
  <c r="D57" i="3"/>
  <c r="D23" i="3"/>
  <c r="D205" i="3"/>
  <c r="D207" i="3"/>
  <c r="D128" i="3"/>
  <c r="D24" i="3"/>
  <c r="D38" i="3"/>
  <c r="D127" i="3"/>
  <c r="D36" i="3"/>
  <c r="D160" i="3"/>
  <c r="D17" i="3"/>
  <c r="D9" i="3"/>
  <c r="D13" i="3"/>
  <c r="D213" i="3"/>
  <c r="D82" i="3"/>
  <c r="D33" i="3"/>
  <c r="D126" i="3"/>
  <c r="D139" i="3"/>
  <c r="D119" i="3"/>
  <c r="D117" i="3"/>
  <c r="D42" i="3"/>
  <c r="D142" i="3"/>
  <c r="D115" i="3"/>
  <c r="D71" i="3"/>
  <c r="D208" i="3"/>
  <c r="D124" i="3"/>
  <c r="D159" i="3"/>
  <c r="D152" i="3"/>
  <c r="D214" i="3"/>
  <c r="D21" i="3"/>
  <c r="D53" i="3"/>
  <c r="D54" i="3"/>
  <c r="D92" i="3"/>
  <c r="D29" i="3"/>
  <c r="D194" i="3"/>
  <c r="D93" i="3"/>
  <c r="D187" i="3"/>
  <c r="D162" i="3"/>
  <c r="D201" i="3"/>
  <c r="D203" i="3"/>
  <c r="D19" i="3"/>
  <c r="D125" i="3"/>
  <c r="D86" i="3"/>
  <c r="D147" i="3"/>
  <c r="D89" i="3"/>
  <c r="D64" i="3"/>
  <c r="D172" i="3"/>
  <c r="D32" i="3"/>
  <c r="D135" i="3"/>
  <c r="D59" i="3"/>
  <c r="D121" i="3"/>
  <c r="D75" i="3"/>
  <c r="D132" i="3"/>
  <c r="D85" i="3"/>
  <c r="D28" i="3"/>
  <c r="D143" i="3"/>
  <c r="D163" i="3"/>
  <c r="D183" i="3"/>
  <c r="D204" i="3"/>
  <c r="D171" i="3"/>
  <c r="D40" i="3"/>
  <c r="D177" i="3"/>
  <c r="D6" i="3"/>
  <c r="D154" i="3"/>
  <c r="D83" i="3"/>
  <c r="D77" i="3"/>
  <c r="D189" i="3"/>
  <c r="D209" i="3"/>
  <c r="D87" i="3"/>
  <c r="D202" i="3"/>
  <c r="D65" i="3"/>
  <c r="D138" i="3"/>
  <c r="D74" i="3"/>
  <c r="D22" i="3"/>
  <c r="D26" i="3"/>
  <c r="D95" i="3"/>
  <c r="D151" i="3"/>
</calcChain>
</file>

<file path=xl/sharedStrings.xml><?xml version="1.0" encoding="utf-8"?>
<sst xmlns="http://schemas.openxmlformats.org/spreadsheetml/2006/main" count="6580" uniqueCount="2867">
  <si>
    <t>Node ID</t>
  </si>
  <si>
    <t>Node Name</t>
  </si>
  <si>
    <t>Node Cost</t>
  </si>
  <si>
    <t>exoticFuelStorage</t>
  </si>
  <si>
    <t>Advanced Conversion Systems</t>
  </si>
  <si>
    <t>specializedFuelStorage</t>
  </si>
  <si>
    <t>longTermScienceTech</t>
  </si>
  <si>
    <t>Long Term Science Tech</t>
  </si>
  <si>
    <t>scientificOutposts</t>
  </si>
  <si>
    <t>advFuelSystems</t>
  </si>
  <si>
    <t>offworldManufacturing</t>
  </si>
  <si>
    <t>longTermHabitation</t>
  </si>
  <si>
    <t>largeNuclearPower</t>
  </si>
  <si>
    <t>nuclearPower</t>
  </si>
  <si>
    <t>specializedCommandModules</t>
  </si>
  <si>
    <t>Specialized Command Modules</t>
  </si>
  <si>
    <t>heavyCommandModules</t>
  </si>
  <si>
    <t>simpleCommandModules</t>
  </si>
  <si>
    <t>Simple Command Modules</t>
  </si>
  <si>
    <t>spaceExploration</t>
  </si>
  <si>
    <t>experimentalRocketry</t>
  </si>
  <si>
    <t>Experimental Rocketry</t>
  </si>
  <si>
    <t>veryHeavyRocketry</t>
  </si>
  <si>
    <t>Heavy Command Modules</t>
  </si>
  <si>
    <t>commandModules</t>
  </si>
  <si>
    <t>resourceExploitation</t>
  </si>
  <si>
    <t>Resource Exploitation</t>
  </si>
  <si>
    <t>advOffworldMining</t>
  </si>
  <si>
    <t>advNuclearPower</t>
  </si>
  <si>
    <t>High Energy Nuclear Power</t>
  </si>
  <si>
    <t>improvedNuclearPropulsion</t>
  </si>
  <si>
    <t>Improved Nuclear Propulsion</t>
  </si>
  <si>
    <t>nuclearPropulsion</t>
  </si>
  <si>
    <t>advNuclearPropulsion</t>
  </si>
  <si>
    <t>High Efficiency Nuclear Propulsion</t>
  </si>
  <si>
    <t>fusionRockets</t>
  </si>
  <si>
    <t>Fusion Rockets</t>
  </si>
  <si>
    <t>fusionPower</t>
  </si>
  <si>
    <t>colonization</t>
  </si>
  <si>
    <t>Colonization</t>
  </si>
  <si>
    <t>Long Term Habitation</t>
  </si>
  <si>
    <t>shortTermHabitation</t>
  </si>
  <si>
    <t>orbitalMegastructures</t>
  </si>
  <si>
    <t>Orbital Megastructures</t>
  </si>
  <si>
    <t>Scientific Outposts</t>
  </si>
  <si>
    <t>experimentalScience</t>
  </si>
  <si>
    <t>hydroponics</t>
  </si>
  <si>
    <t>Hydroponics</t>
  </si>
  <si>
    <t>Short Term Habitation</t>
  </si>
  <si>
    <t>basicScience</t>
  </si>
  <si>
    <t>start</t>
  </si>
  <si>
    <t>ullageMotors</t>
  </si>
  <si>
    <t>Advanced Ullage Motors</t>
  </si>
  <si>
    <t>largeVolumeContainment</t>
  </si>
  <si>
    <t>Large Volume Containment</t>
  </si>
  <si>
    <t>heavyAerodynamics</t>
  </si>
  <si>
    <t>experimentalAerodynamics</t>
  </si>
  <si>
    <t>engineering101</t>
  </si>
  <si>
    <t>aviation</t>
  </si>
  <si>
    <t>Aviation</t>
  </si>
  <si>
    <t>propulsionSystems</t>
  </si>
  <si>
    <t>Liquid Rocket Engines</t>
  </si>
  <si>
    <t>precisionPropulsion</t>
  </si>
  <si>
    <t>basicRocketry</t>
  </si>
  <si>
    <t>fuelSystems</t>
  </si>
  <si>
    <t>Advanced Off-World Mining</t>
  </si>
  <si>
    <t>highPerformanceFuelSystems</t>
  </si>
  <si>
    <t>specializedFlightSystems</t>
  </si>
  <si>
    <t>Specialized Flight Systems</t>
  </si>
  <si>
    <t>aerospaceComposites</t>
  </si>
  <si>
    <t>Experimental Aerodynamics</t>
  </si>
  <si>
    <t>hypersonicFlight</t>
  </si>
  <si>
    <t>landing</t>
  </si>
  <si>
    <t>heavyLanding</t>
  </si>
  <si>
    <t>Heavy Landing Gear</t>
  </si>
  <si>
    <t>Command Modules</t>
  </si>
  <si>
    <t>exoticAlloys</t>
  </si>
  <si>
    <t>Exotic Alloys</t>
  </si>
  <si>
    <t>advConstruction</t>
  </si>
  <si>
    <t>aerodynamicSystems</t>
  </si>
  <si>
    <t>Landing</t>
  </si>
  <si>
    <t>generalConstruction</t>
  </si>
  <si>
    <t>General Construction</t>
  </si>
  <si>
    <t>survivability</t>
  </si>
  <si>
    <t>Survivability</t>
  </si>
  <si>
    <t>electrics</t>
  </si>
  <si>
    <t>Electronics</t>
  </si>
  <si>
    <t>heatManagementSystems</t>
  </si>
  <si>
    <t>unmannedTech</t>
  </si>
  <si>
    <t>specializedConstruction</t>
  </si>
  <si>
    <t>Specialized Construction</t>
  </si>
  <si>
    <t>advElectrics</t>
  </si>
  <si>
    <t>Advanced Electrics</t>
  </si>
  <si>
    <t>subsonicFlight</t>
  </si>
  <si>
    <t>Subsonic Flight</t>
  </si>
  <si>
    <t>aerospaceTech</t>
  </si>
  <si>
    <t>Aerospace Tech</t>
  </si>
  <si>
    <t>composites</t>
  </si>
  <si>
    <t>highAltitudeFlight</t>
  </si>
  <si>
    <t>miniaturization</t>
  </si>
  <si>
    <t>advActuators</t>
  </si>
  <si>
    <t>advSolarTech</t>
  </si>
  <si>
    <t>advLanding</t>
  </si>
  <si>
    <t>Advanced Landing</t>
  </si>
  <si>
    <t>Fuel Systems</t>
  </si>
  <si>
    <t>flightControl</t>
  </si>
  <si>
    <t>stability</t>
  </si>
  <si>
    <t>Stability &amp; Control</t>
  </si>
  <si>
    <t>largeElectrics</t>
  </si>
  <si>
    <t>recycling</t>
  </si>
  <si>
    <t>Advanced Parachutes</t>
  </si>
  <si>
    <t>Advanced Stability</t>
  </si>
  <si>
    <t>microwavePowerTransmission</t>
  </si>
  <si>
    <t>experimentalElectrics</t>
  </si>
  <si>
    <t>nanolathing</t>
  </si>
  <si>
    <t>advMetalworks</t>
  </si>
  <si>
    <t>Advanced MetalWorks</t>
  </si>
  <si>
    <t>supersonicFlight</t>
  </si>
  <si>
    <t>metaMaterials</t>
  </si>
  <si>
    <t>Meta-Materials</t>
  </si>
  <si>
    <t>advFlightControl</t>
  </si>
  <si>
    <t>Advanced Flight Control</t>
  </si>
  <si>
    <t>advHeatManagement</t>
  </si>
  <si>
    <t>expAircraftEngines</t>
  </si>
  <si>
    <t>advAerospaceEngineering</t>
  </si>
  <si>
    <t>Advanced Aerospace Engineering</t>
  </si>
  <si>
    <t>specializedElectrics</t>
  </si>
  <si>
    <t>generalRocketry</t>
  </si>
  <si>
    <t>Advanced Control Surfaces</t>
  </si>
  <si>
    <t>Experimental Science</t>
  </si>
  <si>
    <t>advPVMaterials</t>
  </si>
  <si>
    <t>electronics</t>
  </si>
  <si>
    <t>fieldScience</t>
  </si>
  <si>
    <t>Field Science</t>
  </si>
  <si>
    <t>enhancedSurvivability</t>
  </si>
  <si>
    <t>Enhanced Survivability</t>
  </si>
  <si>
    <t>advancedMotors</t>
  </si>
  <si>
    <t>Advanced Motors</t>
  </si>
  <si>
    <t>experimentalMotors</t>
  </si>
  <si>
    <t>Experimental Motors</t>
  </si>
  <si>
    <t>advExploration</t>
  </si>
  <si>
    <t>Advanced Exploration</t>
  </si>
  <si>
    <t>orbitalAssembly</t>
  </si>
  <si>
    <t>Advanced Docking</t>
  </si>
  <si>
    <t>docking</t>
  </si>
  <si>
    <t>highTechElectricalSystems</t>
  </si>
  <si>
    <t>actuators</t>
  </si>
  <si>
    <t>Actuators</t>
  </si>
  <si>
    <t>mechatronics</t>
  </si>
  <si>
    <t>scienceTech</t>
  </si>
  <si>
    <t>Invention</t>
  </si>
  <si>
    <t>specializedRadiators</t>
  </si>
  <si>
    <t>ionPropulsion</t>
  </si>
  <si>
    <t>Ion Propulsion</t>
  </si>
  <si>
    <t>specializedControl</t>
  </si>
  <si>
    <t>Specialized Control</t>
  </si>
  <si>
    <t>advRocketry</t>
  </si>
  <si>
    <t>advUnmanned</t>
  </si>
  <si>
    <t>storageTech</t>
  </si>
  <si>
    <t>Service Modules</t>
  </si>
  <si>
    <t>Robotics</t>
  </si>
  <si>
    <t>experimentalActuators</t>
  </si>
  <si>
    <t>Experimental Actuators</t>
  </si>
  <si>
    <t>Hypersonic Flight</t>
  </si>
  <si>
    <t>High Altitude Flight</t>
  </si>
  <si>
    <t>precisionEngineering</t>
  </si>
  <si>
    <t>Precision Engineering</t>
  </si>
  <si>
    <t>automation</t>
  </si>
  <si>
    <t>specializedScienceTech</t>
  </si>
  <si>
    <t>Advanced Detection</t>
  </si>
  <si>
    <t>advLogistics</t>
  </si>
  <si>
    <t>Advanced Logistics</t>
  </si>
  <si>
    <t>logistics</t>
  </si>
  <si>
    <t>nuclearFuelSystems</t>
  </si>
  <si>
    <t>Nuclear Fuel Systems</t>
  </si>
  <si>
    <t>Aerospace Composites</t>
  </si>
  <si>
    <t>advIonPropulsion</t>
  </si>
  <si>
    <t>Advanced Ion Propulsion</t>
  </si>
  <si>
    <t>cuttingEdgeSolarTech</t>
  </si>
  <si>
    <t>Experimental Electrics</t>
  </si>
  <si>
    <t>Heavy Aerodynamics</t>
  </si>
  <si>
    <t>plasmaPropulsion</t>
  </si>
  <si>
    <t>Plasma Propulsion</t>
  </si>
  <si>
    <t>advColonization</t>
  </si>
  <si>
    <t>Advanced Colonization</t>
  </si>
  <si>
    <t>specializedPlasmaGeneration</t>
  </si>
  <si>
    <t>advGriddedThrusters</t>
  </si>
  <si>
    <t>expGriddedThrusters</t>
  </si>
  <si>
    <t>artificialIntelligence</t>
  </si>
  <si>
    <t>advScienceTech</t>
  </si>
  <si>
    <t>Advanced Science Tech</t>
  </si>
  <si>
    <t>advEMSystems</t>
  </si>
  <si>
    <t>Nuclear Propulsion</t>
  </si>
  <si>
    <t>heavyRocketry</t>
  </si>
  <si>
    <t>highEnergyScience</t>
  </si>
  <si>
    <t>Fusion Power</t>
  </si>
  <si>
    <t>advFusionReactions</t>
  </si>
  <si>
    <t>Advanced Fusion Reactions</t>
  </si>
  <si>
    <t>heavierRocketry</t>
  </si>
  <si>
    <t>giganticRocketry</t>
  </si>
  <si>
    <t>colossalRocketry</t>
  </si>
  <si>
    <t>exoticReactions</t>
  </si>
  <si>
    <t>Exotic Fusion Reactions</t>
  </si>
  <si>
    <t>appliedHighEnergyPhysics</t>
  </si>
  <si>
    <t>antimatterPower</t>
  </si>
  <si>
    <t>Antimatter Power</t>
  </si>
  <si>
    <t>ultraHighEnergyPhysics</t>
  </si>
  <si>
    <t>unifiedFieldTheory</t>
  </si>
  <si>
    <t>Unified Field Theory</t>
  </si>
  <si>
    <t>expNuclearPropulsion</t>
  </si>
  <si>
    <t>Experimental Nuclear Propulsion</t>
  </si>
  <si>
    <t>exoticNuclearPropulsion</t>
  </si>
  <si>
    <t>Exotic Nuclear Propulsion</t>
  </si>
  <si>
    <t>efficientFlightSystems</t>
  </si>
  <si>
    <t>advUllageMotors</t>
  </si>
  <si>
    <t>Very Large Landing Legs</t>
  </si>
  <si>
    <t>Early Recyclers</t>
  </si>
  <si>
    <t>Applied High Energy Physics</t>
  </si>
  <si>
    <t>exoticRadiators</t>
  </si>
  <si>
    <t>Exotic Radiators</t>
  </si>
  <si>
    <t>experimentalElectricalSystems</t>
  </si>
  <si>
    <t>Experimental Electrical Systems</t>
  </si>
  <si>
    <t>Node Tier</t>
  </si>
  <si>
    <t>Basic Rocketry</t>
  </si>
  <si>
    <t>Parachutes</t>
  </si>
  <si>
    <t>Stability</t>
  </si>
  <si>
    <t>1.25m Rocketry</t>
  </si>
  <si>
    <t>Start</t>
  </si>
  <si>
    <t>Structural Engineering</t>
  </si>
  <si>
    <t>Aerodynamics</t>
  </si>
  <si>
    <t>Ullage Motors</t>
  </si>
  <si>
    <t>0.625m Rocketry</t>
  </si>
  <si>
    <t>Renewable Energy</t>
  </si>
  <si>
    <t>1.875m Rocketry</t>
  </si>
  <si>
    <t>Manned Space Flight</t>
  </si>
  <si>
    <t>2.5m Rocketry</t>
  </si>
  <si>
    <t>3.75m Rocketry</t>
  </si>
  <si>
    <t>Landers</t>
  </si>
  <si>
    <t>5m Rocketry</t>
  </si>
  <si>
    <t>Hybrid LOX Rockets</t>
  </si>
  <si>
    <t>Electromagnetic Propulsion</t>
  </si>
  <si>
    <t>7.75m Rocketry</t>
  </si>
  <si>
    <t>Microwave Propulsion</t>
  </si>
  <si>
    <t>10m Rocketry</t>
  </si>
  <si>
    <t>Advanced Nuclear Propulsion</t>
  </si>
  <si>
    <t>Mechanical Engineering</t>
  </si>
  <si>
    <t>Small Launch Clamps</t>
  </si>
  <si>
    <t>Large Launch Clamps</t>
  </si>
  <si>
    <t>Advanced Metalworks</t>
  </si>
  <si>
    <t>Metamaterials</t>
  </si>
  <si>
    <t>Aerospace Engineering</t>
  </si>
  <si>
    <t>Basic Landing Gear</t>
  </si>
  <si>
    <t>Subsonic Aerodynamics</t>
  </si>
  <si>
    <t>Flight Mechanics</t>
  </si>
  <si>
    <t>Solid Rocket Motors</t>
  </si>
  <si>
    <t>Model Rocketry</t>
  </si>
  <si>
    <t>Large Model Rocketry</t>
  </si>
  <si>
    <t>Chemical Engineering</t>
  </si>
  <si>
    <t>Orbital Assembly</t>
  </si>
  <si>
    <t>fairings</t>
  </si>
  <si>
    <t>Small Fairings</t>
  </si>
  <si>
    <t>Aircraft Structures</t>
  </si>
  <si>
    <t>Colossal Rocketry</t>
  </si>
  <si>
    <t>Large Propeller Engines</t>
  </si>
  <si>
    <t>Advanced Propeller Engines</t>
  </si>
  <si>
    <t>Turbojet Engines</t>
  </si>
  <si>
    <t>Low Bypass Turbofan Engines</t>
  </si>
  <si>
    <t>High Bypass Turbofan Engines</t>
  </si>
  <si>
    <t>Turboshaft Engines</t>
  </si>
  <si>
    <t>Medium Bypass Turbofan Engines</t>
  </si>
  <si>
    <t>Ultra-high Bypass Turbofan Engines</t>
  </si>
  <si>
    <t>Elementary Science</t>
  </si>
  <si>
    <t>Particle Physics</t>
  </si>
  <si>
    <t>Advanced Service Modules</t>
  </si>
  <si>
    <t>Deep Space Probes</t>
  </si>
  <si>
    <t>Advanced Unmanned Technology</t>
  </si>
  <si>
    <t>Logistics Engineering</t>
  </si>
  <si>
    <t>Advanced Construction</t>
  </si>
  <si>
    <t>Supersonic Aerodynamics</t>
  </si>
  <si>
    <t>2.5m Fairings</t>
  </si>
  <si>
    <t>Heat Management Systems</t>
  </si>
  <si>
    <t>Advanced Radial Decouplers</t>
  </si>
  <si>
    <t>Nickel Cadmium Batteries</t>
  </si>
  <si>
    <t>Medium Range Antennas</t>
  </si>
  <si>
    <t>Mechatronics</t>
  </si>
  <si>
    <t>Node Title</t>
  </si>
  <si>
    <t>Node Description</t>
  </si>
  <si>
    <t>X Pos</t>
  </si>
  <si>
    <t>Y Pos</t>
  </si>
  <si>
    <t>Icon</t>
  </si>
  <si>
    <t>Parent 1</t>
  </si>
  <si>
    <t>Parent 2</t>
  </si>
  <si>
    <t>Parent 3</t>
  </si>
  <si>
    <t>Stock Node</t>
  </si>
  <si>
    <t>CTT Node</t>
  </si>
  <si>
    <t>ETT Node</t>
  </si>
  <si>
    <t>Advanced Landing Gear</t>
  </si>
  <si>
    <t>Aerospace Technologies</t>
  </si>
  <si>
    <t>Early Propeller Engines</t>
  </si>
  <si>
    <t>Elementary Thermodynamics</t>
  </si>
  <si>
    <t>Basic Parachutes</t>
  </si>
  <si>
    <t>Strap-on Boosters</t>
  </si>
  <si>
    <t>Reaction Control Systems</t>
  </si>
  <si>
    <t>Advanced RCS</t>
  </si>
  <si>
    <t>Advanced 0.625m Rocketry</t>
  </si>
  <si>
    <t>Advanced 1.25m Rocketry</t>
  </si>
  <si>
    <t>Experimental 0.625m Rocketry</t>
  </si>
  <si>
    <t>Model Rocket Stability Systems</t>
  </si>
  <si>
    <t>Experimental 1.25m Rocketry</t>
  </si>
  <si>
    <t>Advanced 2.5m Rocketry</t>
  </si>
  <si>
    <t>Advanced Solid Rocket Motors</t>
  </si>
  <si>
    <t>Heavy Solid Rocket Motors</t>
  </si>
  <si>
    <t>8-bit Computing</t>
  </si>
  <si>
    <t>Unmanned Space Flight</t>
  </si>
  <si>
    <t>Electric Propulsion</t>
  </si>
  <si>
    <t>Electric Motors</t>
  </si>
  <si>
    <t>Basic Life Support</t>
  </si>
  <si>
    <t>Advanced Inflatable Station Technology</t>
  </si>
  <si>
    <t>Long-term Habitation</t>
  </si>
  <si>
    <t>Inflatable Station Technology</t>
  </si>
  <si>
    <t>Large Landing Legs</t>
  </si>
  <si>
    <t>Experimental Trimming</t>
  </si>
  <si>
    <t>Hypersonic Aerodynamics</t>
  </si>
  <si>
    <t>12m Fairings</t>
  </si>
  <si>
    <t>4m Fairings</t>
  </si>
  <si>
    <t>Heavy Aircraft</t>
  </si>
  <si>
    <t>Experimental Flight Controls</t>
  </si>
  <si>
    <t>Turboprop Engines</t>
  </si>
  <si>
    <t>Specialized Radiators</t>
  </si>
  <si>
    <t>Advanced Heat Management</t>
  </si>
  <si>
    <t>Nuclear Engineering</t>
  </si>
  <si>
    <t>Experimental Radial Decouplers</t>
  </si>
  <si>
    <t>EVA Technology</t>
  </si>
  <si>
    <t>Experimental 2.5m Rocketry</t>
  </si>
  <si>
    <t>Advanced 3.75m Rocketry</t>
  </si>
  <si>
    <t>Experimental 3.75m Rocketry</t>
  </si>
  <si>
    <t>Advanced 5m Rocketry</t>
  </si>
  <si>
    <t>Experimental 5m Rocketry</t>
  </si>
  <si>
    <t>Advanced 7.75m Rocketry</t>
  </si>
  <si>
    <t>Gigantic Solid Rocket Motors</t>
  </si>
  <si>
    <t>Resource Conversion Systems</t>
  </si>
  <si>
    <t>Advanced Mining</t>
  </si>
  <si>
    <t>64-bit Computing</t>
  </si>
  <si>
    <t>Lithium Ion Batteries</t>
  </si>
  <si>
    <t>Specialized Plasma Propulsion</t>
  </si>
  <si>
    <t>Experimental Electromagnetic Propulsion</t>
  </si>
  <si>
    <t>Quantum Computing</t>
  </si>
  <si>
    <t>Long Range Antennas</t>
  </si>
  <si>
    <t>Ultra-long Range Antennas</t>
  </si>
  <si>
    <t>Advanced Life Support</t>
  </si>
  <si>
    <t>16-bit Computing</t>
  </si>
  <si>
    <t>Nickel Metal Hydride Batteries</t>
  </si>
  <si>
    <t>Advanced Microwave Propulsion</t>
  </si>
  <si>
    <t>Advanced Fusion Reactors</t>
  </si>
  <si>
    <t>Antimatter Reactors</t>
  </si>
  <si>
    <t>Short Range Antennas</t>
  </si>
  <si>
    <t>Advanced Electric Motors</t>
  </si>
  <si>
    <t>Advanced 1.875m Rocketry</t>
  </si>
  <si>
    <t>Small Docking Ports and Airlocks</t>
  </si>
  <si>
    <t>Small Landing Legs</t>
  </si>
  <si>
    <t>Space Station Technologies</t>
  </si>
  <si>
    <t>Very Heavy Solid Rocket Motors</t>
  </si>
  <si>
    <t>Near space Probes</t>
  </si>
  <si>
    <t>Short-term Habitation</t>
  </si>
  <si>
    <t>Experimental Renewable Energy</t>
  </si>
  <si>
    <t>Pos</t>
  </si>
  <si>
    <t>32-bit Computing</t>
  </si>
  <si>
    <t>Advanced Photovoltaic Materials</t>
  </si>
  <si>
    <t>Advanced Plasma Propulsion</t>
  </si>
  <si>
    <t>Advanced Electrostatic Thrusters</t>
  </si>
  <si>
    <t>Improved Nuclear Power</t>
  </si>
  <si>
    <t>Advanced Nuclear Power</t>
  </si>
  <si>
    <t>Exotic Nuclear Power</t>
  </si>
  <si>
    <t>exoticNuclearPower</t>
  </si>
  <si>
    <t>Experimental Aircraft Engines</t>
  </si>
  <si>
    <t>Experimental Electrostatic Thrusters</t>
  </si>
  <si>
    <t>Experimental Nuclear Power</t>
  </si>
  <si>
    <t>expNuclearPower</t>
  </si>
  <si>
    <t>RDicon_emgineering101</t>
  </si>
  <si>
    <t>RDicon_rocketry-basic</t>
  </si>
  <si>
    <t>RDicon_survivability</t>
  </si>
  <si>
    <t>RDicon_start</t>
  </si>
  <si>
    <t>RDicon_stability</t>
  </si>
  <si>
    <t>RDicon_rocketry-general</t>
  </si>
  <si>
    <t>RDicon_aerospaceTech</t>
  </si>
  <si>
    <t>RDicon_control-flight-advanced</t>
  </si>
  <si>
    <t>RDicon_rocketry-advanced</t>
  </si>
  <si>
    <t>RDicon_construction-general</t>
  </si>
  <si>
    <t>RDicon_scienceTech</t>
  </si>
  <si>
    <t>RDicon_fuelSystems</t>
  </si>
  <si>
    <t>RDicon_electronics</t>
  </si>
  <si>
    <t>advAerodynamics</t>
  </si>
  <si>
    <t>Advanced Aerodynamics</t>
  </si>
  <si>
    <t>Adv. Fuel Systems</t>
  </si>
  <si>
    <t>Advanced Rocketry</t>
  </si>
  <si>
    <t>Advanced Unmanned Tech</t>
  </si>
  <si>
    <t>Automation</t>
  </si>
  <si>
    <t>Basic Science</t>
  </si>
  <si>
    <t>Composites</t>
  </si>
  <si>
    <t>Electrics</t>
  </si>
  <si>
    <t>Engineering 101</t>
  </si>
  <si>
    <t>Flight Control</t>
  </si>
  <si>
    <t>General Rocketry</t>
  </si>
  <si>
    <t>Heavier Rocketry</t>
  </si>
  <si>
    <t>Heavy Landing</t>
  </si>
  <si>
    <t>Heavy Rocketry</t>
  </si>
  <si>
    <t>High-Performance Fuel Systems</t>
  </si>
  <si>
    <t>High-Power Electrics</t>
  </si>
  <si>
    <t>largeUnmanned</t>
  </si>
  <si>
    <t>Large Probes</t>
  </si>
  <si>
    <t>Miniaturization</t>
  </si>
  <si>
    <t>Nanolathing</t>
  </si>
  <si>
    <t>Precision Propulsion</t>
  </si>
  <si>
    <t>Propulsion Systems</t>
  </si>
  <si>
    <t>Scanning Tech</t>
  </si>
  <si>
    <t>Space Exploration</t>
  </si>
  <si>
    <t>Specialized Electrics</t>
  </si>
  <si>
    <t>Supersonic Flight</t>
  </si>
  <si>
    <t>Unmanned Tech</t>
  </si>
  <si>
    <t>Very Heavy Rocketry</t>
  </si>
  <si>
    <t>Advanced Actuators</t>
  </si>
  <si>
    <t>Advanced Solar Technology</t>
  </si>
  <si>
    <t>Artificial Intelligence</t>
  </si>
  <si>
    <t>Cutting-Edge Solar Technology</t>
  </si>
  <si>
    <t>Efficient Flight Systems</t>
  </si>
  <si>
    <t>Exotic Electrical Systems</t>
  </si>
  <si>
    <t>exoticElectricalSystems</t>
  </si>
  <si>
    <t>Exotic Fuel Storage</t>
  </si>
  <si>
    <t>Exotic Plasma Propulsion</t>
  </si>
  <si>
    <t>exoticPlasmaPropulsion</t>
  </si>
  <si>
    <t>Exotic Solar Technology</t>
  </si>
  <si>
    <t>exoticSolarTech</t>
  </si>
  <si>
    <t>Extreme Fuel Storage</t>
  </si>
  <si>
    <t>extremeFuelStorage</t>
  </si>
  <si>
    <t>Gigantic Rocketry</t>
  </si>
  <si>
    <t>Heavy Command Centers</t>
  </si>
  <si>
    <t>High Energy Science</t>
  </si>
  <si>
    <t>High Power Electrical Systems</t>
  </si>
  <si>
    <t>High Tech Electrical Systems</t>
  </si>
  <si>
    <t>Logistics</t>
  </si>
  <si>
    <t>Microwave Power Transmission</t>
  </si>
  <si>
    <t>Nuclear Power</t>
  </si>
  <si>
    <t>Off-World Robotics</t>
  </si>
  <si>
    <t>High Density Fusion Reactions</t>
  </si>
  <si>
    <t>quantumReactions</t>
  </si>
  <si>
    <t>Recycling</t>
  </si>
  <si>
    <t>Specialized Command Centers</t>
  </si>
  <si>
    <t>specializedCommandCenters</t>
  </si>
  <si>
    <t>Specialized Fuel Storage</t>
  </si>
  <si>
    <t>Specialized Landers</t>
  </si>
  <si>
    <t>Specialized Science Tech</t>
  </si>
  <si>
    <t>Storage Technology</t>
  </si>
  <si>
    <t>Ultra High Energy Physics</t>
  </si>
  <si>
    <t>RDicon_aerodynamicSystems</t>
  </si>
  <si>
    <t>RDicon_automation</t>
  </si>
  <si>
    <t>RDicon_composites</t>
  </si>
  <si>
    <t>RDicon_electrics</t>
  </si>
  <si>
    <t>RDicon_landing</t>
  </si>
  <si>
    <t>RDicon_largeVolumeContainment</t>
  </si>
  <si>
    <t>RDicon_miniaturization</t>
  </si>
  <si>
    <t>RDicon_propulsionSystems</t>
  </si>
  <si>
    <t>RDicon_unmannedTech</t>
  </si>
  <si>
    <t>advDocking</t>
  </si>
  <si>
    <t>Electrical Engineering</t>
  </si>
  <si>
    <t>Science Tech</t>
  </si>
  <si>
    <t>Exotic Fusion Reactors</t>
  </si>
  <si>
    <t>highEfficiencyNuclear</t>
  </si>
  <si>
    <t>reactionControl</t>
  </si>
  <si>
    <t>advReactionControl</t>
  </si>
  <si>
    <t>rovers</t>
  </si>
  <si>
    <t>solarTech</t>
  </si>
  <si>
    <t>Advanced Solar Tech</t>
  </si>
  <si>
    <t>High-tech Renewable Energy</t>
  </si>
  <si>
    <t>expSolarTech</t>
  </si>
  <si>
    <t>Experimental Renewables Technology</t>
  </si>
  <si>
    <t>Advanced Fuel Systems</t>
  </si>
  <si>
    <t>High Performance Fuel Systems</t>
  </si>
  <si>
    <t>electricPropulsion</t>
  </si>
  <si>
    <t>advLifeSupport</t>
  </si>
  <si>
    <t>advMicrowavePropulsion</t>
  </si>
  <si>
    <t>experimentalHeavierRocketry</t>
  </si>
  <si>
    <t>advHeavierRocketry</t>
  </si>
  <si>
    <t>advHeavyRocketry</t>
  </si>
  <si>
    <t>experimentalHeavyRocketry</t>
  </si>
  <si>
    <t>advAdvancedRocketry</t>
  </si>
  <si>
    <t>experimentalAdvancedRocketry</t>
  </si>
  <si>
    <t>advGeneralRocketry</t>
  </si>
  <si>
    <t>experimentalPrecisionEngineering</t>
  </si>
  <si>
    <t>experimentalGeneralRocketry</t>
  </si>
  <si>
    <t>intermediateRocketry</t>
  </si>
  <si>
    <t>advIntermediateRocketry</t>
  </si>
  <si>
    <t>experimentalIntermediateRocketry</t>
  </si>
  <si>
    <t>advRadialTech</t>
  </si>
  <si>
    <t>radialTech</t>
  </si>
  <si>
    <t>experimentalRadialTech</t>
  </si>
  <si>
    <t>computers</t>
  </si>
  <si>
    <t>advComputers</t>
  </si>
  <si>
    <t>experimentalComputers</t>
  </si>
  <si>
    <t>exoticComputers</t>
  </si>
  <si>
    <t>quantumComputers</t>
  </si>
  <si>
    <t>communications</t>
  </si>
  <si>
    <t>experimentalCommunications</t>
  </si>
  <si>
    <t>exoticCommunications</t>
  </si>
  <si>
    <t>advSolidRockets</t>
  </si>
  <si>
    <t>heavySolidRockets</t>
  </si>
  <si>
    <t>veryHeavySolidRockets</t>
  </si>
  <si>
    <t>giganticSolidRockets</t>
  </si>
  <si>
    <t>advStorageTech</t>
  </si>
  <si>
    <t>experimentalFlightControls</t>
  </si>
  <si>
    <t>aircraftStructures</t>
  </si>
  <si>
    <t>largeFairings</t>
  </si>
  <si>
    <t>veryLargeFairings</t>
  </si>
  <si>
    <t>spaceStationTech</t>
  </si>
  <si>
    <t>turbopropEngines</t>
  </si>
  <si>
    <t>turboshaftEngines</t>
  </si>
  <si>
    <t>advPropellerEngines</t>
  </si>
  <si>
    <t>turbojetEngines</t>
  </si>
  <si>
    <t>turbofanEngines</t>
  </si>
  <si>
    <t>advTurbofanEngines</t>
  </si>
  <si>
    <t>propellerEngines</t>
  </si>
  <si>
    <t>largePropellerEngines</t>
  </si>
  <si>
    <t>advLandingLegs</t>
  </si>
  <si>
    <t>Advanced Landing Legs</t>
  </si>
  <si>
    <t>landingLegs</t>
  </si>
  <si>
    <t>smallLaunchClamps</t>
  </si>
  <si>
    <t>largeLaunchClamps</t>
  </si>
  <si>
    <t>thermodynamics</t>
  </si>
  <si>
    <t>advParachutes</t>
  </si>
  <si>
    <t>modelRocketry</t>
  </si>
  <si>
    <t>largeModelRocketry</t>
  </si>
  <si>
    <t>modelRocketStability</t>
  </si>
  <si>
    <t>Off-world Launchsites</t>
  </si>
  <si>
    <t>offworldLaunchsites</t>
  </si>
  <si>
    <t>offworldMining</t>
  </si>
  <si>
    <t>Off-world Manufacturing</t>
  </si>
  <si>
    <t>emPropulsion</t>
  </si>
  <si>
    <t>experimentalEMPropulsion</t>
  </si>
  <si>
    <t>Marine Engineering</t>
  </si>
  <si>
    <t>bouyancy</t>
  </si>
  <si>
    <t>advBouyancy</t>
  </si>
  <si>
    <t>Ballasting &amp; Bouyancy</t>
  </si>
  <si>
    <t>veryLargeLandingLegs</t>
  </si>
  <si>
    <t>largeLandingLegs</t>
  </si>
  <si>
    <t>mannedTech</t>
  </si>
  <si>
    <t>Lithium Polymer Batteries</t>
  </si>
  <si>
    <t>highPowerElectricalSystems</t>
  </si>
  <si>
    <t>advFairings</t>
  </si>
  <si>
    <t>advCommunications</t>
  </si>
  <si>
    <t>Experimental 1.875m rocketry</t>
  </si>
  <si>
    <t>inflatableStationTech</t>
  </si>
  <si>
    <t>Off-world Mining</t>
  </si>
  <si>
    <t>experimentalBouyancy</t>
  </si>
  <si>
    <t>Long-term Science Tech</t>
  </si>
  <si>
    <t>experimentalTurbofanEngines</t>
  </si>
  <si>
    <t>experimentalProbes</t>
  </si>
  <si>
    <t>lifeSupport</t>
  </si>
  <si>
    <t>hybridRockets</t>
  </si>
  <si>
    <t>Ultra-high-energy Physics</t>
  </si>
  <si>
    <t>{</t>
  </si>
  <si>
    <t>}</t>
  </si>
  <si>
    <t>#LOC_CTT_nuclearPower_description</t>
  </si>
  <si>
    <t>CommunityTechTree/UI/ctt_icon_nuclearPower</t>
  </si>
  <si>
    <t>#LOC_CTT_nuclearFuelSystems_description</t>
  </si>
  <si>
    <t>CommunityTechTree/UI/ctt_icon_nuclearFuelSystems</t>
  </si>
  <si>
    <t>#LOC_CTT_largeNuclearPower_description</t>
  </si>
  <si>
    <t>CommunityTechTree/UI/ctt_icon_improvedNuclearPower</t>
  </si>
  <si>
    <t>#LOC_CTT_advNuclearPower_description</t>
  </si>
  <si>
    <t>CommunityTechTree/UI/ctt_icon_highEnergyNuclearPower</t>
  </si>
  <si>
    <t>#LOC_CTT_expNuclearPower_description</t>
  </si>
  <si>
    <t>#LOC_CTT_exoticNuclearPower_description</t>
  </si>
  <si>
    <t>#LOC_CTT_fusionPower_description</t>
  </si>
  <si>
    <t>CommunityTechTree/UI/ctt_icon_fusionPower</t>
  </si>
  <si>
    <t>#LOC_CTT_advFusionReactions_description</t>
  </si>
  <si>
    <t>CommunityTechTree/UI/ctt_icon_advFusionReactions</t>
  </si>
  <si>
    <t>#LOC_CTT_exoticReactions_description</t>
  </si>
  <si>
    <t>CommunityTechTree/UI/ctt_icon_exoticFusionReactions</t>
  </si>
  <si>
    <t>#LOC_CTT_quantumReactions_description</t>
  </si>
  <si>
    <t>#LOC_CTT_antimatterPower_description</t>
  </si>
  <si>
    <t>CommunityTechTree/UI/ctt_icon_antimatterPower</t>
  </si>
  <si>
    <t>#LOC_CTT_unifiedFieldTheory_description</t>
  </si>
  <si>
    <t>CommunityTechTree/UI/ctt_icon_unifiedFieldTheory</t>
  </si>
  <si>
    <t>#LOC_CTT_ultraHighEnergyPhysics_description</t>
  </si>
  <si>
    <t>RDicon_science-experimental</t>
  </si>
  <si>
    <t>#LOC_CTT_improvedNuclearPropulsion_description</t>
  </si>
  <si>
    <t>CommunityTechTree/UI/ctt_icon_improvedNuclearPropulsion</t>
  </si>
  <si>
    <t>#LOC_CTT_advNuclearPropulsion_description</t>
  </si>
  <si>
    <t>CommunityTechTree/UI/ctt_icon_highEfficiencyNuclearPropulsion</t>
  </si>
  <si>
    <t>#LOC_CTT_expNuclearPropulsion_description</t>
  </si>
  <si>
    <t>CommunityTechTree/UI/ctt_icon_experimentalNuclearPropulsion</t>
  </si>
  <si>
    <t>#LOC_CTT_exoticNuclearPropulsion_description</t>
  </si>
  <si>
    <t>CommunityTechTree/UI/ctt_icon_exoticNuclearPropulsion</t>
  </si>
  <si>
    <t>#LOC_CTT_fusionRockets_description</t>
  </si>
  <si>
    <t>CommunityTechTree/UI/ctt_icon_fusionRockets</t>
  </si>
  <si>
    <t>#LOC_CTT_experimentalRocketry_description</t>
  </si>
  <si>
    <t>RDicon_rocketry-experimental</t>
  </si>
  <si>
    <t>#LOC_CTT_giganticRocketry_description</t>
  </si>
  <si>
    <t>CommunityTechTree/UI/ctt_icon_giganticRocketry</t>
  </si>
  <si>
    <t>#LOC_CTT_colossalRocketry_description</t>
  </si>
  <si>
    <t>CommunityTechTree/UI/ctt_icon_colossalRocketry</t>
  </si>
  <si>
    <t>#LOC_CTT_specializedFuelStorage_description</t>
  </si>
  <si>
    <t>CommunityTechTree/UI/ctt_icon_specializedFuelStorage</t>
  </si>
  <si>
    <t>#LOC_CTT_exoticFuelStorage_description</t>
  </si>
  <si>
    <t>CommunityTechTree/UI/ctt_icon_exoticFuelStorage</t>
  </si>
  <si>
    <t>#LOC_CTT_extremeFuelStorage_description</t>
  </si>
  <si>
    <t>#LOC_CTT_exoticAlloys_description</t>
  </si>
  <si>
    <t>CommunityTechTree/UI/ctt_icon_exoticAlloys</t>
  </si>
  <si>
    <t>#LOC_CTT_offworldManufacturing_description</t>
  </si>
  <si>
    <t>RDicon_robotics</t>
  </si>
  <si>
    <t>#LOC_CTT_orbitalMegastructures_description</t>
  </si>
  <si>
    <t>CommunityTechTree/UI/ctt_icon_orbitalMegastructures</t>
  </si>
  <si>
    <t>#LOC_CTT_orbitalAssembly_description</t>
  </si>
  <si>
    <t>CommunityTechTree/UI/ctt_icon_orbitalAssembly</t>
  </si>
  <si>
    <t>#LOC_CTT_advActuators_description</t>
  </si>
  <si>
    <t>CommunityTechTree/UI/ctt_icon_advancedActuators</t>
  </si>
  <si>
    <t>#LOC_CTT_experimentalActuators_description</t>
  </si>
  <si>
    <t>CommunityTechTree/UI/ctt_icon_experimentalActuators</t>
  </si>
  <si>
    <t>#LOC_CTT_subsonicFlight_description</t>
  </si>
  <si>
    <t>CommunityTechTree/UI/ctt_icon_subsonicFlight</t>
  </si>
  <si>
    <t>#LOC_CTT_efficientFlightSystems_description</t>
  </si>
  <si>
    <t>CommunityTechTree/UI/ctt_icon_efficientFlight</t>
  </si>
  <si>
    <t>#LOC_CTT_specializedFlightSystems_description</t>
  </si>
  <si>
    <t>CommunityTechTree/UI/ctt_icon_specializedFlight</t>
  </si>
  <si>
    <t>#LOC_CTT_expAircraftEngines_description</t>
  </si>
  <si>
    <t>CommunityTechTree/UI/ctt_icon_experimentalAircraftEngines</t>
  </si>
  <si>
    <t>#LOC_CTT_aerospaceComposites_description</t>
  </si>
  <si>
    <t>CommunityTechTree/UI/ctt_icon_aerospaceComposites</t>
  </si>
  <si>
    <t>#LOC_CTT_advAerospaceEngineering_description</t>
  </si>
  <si>
    <t>CommunityTechTree/UI/ctt_icon_advAerospaceEngineering</t>
  </si>
  <si>
    <t>#LOC_CTT_enhancedSurvivability_description</t>
  </si>
  <si>
    <t>#LOC_CTT_simpleCommandModules_description</t>
  </si>
  <si>
    <t>CommunityTechTree/UI/ctt_icon_simpleCommandModules</t>
  </si>
  <si>
    <t>#LOC_CTT_heavyCommandModules_description</t>
  </si>
  <si>
    <t>CommunityTechTree/UI/ctt_icon_heavyCommandModules</t>
  </si>
  <si>
    <t>#LOC_CTT_specializedCommandModules_description</t>
  </si>
  <si>
    <t>CommunityTechTree/UI/ctt_icon_specializedCommandModules</t>
  </si>
  <si>
    <t>specializedLanders</t>
  </si>
  <si>
    <t>#LOC_CTT_specializedLanders_description</t>
  </si>
  <si>
    <t>CommunityTechTree/UI/ctt_icon_specializedLanders</t>
  </si>
  <si>
    <t>#LOC_CTT_specializedCommandCenters_description</t>
  </si>
  <si>
    <t>CommunityTechTree/UI/ctt_icon_specializedCommandCenters</t>
  </si>
  <si>
    <t>heavyLanders</t>
  </si>
  <si>
    <t>#LOC_CTT_heavyLanders_description</t>
  </si>
  <si>
    <t>CommunityTechTree/UI/ctt_icon_heavyLanders</t>
  </si>
  <si>
    <t>heavyCommandCenters</t>
  </si>
  <si>
    <t>#LOC_CTT_heavyCommandCenters_description</t>
  </si>
  <si>
    <t>CommunityTechTree/UI/ctt_icon_heavyCommandCenters</t>
  </si>
  <si>
    <t>#LOC_CTT_advOffworldMining_description</t>
  </si>
  <si>
    <t>RDicon_fuelSystems-advanced</t>
  </si>
  <si>
    <t>#LOC_CTT_resourceExploitation_description</t>
  </si>
  <si>
    <t>#LOC_CTT_specializedScienceTech_description</t>
  </si>
  <si>
    <t>CommunityTechTree/UI/ctt_icon_specializedScienceTech</t>
  </si>
  <si>
    <t>#LOC_CTT_longTermScienceTech_description</t>
  </si>
  <si>
    <t>RDicon_telescope</t>
  </si>
  <si>
    <t>#LOC_CTT_scientificOutposts_description</t>
  </si>
  <si>
    <t>CommunityTechTree/UI/ctt_icon_scientificOutposts</t>
  </si>
  <si>
    <t>#LOC_CTT_highEnergyScience_description</t>
  </si>
  <si>
    <t>#LOC_CTT_appliedHighEnergyPhysics_description</t>
  </si>
  <si>
    <t>#LOC_CTT_mechatronics_description</t>
  </si>
  <si>
    <t>#LOC_CTT_artificialIntelligence_description</t>
  </si>
  <si>
    <t>#LOC_CTT_advIonPropulsion_description</t>
  </si>
  <si>
    <t>CommunityTechTree/UI/ctt_icon_advancedIonPropulsion</t>
  </si>
  <si>
    <t>#LOC_CTT_plasmaPropulsion_description</t>
  </si>
  <si>
    <t>CommunityTechTree/UI/ctt_icon_plasmaPropulsion</t>
  </si>
  <si>
    <t>#LOC_CTT_advEMSystems_description</t>
  </si>
  <si>
    <t>CommunityTechTree/UI/ctt_icon_advancedPlasmaPropulsion</t>
  </si>
  <si>
    <t>#LOC_CTT_specializedPlasmaGeneration_description</t>
  </si>
  <si>
    <t>CommunityTechTree/UI/ctt_icon_specializedPlasmaPropulsion</t>
  </si>
  <si>
    <t>#LOC_CTT_exoticPlasmaPropulsion_description</t>
  </si>
  <si>
    <t>#LOC_CTT_advGriddedThrusters_description</t>
  </si>
  <si>
    <t>CommunityTechTree/UI/ctt_icon_advancedElectrostaticPropulsion</t>
  </si>
  <si>
    <t>#LOC_CTT_expGriddedThrusters_description</t>
  </si>
  <si>
    <t>CommunityTechTree/UI/ctt_icon_experimentalElectrostaticPropulsion</t>
  </si>
  <si>
    <t>#LOC_CTT_advSolarTech_description</t>
  </si>
  <si>
    <t>CommunityTechTree/UI/ctt_icon_advSolarTech</t>
  </si>
  <si>
    <t>#LOC_CTT_advPVMaterials_description</t>
  </si>
  <si>
    <t>CommunityTechTree/UI/ctt_icon_advPVMaterials</t>
  </si>
  <si>
    <t>#LOC_CTT_cuttingEdgeSolarTech_description</t>
  </si>
  <si>
    <t>CommunityTechTree/UI/ctt_icon_cuttingEdgeSolar</t>
  </si>
  <si>
    <t>#LOC_CTT_exoticSolarTech_description</t>
  </si>
  <si>
    <t>CommunityTechTree/UI/ctt_icon_exoticSolarTech</t>
  </si>
  <si>
    <t>#LOC_CTT_highTechElectricalSystems_description</t>
  </si>
  <si>
    <t>CommunityTechTree/UI/ctt_icon_highTechElectricalSystems</t>
  </si>
  <si>
    <t>#LOC_CTT_highPowerElectricalSystems_description</t>
  </si>
  <si>
    <t>CommunityTechTree/UI/ctt_icon_highPowerElectricalSystems</t>
  </si>
  <si>
    <t>#LOC_CTT_experimentalElectricalSystems_description</t>
  </si>
  <si>
    <t>CommunityTechTree/UI/ctt_icon_expElectricalSystems</t>
  </si>
  <si>
    <t>#LOC_CTT_exoticElectricalSystems_description</t>
  </si>
  <si>
    <t>CommunityTechTree/UI/ctt_icon_exoticElectricalSystems</t>
  </si>
  <si>
    <t>#LOC_CTT_microwavePowerTransmission_description</t>
  </si>
  <si>
    <t>CommunityTechTree/UI/ctt_icon_microwavePower</t>
  </si>
  <si>
    <t>#LOC_CTT_heatManagementSystems_description</t>
  </si>
  <si>
    <t>CommunityTechTree/UI/ctt_icon_heatManagementSystems</t>
  </si>
  <si>
    <t>#LOC_CTT_advHeatManagement_description</t>
  </si>
  <si>
    <t>CommunityTechTree/UI/ctt_icon_advancedHeatManagement</t>
  </si>
  <si>
    <t>#LOC_CTT_specializedRadiators_description</t>
  </si>
  <si>
    <t>CommunityTechTree/UI/ctt_icon_specializedRadiators</t>
  </si>
  <si>
    <t>#LOC_CTT_exoticRadiators_description</t>
  </si>
  <si>
    <t>CommunityTechTree/UI/ctt_icon_exoticRadiators</t>
  </si>
  <si>
    <t>#LOC_CTT_recycling_description</t>
  </si>
  <si>
    <t>#LOC_CTT_hydroponics_description</t>
  </si>
  <si>
    <t>CommunityTechTree/UI/ctt_icon_hydroponics</t>
  </si>
  <si>
    <t>#LOC_CTT_shortTermHabitation_description</t>
  </si>
  <si>
    <t>RDicon_evaTech</t>
  </si>
  <si>
    <t>#LOC_CTT_longTermHabitation_description</t>
  </si>
  <si>
    <t>#LOC_CTT_colonization_description</t>
  </si>
  <si>
    <t>#LOC_CTT_advColonization_description</t>
  </si>
  <si>
    <t>#LOC_CTT_storageTech_description</t>
  </si>
  <si>
    <t>CommunityTechTree/UI/ctt_icon_storageTech</t>
  </si>
  <si>
    <t>#LOC_CTT_logistics_description</t>
  </si>
  <si>
    <t>CommunityTechTree/UI/ctt_icon_logistics</t>
  </si>
  <si>
    <t>#LOC_CTT_advLogistics_description</t>
  </si>
  <si>
    <t>CommunityTechTree/UI/ctt_icon_advancedLogistics</t>
  </si>
  <si>
    <t>#autoLOC_501021 //#autoLOC_501021 = The technology we started out with.</t>
  </si>
  <si>
    <t>#autoLOC_501023 //#autoLOC_501023 = How hard can Rocket Science be anyway?</t>
  </si>
  <si>
    <t>#autoLOC_501025 //#autoLOC_501025 = How hard can Aerospace Engineering be anyway?</t>
  </si>
  <si>
    <t>#autoLOC_501027 //#autoLOC_501027 = The art and science of landing and walking away from it.</t>
  </si>
  <si>
    <t>#autoLOC_501029 //#autoLOC_501029 = Reaching for the stars starts with keeping our spacecraft pointed generally in the right direction.</t>
  </si>
  <si>
    <t>#autoLOC_501031 //#autoLOC_501031 = More engines, more fuel, more ambitious ideas.</t>
  </si>
  <si>
    <t>#autoLOC_501033 //#autoLOC_501033 = The art and science of keeping heavier-than-air objects aloft for extended periods of time.</t>
  </si>
  <si>
    <t>#autoLOC_501035 //#autoLOC_501035 = We are going to ask all the big questions of the Universe... eventually. For now, we're starting with these.</t>
  </si>
  <si>
    <t>#autoLOC_501037 //#autoLOC_501037 = Tumbling out of control may be fun, but our engineers insist there's more to rocket science than that.</t>
  </si>
  <si>
    <t>#autoLOC_501039 //#autoLOC_501039 = A new step ahead in rocket technology.</t>
  </si>
  <si>
    <t>#autoLOC_501041 //#autoLOC_501041 = New equipment to help out in keeping things stable, especially useful when the size of the spacecraft defies the current bounds of sanity.</t>
  </si>
  <si>
    <t>#autoLOC_501043 //#autoLOC_501043 = A positively different approach to existing trends in rocketry. These small, lightweight propulsion systems may not seem as exciting, but they might prove just as useful.</t>
  </si>
  <si>
    <t>#autoLOC_501045 //#autoLOC_501045 = To boldly go where no green man has gone before.</t>
  </si>
  <si>
    <t>#autoLOC_501047 //#autoLOC_501047 = The latest advancements in keeping the correct end of the ship pointing towards where you want it to go.</t>
  </si>
  <si>
    <t>RDicon_control-flight</t>
  </si>
  <si>
    <t>#autoLOC_501049 //#autoLOC_501049 = Our Engineers are nothing if not optimistic.</t>
  </si>
  <si>
    <t>#autoLOC_501051 //#autoLOC_501051 = New breakthroughs from C7 Aerospace allow for new types of craft to be built. We're looking into hiring some of their engineers as well.</t>
  </si>
  <si>
    <t>#autoLOC_501053 //#autoLOC_501053 = We did know about electricity before inventing space flight. The big breakthrough here was combining the two.</t>
  </si>
  <si>
    <t>#autoLOC_501055 //#autoLOC_501055 = The next logical step for rocketry technology is to just go bigger.</t>
  </si>
  <si>
    <t>RDicon_rocketry-heavy</t>
  </si>
  <si>
    <t>#autoLOC_501057 //#autoLOC_501057 = Advancements towards a better understanding of how fuel flows through a rocket.</t>
  </si>
  <si>
    <t>#autoLOC_501059 //#autoLOC_501059 = New advances in construction make it possible to build larger than ever before.</t>
  </si>
  <si>
    <t>RDicon_construction-advanced</t>
  </si>
  <si>
    <t>#autoLOC_501061 //#autoLOC_501061 = These aren't your standard hobby miniature models. We've been assured they look good enough to actually fly.</t>
  </si>
  <si>
    <t>#autoLOC_501063 //#autoLOC_501063 = Perfecting the art of making things mobile, without the explicit use of explosives. Our engineers assure us, this is actually a good thing.</t>
  </si>
  <si>
    <t>RDicon_construction-specialized</t>
  </si>
  <si>
    <t>#autoLOC_501065 //#autoLOC_501065 = Flight control technology has evolved far enough that we feel we can honestly say pilots are in command now.</t>
  </si>
  <si>
    <t>RDicon_commandmodules</t>
  </si>
  <si>
    <t>#autoLOC_501067 //#autoLOC_501067 = There may be an upper limit to how large a rocket can be built, but we're not there yet.</t>
  </si>
  <si>
    <t>RDicon_rocketry-heavier</t>
  </si>
  <si>
    <t>#autoLOC_501069 //#autoLOC_501069 = Precise engineering techniques allow for construction of ever smaller parts.</t>
  </si>
  <si>
    <t>RDicon_engineering-precision</t>
  </si>
  <si>
    <t>#autoLOC_501071 //#autoLOC_501071 = They are Self-Deploying Astronaut Mobility Enhancement Devices, I don't know what you mean by "ladders".</t>
  </si>
  <si>
    <t>RDicon_exploration-advanced</t>
  </si>
  <si>
    <t>#autoLOC_501073 //#autoLOC_501073 = A new state-of-the-art in control technology.</t>
  </si>
  <si>
    <t>RDicon_control-large</t>
  </si>
  <si>
    <t>#autoLOC_501075 //#autoLOC_501075 = Further advances in landing devices, allowing for more controlled descents and a much higher number of parts still attached to the ship after touchdown.</t>
  </si>
  <si>
    <t>RDicon_landing-advanced</t>
  </si>
  <si>
    <t>#autoLOC_501077 //#autoLOC_501077 = A new line of aircraft parts that allow for unprecedented maneuverability and speed.</t>
  </si>
  <si>
    <t>RDicon_flight-supersonic</t>
  </si>
  <si>
    <t>#autoLOC_501079 //#autoLOC_501079 = Advanced Advancements towards a better understanding of how fuel flows through a rocket.</t>
  </si>
  <si>
    <t>#autoLOC_501081 //#autoLOC_501081 = We're fairly certain no one will ever need more than 64kw of power for anything.</t>
  </si>
  <si>
    <t>RDicon_electrics-advanced</t>
  </si>
  <si>
    <t>#autoLOC_501083 //#autoLOC_501083 = Specialized construction techniques provide new ways of attaching things together, and detaching things on purpose.</t>
  </si>
  <si>
    <t>#autoLOC_501085 //#autoLOC_501085 = Any level of precision achieved in controlling the sustained explosion inside a rocket engine is nothing short of remarkable. It might be quite expensive, too.</t>
  </si>
  <si>
    <t>RDicon_propulsion-precision</t>
  </si>
  <si>
    <t>#autoLOC_501087 //#autoLOC_501087 = Advances in fluid dynamics research technology have allowed development of a new set of streamlined aircraft components, And also these parts here.</t>
  </si>
  <si>
    <t>RDicon_aerodynamics-advanced</t>
  </si>
  <si>
    <t>#autoLOC_501089 //#autoLOC_501089 = A good landing is one where you walk away from it. A great landing is one where you get to use the aircraft again.</t>
  </si>
  <si>
    <t>RDicon_motors-experimental</t>
  </si>
  <si>
    <t>#autoLOC_501091 //#autoLOC_501091 = Why wonder about what's over the next hill when you can wonder about what's under it?</t>
  </si>
  <si>
    <t>#autoLOC_501093 //#autoLOC_501093 = Warning: May contain traces of sentience.</t>
  </si>
  <si>
    <t>RDicon_unmanned-advanced</t>
  </si>
  <si>
    <t>#autoLOC_501095 //#autoLOC_501095 = Nuclear engines don't burn fuel, they totally annihilate it. We just hope it doesn't begin any conflicts.</t>
  </si>
  <si>
    <t>RDicon_propulsion-nuclear</t>
  </si>
  <si>
    <t>#autoLOC_501097 //#autoLOC_501097 = These new construction techniques allow for craft designs that were considered insane not too long ago... and still are. But they're now possible!</t>
  </si>
  <si>
    <t>RDicon_metalworks-advanced</t>
  </si>
  <si>
    <t>#autoLOC_501099 //#autoLOC_501099 = Freedom to roam as far as curiosity will take you, or as long as batteries last.</t>
  </si>
  <si>
    <t>RDicon_science-field</t>
  </si>
  <si>
    <t>#autoLOC_501101 //#autoLOC_501101 = New breakthroughs in engine and intake development to enable flying through the upper reaches of the atmosphere.</t>
  </si>
  <si>
    <t>RDicon_flight-highAltitude</t>
  </si>
  <si>
    <t>#autoLOC_501103 //#autoLOC_501103 = Maximize the payload capacity of your spacecraft by maximizing the size of your spacecraft.</t>
  </si>
  <si>
    <t>#autoLOC_501105 //#autoLOC_501105 = Lightweight and strong! and don't worry, we're sure the glue will dry off in no time.</t>
  </si>
  <si>
    <t>#autoLOC_501107 //#autoLOC_501107 = Hopefully these won't become obsolete in the next couple of months.</t>
  </si>
  <si>
    <t>#autoLOC_501109 //#autoLOC_501109 = Maximize your energy production and storage potential by maximizing the size of the electrical components on your vessels.</t>
  </si>
  <si>
    <t>RDicon_electrics-large</t>
  </si>
  <si>
    <t>#autoLOC_501111 //#autoLOC_501111 = Advances in construction technology enabled new breakthroughs in aerospace materials.</t>
  </si>
  <si>
    <t>RDicon_aerospaceTech2</t>
  </si>
  <si>
    <t>#autoLOC_501113 //#autoLOC_501113 = Turns out, it's not science fiction.</t>
  </si>
  <si>
    <t>RDicon_propulsion-ion</t>
  </si>
  <si>
    <t>#autoLOC_501115 //#autoLOC_501115 = Push your aircraft to the upper limits of airspeed and sanity.</t>
  </si>
  <si>
    <t>RDicon_flight-hypersonic</t>
  </si>
  <si>
    <t>#autoLOC_501117 //#autoLOC_501117 = Despite the threatening appearance of the green metablobs shot out of the Nanolathing Injectors, none can argue the fact that Kerbals have indeed developed technologies at least just as dangerous as this one.</t>
  </si>
  <si>
    <t>RDicon_generic</t>
  </si>
  <si>
    <t>#autoLOC_501119 //#autoLOC_501119 = Improvements in remote control technology for a new generation of probe designs.</t>
  </si>
  <si>
    <t>#autoLOC_501121 //#autoLOC_501121 = An advancement in spacecraft construction so revolutionary, you won't even mind that its naming was wildly inaccurate.</t>
  </si>
  <si>
    <t>RDicon_metamaterials</t>
  </si>
  <si>
    <t>#autoLOC_501123 //#autoLOC_501123 = While ever-larger rockets may not be the answer every time, for all other times, we've developed these.</t>
  </si>
  <si>
    <t>RDicon_rocketry-veryHeavy</t>
  </si>
  <si>
    <t>#autoLOC_501125 //#autoLOC_501125 = Scientific advancements allow new advanced technologies for advancing Science.</t>
  </si>
  <si>
    <t>RDicon_scienceTech-advanced</t>
  </si>
  <si>
    <t>#autoLOC_501127 //#autoLOC_501127 = Wheel technology is just rolling along now. You could even say our engineers are on a roll with it.</t>
  </si>
  <si>
    <t>RDicon_motors-advanced</t>
  </si>
  <si>
    <t>#autoLOC_501129 //#autoLOC_501129 = Experience the warm glow of the latest in electrical technology. Figuratively, of course, and maybe also quite literally as well. Actually, try to avoid direct exposure.</t>
  </si>
  <si>
    <t>RDicon_electrics-specialized</t>
  </si>
  <si>
    <t>#autoLOC_501131 //#autoLOC_501131 = Massive engines require massive fuel storage solutions.</t>
  </si>
  <si>
    <t>RDicon_fuelSystems-highPerformance</t>
  </si>
  <si>
    <t>#autoLOC_501133 //#autoLOC_501133 = Winged flight technology is soaring to unprecedented heights. It could even be said that it's properly taking off now.</t>
  </si>
  <si>
    <t>RDicon_aerodynamics-heavy</t>
  </si>
  <si>
    <t>#autoLOC_501135 //#autoLOC_501135 = We can't think of anything that could go wrong with letting an experimental AI handle every aspect of a mission.</t>
  </si>
  <si>
    <t>#autoLOC_501137 //#autoLOC_501137 = The absolute cutting-edge in aerospace technology. Quite literally, some of those edges are very sharp. Handle with care.</t>
  </si>
  <si>
    <t>RDicon_aerodynamics-experimental</t>
  </si>
  <si>
    <t>#autoLOC_501139 //#autoLOC_501139 = The rumours of probe-led world domination are greatly exaggerated.</t>
  </si>
  <si>
    <t>RDicon_probes-large</t>
  </si>
  <si>
    <t>#autoLOC_501141 //#autoLOC_501141 = Explore novel fields of science that we didn't even know were there.</t>
  </si>
  <si>
    <t>#autoLOC_501143 //#autoLOC_501143 = The latest breakthroughs that are driving motor technology forwards, and in reverse, and steering too.</t>
  </si>
  <si>
    <t>#autoLOC_501145 //#autoLOC_501145 = The very latest in electrical systems technology. Our engineers are buzzing with excitement over it. They also seem to glow in the dark now. Fascinating!</t>
  </si>
  <si>
    <t>RDicon_electrics-experimental</t>
  </si>
  <si>
    <t>@RDNode:HAS[#id[actuators]]</t>
  </si>
  <si>
    <t>@RDNode:HAS[#id[commandModules]]</t>
  </si>
  <si>
    <t>advStability</t>
  </si>
  <si>
    <t>Old Title</t>
  </si>
  <si>
    <t>Localization</t>
  </si>
  <si>
    <t>Heavy Landers</t>
  </si>
  <si>
    <t>@cost = 5</t>
  </si>
  <si>
    <t>@RDNode:HAS[#id[basicRocketry]]</t>
  </si>
  <si>
    <t>Counter</t>
  </si>
  <si>
    <t>Experimental Conversion Systems</t>
  </si>
  <si>
    <t>advInflatableStationTech</t>
  </si>
  <si>
    <t>High-density Fusion Reactions</t>
  </si>
  <si>
    <t>// ==========================================</t>
  </si>
  <si>
    <t>Parent</t>
  </si>
  <si>
    <t>SpecializedControl</t>
  </si>
  <si>
    <t>advVeryHeavyRocketry</t>
  </si>
  <si>
    <t>ExperimentalRocketry</t>
  </si>
  <si>
    <t>parentID = lifeSupport</t>
  </si>
  <si>
    <t>parentID = modelRocketry</t>
  </si>
  <si>
    <t>parentID = start</t>
  </si>
  <si>
    <t>RDNode</t>
  </si>
  <si>
    <t>desc = ETT</t>
  </si>
  <si>
    <t>hideEmpty = False</t>
  </si>
  <si>
    <t>anyToUnlock = False</t>
  </si>
  <si>
    <t>icon = N/A</t>
  </si>
  <si>
    <t>scale = 0.6</t>
  </si>
  <si>
    <t>cost = 8</t>
  </si>
  <si>
    <t>cost = 275</t>
  </si>
  <si>
    <t>cost = 15</t>
  </si>
  <si>
    <t>id = advStorageTech</t>
  </si>
  <si>
    <t>title = Advanced Service Modules</t>
  </si>
  <si>
    <t>nodeName = Node7_advStorageTech</t>
  </si>
  <si>
    <t>id = largeModelRocketry</t>
  </si>
  <si>
    <t>nodeName = Node2_largeModelRocketry</t>
  </si>
  <si>
    <t>id = modelRocketStability</t>
  </si>
  <si>
    <t>nodeName = Node3_modelRocketStability</t>
  </si>
  <si>
    <t>id = modelRocketry</t>
  </si>
  <si>
    <t>nodeName = Node2_modelRocketry</t>
  </si>
  <si>
    <t>parentID = storageTech</t>
  </si>
  <si>
    <t>parentID = stability</t>
  </si>
  <si>
    <t>parentID = largeModelRocketry</t>
  </si>
  <si>
    <t>lineFrom = RIGHT</t>
  </si>
  <si>
    <t>lineTo = LEFT</t>
  </si>
  <si>
    <t>#LOC_ETT_thermodynamics_description</t>
  </si>
  <si>
    <t>#LOC_ETT_modelRocketry_description</t>
  </si>
  <si>
    <t>#LOC_ETT_smallLaunchClamps_description</t>
  </si>
  <si>
    <t>#LOC_ETT_largeModelRocketry_description</t>
  </si>
  <si>
    <t>#LOC_ETT_ullageMotors_description</t>
  </si>
  <si>
    <t>#LOC_ETT_bouyancy_description</t>
  </si>
  <si>
    <t>#LOC_ETT_modelRocketStability_description</t>
  </si>
  <si>
    <t>#LOC_ETT_largeLaunchClamps_description</t>
  </si>
  <si>
    <t>#LOC_ETT_aircraftStructures_description</t>
  </si>
  <si>
    <t>#LOC_ETT_propellerEngines_description</t>
  </si>
  <si>
    <t>#LOC_ETT_radialTech_description</t>
  </si>
  <si>
    <t>#LOC_ETT_advStability_description</t>
  </si>
  <si>
    <t>#LOC_ETT_reactionControl_description</t>
  </si>
  <si>
    <t>#LOC_ETT_solarTech_description</t>
  </si>
  <si>
    <t>#LOC_ETT_communications_description</t>
  </si>
  <si>
    <t>#LOC_ETT_rovers_description</t>
  </si>
  <si>
    <t>#LOC_ETT_landingLegs_description</t>
  </si>
  <si>
    <t>#LOC_ETT_largePropellerEngines_description</t>
  </si>
  <si>
    <t>#LOC_ETT_fairings_description</t>
  </si>
  <si>
    <t>#LOC_ETT_advPropellerEngines_description</t>
  </si>
  <si>
    <t>#LOC_ETT_turbojetEngines_description</t>
  </si>
  <si>
    <t>#LOC_ETT_advParachutes_description</t>
  </si>
  <si>
    <t>#LOC_ETT_mannedTech_description</t>
  </si>
  <si>
    <t>#LOC_ETT_advReactionControl_description</t>
  </si>
  <si>
    <t>#LOC_ETT_intermediateRocketry_description</t>
  </si>
  <si>
    <t>#LOC_ETT_advGeneralRocketry_description</t>
  </si>
  <si>
    <t>#LOC_ETT_experimentalPrecisionEngineering_description</t>
  </si>
  <si>
    <t>#LOC_ETT_advUllageMotors_description</t>
  </si>
  <si>
    <t>#LOC_ETT_advSolidRockets_description</t>
  </si>
  <si>
    <t>#LOC_ETT_electricPropulsion_description</t>
  </si>
  <si>
    <t>#LOC_ETT_advIntermediateRocketry_description</t>
  </si>
  <si>
    <t>#LOC_ETT_experimentalGeneralRocketry_description</t>
  </si>
  <si>
    <t>#LOC_ETT_computers_description</t>
  </si>
  <si>
    <t>#LOC_ETT_lifeSupport_description</t>
  </si>
  <si>
    <t>#LOC_ETT_docking_description</t>
  </si>
  <si>
    <t>#LOC_ETT_advLandingLegs_description</t>
  </si>
  <si>
    <t>#LOC_ETT_advBouyancy_description</t>
  </si>
  <si>
    <t>#LOC_ETT_advFairings_description</t>
  </si>
  <si>
    <t>#LOC_ETT_turboshaftEngines_description</t>
  </si>
  <si>
    <t>#LOC_ETT_turbofanEngines_description</t>
  </si>
  <si>
    <t>#LOC_ETT_advRadialTech_description</t>
  </si>
  <si>
    <t>#LOC_ETT_advAdvancedRocketry_description</t>
  </si>
  <si>
    <t>#LOC_ETT_heavySolidRockets_description</t>
  </si>
  <si>
    <t>#LOC_ETT_advCommunications_description</t>
  </si>
  <si>
    <t>#LOC_ETT_experimentalIntermediateRocketry_description</t>
  </si>
  <si>
    <t>#LOC_ETT_largeFairings_description</t>
  </si>
  <si>
    <t>#LOC_ETT_experimentalAdvancedRocketry_description</t>
  </si>
  <si>
    <t>#LOC_ETT_advLifeSupport_description</t>
  </si>
  <si>
    <t>#LOC_ETT_advComputers_description</t>
  </si>
  <si>
    <t>#LOC_ETT_experimentalCommunications_description</t>
  </si>
  <si>
    <t>#LOC_ETT_spaceStationTech_description</t>
  </si>
  <si>
    <t>#LOC_ETT_largeLandingLegs_description</t>
  </si>
  <si>
    <t>#LOC_ETT_turbopropEngines_description</t>
  </si>
  <si>
    <t>#LOC_ETT_veryHeavySolidRockets_description</t>
  </si>
  <si>
    <t>#LOC_ETT_inflatableStationTech_description</t>
  </si>
  <si>
    <t>#LOC_ETT_advStorageTech_description</t>
  </si>
  <si>
    <t>#LOC_ETT_experimentalRadialTech_description</t>
  </si>
  <si>
    <t>#LOC_ETT_advHeavyRocketry_description</t>
  </si>
  <si>
    <t>#LOC_ETT_offworldMining_description</t>
  </si>
  <si>
    <t>#LOC_ETT_advDocking_description</t>
  </si>
  <si>
    <t>#LOC_ETT_veryLargeFairings_description</t>
  </si>
  <si>
    <t>#LOC_ETT_expSolarTech_description</t>
  </si>
  <si>
    <t>#LOC_ETT_exoticCommunications_description</t>
  </si>
  <si>
    <t>#LOC_ETT_advInflatableStationTech_description</t>
  </si>
  <si>
    <t>#LOC_ETT_veryLargeLandingLegs_description</t>
  </si>
  <si>
    <t>#LOC_ETT_experimentalBouyancy_description</t>
  </si>
  <si>
    <t>#LOC_ETT_experimentalFlightControls_description</t>
  </si>
  <si>
    <t>#LOC_ETT_advTurbofanEngines_description</t>
  </si>
  <si>
    <t>#LOC_ETT_giganticSolidRockets_description</t>
  </si>
  <si>
    <t>#LOC_ETT_experimentalComputers_description</t>
  </si>
  <si>
    <t>#LOC_ETT_experimentalTurbofanEngines_description</t>
  </si>
  <si>
    <t>#LOC_ETT_advHeavierRocketry_description</t>
  </si>
  <si>
    <t>#LOC_ETT_experimentalProbes_description</t>
  </si>
  <si>
    <t>#LOC_ETT_exoticComputers_description</t>
  </si>
  <si>
    <t>#LOC_ETT_hybridRockets_description</t>
  </si>
  <si>
    <t>#LOC_ETT_quantumComputers_description</t>
  </si>
  <si>
    <t>#LOC_ETT_highEfficiencyNuclear_description</t>
  </si>
  <si>
    <t>#LOC_ETT_experimentalHeavierRocketry_description</t>
  </si>
  <si>
    <t>#LOC_ETT_emPropulsion_description</t>
  </si>
  <si>
    <t>#LOC_ETT_advVeryHeavyRocketry_description</t>
  </si>
  <si>
    <t>#LOC_ETT_experimentalEMPropulsion_description</t>
  </si>
  <si>
    <t>#LOC_ETT_advMicrowavePropulsion_description</t>
  </si>
  <si>
    <t>#LOC_ETT_offworldLaunchsites_description</t>
  </si>
  <si>
    <t>// Rocketry Tech</t>
  </si>
  <si>
    <t>// Marine Tech</t>
  </si>
  <si>
    <t>// Communications Tech</t>
  </si>
  <si>
    <t>// Docking and Station Tech</t>
  </si>
  <si>
    <t>// Aircraft and Aerodynamics Tech</t>
  </si>
  <si>
    <t xml:space="preserve">#LOC_ETT_intermediateRocketry_title = </t>
  </si>
  <si>
    <t xml:space="preserve">#LOC_ETT_intermediateRocketry_description = </t>
  </si>
  <si>
    <t xml:space="preserve">#LOC_ETT_landingLegs_title = </t>
  </si>
  <si>
    <t xml:space="preserve">#LOC_ETT_landingLegs_description = </t>
  </si>
  <si>
    <t xml:space="preserve">#LOC_ETT_largeFairings_title = </t>
  </si>
  <si>
    <t xml:space="preserve">#LOC_ETT_largeFairings_description = </t>
  </si>
  <si>
    <t xml:space="preserve">#LOC_ETT_largeLandingLegs_title = </t>
  </si>
  <si>
    <t xml:space="preserve">#LOC_ETT_largeLandingLegs_description = </t>
  </si>
  <si>
    <t xml:space="preserve">#LOC_ETT_largeLaunchClamps_title = </t>
  </si>
  <si>
    <t xml:space="preserve">#LOC_ETT_largeLaunchClamps_description = </t>
  </si>
  <si>
    <t xml:space="preserve">#LOC_ETT_largeModelRocketry_title = </t>
  </si>
  <si>
    <t xml:space="preserve">#LOC_ETT_largeModelRocketry_description = </t>
  </si>
  <si>
    <t xml:space="preserve">#LOC_ETT_largePropellerEngines_title = </t>
  </si>
  <si>
    <t xml:space="preserve">#LOC_ETT_largePropellerEngines_description = </t>
  </si>
  <si>
    <t xml:space="preserve">#LOC_ETT_lifeSupport_description = </t>
  </si>
  <si>
    <t xml:space="preserve">#LOC_ETT_mannedTech_title = </t>
  </si>
  <si>
    <t xml:space="preserve">#LOC_ETT_mannedTech_description = </t>
  </si>
  <si>
    <t xml:space="preserve">#LOC_ETT_modelRocketry_title = </t>
  </si>
  <si>
    <t xml:space="preserve">#LOC_ETT_modelRocketry_description = </t>
  </si>
  <si>
    <t xml:space="preserve">#LOC_ETT_modelRocketStability_title = </t>
  </si>
  <si>
    <t xml:space="preserve">#LOC_ETT_modelRocketStability_description = </t>
  </si>
  <si>
    <t xml:space="preserve">#LOC_ETT_offworldLaunchsites_title = </t>
  </si>
  <si>
    <t xml:space="preserve">#LOC_ETT_offworldLaunchsites_description = </t>
  </si>
  <si>
    <t xml:space="preserve">#LOC_ETT_offworldMining_title = </t>
  </si>
  <si>
    <t xml:space="preserve">#LOC_ETT_offworldMining_description = </t>
  </si>
  <si>
    <t xml:space="preserve">#LOC_ETT_propellerEngines_title = </t>
  </si>
  <si>
    <t xml:space="preserve">#LOC_ETT_propellerEngines_description = </t>
  </si>
  <si>
    <t xml:space="preserve">#LOC_ETT_quantumComputers_title = </t>
  </si>
  <si>
    <t xml:space="preserve">#LOC_ETT_quantumComputers_description = </t>
  </si>
  <si>
    <t xml:space="preserve">#LOC_ETT_radialTech_title = </t>
  </si>
  <si>
    <t xml:space="preserve">#LOC_ETT_radialTech_description = </t>
  </si>
  <si>
    <t xml:space="preserve">#LOC_ETT_reactionControl_title = </t>
  </si>
  <si>
    <t xml:space="preserve">#LOC_ETT_reactionControl_description = </t>
  </si>
  <si>
    <t xml:space="preserve">#LOC_ETT_rovers_title = </t>
  </si>
  <si>
    <t xml:space="preserve">#LOC_ETT_rovers_description = </t>
  </si>
  <si>
    <t xml:space="preserve">#LOC_ETT_smallLaunchClamps_title = </t>
  </si>
  <si>
    <t xml:space="preserve">#LOC_ETT_smallLaunchClamps_description = </t>
  </si>
  <si>
    <t xml:space="preserve">#LOC_ETT_solarTech_title = </t>
  </si>
  <si>
    <t xml:space="preserve">#LOC_ETT_solarTech_description = </t>
  </si>
  <si>
    <t xml:space="preserve">#LOC_ETT_spaceStationTech_title = </t>
  </si>
  <si>
    <t xml:space="preserve">#LOC_ETT_spaceStationTech_description = </t>
  </si>
  <si>
    <t xml:space="preserve">#LOC_ETT_thermodynamics_title = </t>
  </si>
  <si>
    <t xml:space="preserve">#LOC_ETT_thermodynamics_description = </t>
  </si>
  <si>
    <t xml:space="preserve">#LOC_ETT_turbofanEngines_title = </t>
  </si>
  <si>
    <t xml:space="preserve">#LOC_ETT_turbofanEngines_description = </t>
  </si>
  <si>
    <t xml:space="preserve">#LOC_ETT_turbojetEngines_title = </t>
  </si>
  <si>
    <t xml:space="preserve">#LOC_ETT_turbojetEngines_description = </t>
  </si>
  <si>
    <t xml:space="preserve">#LOC_ETT_turbopropEngines_title = </t>
  </si>
  <si>
    <t xml:space="preserve">#LOC_ETT_turbopropEngines_description = </t>
  </si>
  <si>
    <t xml:space="preserve">#LOC_ETT_turboshaftEngines_title = </t>
  </si>
  <si>
    <t xml:space="preserve">#LOC_ETT_turboshaftEngines_description = </t>
  </si>
  <si>
    <t xml:space="preserve">#LOC_ETT_ullageMotors_title = </t>
  </si>
  <si>
    <t xml:space="preserve">#LOC_ETT_ullageMotors_description = </t>
  </si>
  <si>
    <t xml:space="preserve">#LOC_ETT_veryHeavySolidRockets_title = </t>
  </si>
  <si>
    <t xml:space="preserve">#LOC_ETT_veryHeavySolidRockets_description = </t>
  </si>
  <si>
    <t xml:space="preserve">#LOC_ETT_veryLargeFairings_title = </t>
  </si>
  <si>
    <t xml:space="preserve">#LOC_ETT_veryLargeFairings_description = </t>
  </si>
  <si>
    <t xml:space="preserve">#LOC_ETT_veryLargeLandingLegs_title = </t>
  </si>
  <si>
    <t xml:space="preserve">#LOC_ETT_veryLargeLandingLegs_description = </t>
  </si>
  <si>
    <t xml:space="preserve">#LOC_ETT_experimentalPrecisionEngineering_title = </t>
  </si>
  <si>
    <t xml:space="preserve">#LOC_ETT_experimentalPrecisionEngineering_description = </t>
  </si>
  <si>
    <t xml:space="preserve">#LOC_ETT_advGeneralRocketry_title = </t>
  </si>
  <si>
    <t xml:space="preserve">#LOC_ETT_advGeneralRocketry_description = </t>
  </si>
  <si>
    <t xml:space="preserve">#LOC_ETT_experimentalGeneralRocketry_title = </t>
  </si>
  <si>
    <t xml:space="preserve">#LOC_ETT_experimentalGeneralRocketry_description = </t>
  </si>
  <si>
    <t xml:space="preserve">#LOC_ETT_advIntermediateRocketry_title = </t>
  </si>
  <si>
    <t xml:space="preserve">#LOC_ETT_advIntermediateRocketry_description = </t>
  </si>
  <si>
    <t xml:space="preserve">#LOC_ETT_experimentalIntermediateRocketry_title = </t>
  </si>
  <si>
    <t xml:space="preserve">#LOC_ETT_experimentalIntermediateRocketry_description = </t>
  </si>
  <si>
    <t xml:space="preserve">#LOC_ETT_advAdvancedRocketry_title = </t>
  </si>
  <si>
    <t xml:space="preserve">#LOC_ETT_advAdvancedRocketry_description = </t>
  </si>
  <si>
    <t xml:space="preserve">#LOC_ETT_experimentalAdvancedRocketry_title = </t>
  </si>
  <si>
    <t xml:space="preserve">#LOC_ETT_experimentalAdvancedRocketry_description = </t>
  </si>
  <si>
    <t xml:space="preserve">#LOC_ETT_advHeavyRocketry_title = </t>
  </si>
  <si>
    <t xml:space="preserve">#LOC_ETT_advHeavyRocketry_description = </t>
  </si>
  <si>
    <t xml:space="preserve">#LOC_ETT_experimentalHeavierRocketry_title = </t>
  </si>
  <si>
    <t xml:space="preserve">#LOC_ETT_experimentalHeavierRocketry_description = </t>
  </si>
  <si>
    <t xml:space="preserve">#LOC_ETT_advHeavierRocketry_title = </t>
  </si>
  <si>
    <t xml:space="preserve">#LOC_ETT_advHeavierRocketry_description = </t>
  </si>
  <si>
    <t xml:space="preserve">#LOC_ETT_advVeryHeavyRocketry_title = </t>
  </si>
  <si>
    <t xml:space="preserve">#LOC_ETT_advVeryHeavyRocketry_description = </t>
  </si>
  <si>
    <t xml:space="preserve">#LOC_ETT_bouyancy_title = </t>
  </si>
  <si>
    <t xml:space="preserve">#LOC_ETT_bouyancy_description = </t>
  </si>
  <si>
    <t xml:space="preserve">#LOC_ETT_advBouyancy_title = </t>
  </si>
  <si>
    <t xml:space="preserve">#LOC_ETT_advBouyancy_description = </t>
  </si>
  <si>
    <t xml:space="preserve">#LOC_ETT_experimentalBouyancy_title = </t>
  </si>
  <si>
    <t xml:space="preserve">#LOC_ETT_experimentalBouyancy_description = </t>
  </si>
  <si>
    <t xml:space="preserve">#LOC_ETT_communications_title = </t>
  </si>
  <si>
    <t xml:space="preserve">#LOC_ETT_communications_description = </t>
  </si>
  <si>
    <t xml:space="preserve">#LOC_ETT_advCommunications_title = </t>
  </si>
  <si>
    <t xml:space="preserve">#LOC_ETT_advCommunications_description = </t>
  </si>
  <si>
    <t xml:space="preserve">#LOC_ETT_exoticCommunications_title = </t>
  </si>
  <si>
    <t xml:space="preserve">#LOC_ETT_exoticCommunications_description = </t>
  </si>
  <si>
    <t xml:space="preserve">#LOC_ETT_experimentalCommunications_title = </t>
  </si>
  <si>
    <t xml:space="preserve">#LOC_ETT_experimentalCommunications_description = </t>
  </si>
  <si>
    <t xml:space="preserve">#LOC_ETT_advComputers_title = </t>
  </si>
  <si>
    <t xml:space="preserve">#LOC_ETT_advComputers_description = </t>
  </si>
  <si>
    <t xml:space="preserve">#LOC_ETT_computers_title = </t>
  </si>
  <si>
    <t xml:space="preserve">#LOC_ETT_computers_description = </t>
  </si>
  <si>
    <t xml:space="preserve">#LOC_ETT_electricPropulsion_title = </t>
  </si>
  <si>
    <t xml:space="preserve">#LOC_ETT_electricPropulsion_description = </t>
  </si>
  <si>
    <t xml:space="preserve">#LOC_ETT_experimentalComputers_title = </t>
  </si>
  <si>
    <t xml:space="preserve">#LOC_ETT_experimentalComputers_description = </t>
  </si>
  <si>
    <t xml:space="preserve">#LOC_ETT_exoticComputers_title = </t>
  </si>
  <si>
    <t xml:space="preserve">#LOC_ETT_exoticComputers_description = </t>
  </si>
  <si>
    <t xml:space="preserve">#LOC_ETT_expSolarTech_title = </t>
  </si>
  <si>
    <t xml:space="preserve">#LOC_ETT_expSolarTech_description = </t>
  </si>
  <si>
    <t xml:space="preserve">#LOC_ETT_docking_title = </t>
  </si>
  <si>
    <t xml:space="preserve">#LOC_ETT_docking_description = </t>
  </si>
  <si>
    <t xml:space="preserve">#LOC_ETT_advDocking_title = </t>
  </si>
  <si>
    <t xml:space="preserve">#LOC_ETT_advDocking_description = </t>
  </si>
  <si>
    <t xml:space="preserve">#LOC_ETT_inflatableStationTech_title = </t>
  </si>
  <si>
    <t xml:space="preserve">#LOC_ETT_inflatableStationTech_description = </t>
  </si>
  <si>
    <t xml:space="preserve">#LOC_ETT_experimentalTurbofanEngines_title = </t>
  </si>
  <si>
    <t xml:space="preserve">#LOC_ETT_experimentalTurbofanEngines_description = </t>
  </si>
  <si>
    <t xml:space="preserve">#LOC_ETT_advFairings_title = </t>
  </si>
  <si>
    <t xml:space="preserve">#LOC_ETT_advFairings_description = </t>
  </si>
  <si>
    <t xml:space="preserve">#LOC_ETT_advPropellerEngines_title = </t>
  </si>
  <si>
    <t xml:space="preserve">#LOC_ETT_advPropellerEngines_description = </t>
  </si>
  <si>
    <t xml:space="preserve">#LOC_ETT_advTurbofanEngines_title = </t>
  </si>
  <si>
    <t xml:space="preserve">#LOC_ETT_advTurbofanEngines_description = </t>
  </si>
  <si>
    <t xml:space="preserve">#LOC_ETT_aircraftStructures_title = </t>
  </si>
  <si>
    <t xml:space="preserve">#LOC_ETT_aircraftStructures_description = </t>
  </si>
  <si>
    <t xml:space="preserve">#LOC_ETT_experimentalFlightControls_title = </t>
  </si>
  <si>
    <t xml:space="preserve">#LOC_ETT_experimentalFlightControls_description = </t>
  </si>
  <si>
    <t xml:space="preserve">#LOC_ETT_fairings_title = </t>
  </si>
  <si>
    <t xml:space="preserve">#LOC_ETT_advLandingLegs_title = </t>
  </si>
  <si>
    <t xml:space="preserve">#LOC_ETT_fairings_description = </t>
  </si>
  <si>
    <t xml:space="preserve">#LOC_ETT_advLandingLegs_description = </t>
  </si>
  <si>
    <t xml:space="preserve">#LOC_ETT_advLifeSupport_title = </t>
  </si>
  <si>
    <t xml:space="preserve">#LOC_ETT_advLifeSupport_description = </t>
  </si>
  <si>
    <t xml:space="preserve">#LOC_ETT_advMicrowavePropulsion_title = </t>
  </si>
  <si>
    <t xml:space="preserve">#LOC_ETT_advMicrowavePropulsion_description = </t>
  </si>
  <si>
    <t xml:space="preserve">#LOC_ETT_advRadialTech_title = </t>
  </si>
  <si>
    <t xml:space="preserve">#LOC_ETT_advRadialTech_description = </t>
  </si>
  <si>
    <t xml:space="preserve">#LOC_ETT_advSolidRockets_title = </t>
  </si>
  <si>
    <t xml:space="preserve">#LOC_ETT_advSolidRockets_description = </t>
  </si>
  <si>
    <t xml:space="preserve">#LOC_ETT_advUllageMotors_title = </t>
  </si>
  <si>
    <t xml:space="preserve">#LOC_ETT_advUllageMotors_description = </t>
  </si>
  <si>
    <t xml:space="preserve">#LOC_ETT_emPropulsion_title = </t>
  </si>
  <si>
    <t xml:space="preserve">#LOC_ETT_emPropulsion_description = </t>
  </si>
  <si>
    <t xml:space="preserve">#LOC_ETT_experimentalEMPropulsion_title = </t>
  </si>
  <si>
    <t xml:space="preserve">#LOC_ETT_experimentalEMPropulsion_description = </t>
  </si>
  <si>
    <t xml:space="preserve">#LOC_ETT_giganticSolidRockets_title = </t>
  </si>
  <si>
    <t xml:space="preserve">#LOC_ETT_giganticSolidRockets_description = </t>
  </si>
  <si>
    <t xml:space="preserve">#LOC_ETT_heavySolidRockets_title = </t>
  </si>
  <si>
    <t xml:space="preserve">#LOC_ETT_heavySolidRockets_description = </t>
  </si>
  <si>
    <t xml:space="preserve">#LOC_ETT_highEfficiencyNuclear_title = </t>
  </si>
  <si>
    <t xml:space="preserve">#LOC_ETT_highEfficiencyNuclear_description = </t>
  </si>
  <si>
    <t xml:space="preserve">#LOC_ETT_hybridRockets_title = </t>
  </si>
  <si>
    <t xml:space="preserve">#LOC_ETT_hybridRockets_description = </t>
  </si>
  <si>
    <t xml:space="preserve">#LOC_ETT_experimentalRadialTech_title = </t>
  </si>
  <si>
    <t xml:space="preserve">#LOC_ETT_experimentalRadialTech_description = </t>
  </si>
  <si>
    <t xml:space="preserve">#LOC_ETT_advReactionControl_title = </t>
  </si>
  <si>
    <t xml:space="preserve">#LOC_ETT_advReactionControl_description = </t>
  </si>
  <si>
    <t xml:space="preserve">#LOC_ETT_advParachutes_title = </t>
  </si>
  <si>
    <t xml:space="preserve">#LOC_ETT_advParachutes_description = </t>
  </si>
  <si>
    <t xml:space="preserve">#LOC_ETT_advStability_title = </t>
  </si>
  <si>
    <t xml:space="preserve">#LOC_ETT_advStability_description = </t>
  </si>
  <si>
    <t xml:space="preserve">#LOC_ETT_advStorageTech_title = </t>
  </si>
  <si>
    <t xml:space="preserve">#LOC_ETT_advStorageTech_description = </t>
  </si>
  <si>
    <t xml:space="preserve">#LOC_ETT_experimentalProbes_title = </t>
  </si>
  <si>
    <t xml:space="preserve">#LOC_ETT_experimentalProbes_description = </t>
  </si>
  <si>
    <t>// Stability, Control, and Suvivability Tech</t>
  </si>
  <si>
    <t>// Structural Tech</t>
  </si>
  <si>
    <t>@TechTree:NEEDS[SoundingRockets]:FINAL</t>
  </si>
  <si>
    <t>//cost =5</t>
  </si>
  <si>
    <t>//pos = -3086,820,-1</t>
  </si>
  <si>
    <t>@pos = -3086, 820,-1</t>
  </si>
  <si>
    <t>// Add nodes for Sounding Rocket Parts</t>
  </si>
  <si>
    <t>// Reposition some nodes and add dependency for Sounding Rockets</t>
  </si>
  <si>
    <t>pos = -3193,820,-1</t>
  </si>
  <si>
    <t>cost = 1</t>
  </si>
  <si>
    <t>pos = -2979, 930,-1</t>
  </si>
  <si>
    <t>pos = -2872, 930,-1</t>
  </si>
  <si>
    <t>// Modify Tech Tree to add Sounding Rocket Nodes</t>
  </si>
  <si>
    <t>desc = #LOC_ETT_largeModelRocketry_description</t>
  </si>
  <si>
    <t>desc = #LOC_ETT_modelRocketStability_description</t>
  </si>
  <si>
    <t>title = #LOC_ETT_modelRocketStability_title</t>
  </si>
  <si>
    <t>title = #LOC_ETT_largeModelRocketry_title</t>
  </si>
  <si>
    <t>desc = #LOC_ETT_modelRocketry_description</t>
  </si>
  <si>
    <t>title = #LOC_ETT_modelRocketry_title</t>
  </si>
  <si>
    <t>// Modify the Tech Tree to add nodes for Life Support Mods</t>
  </si>
  <si>
    <t>@TechTree:NEEDS[TacLifeSupport|USILifeSupport|Snacks|IFILS]:FINAL</t>
  </si>
  <si>
    <t>pos = -1588, 1315,-1</t>
  </si>
  <si>
    <t>Larger cardboard tubes stuffed with even more explosives.</t>
  </si>
  <si>
    <t>#LOC_ETT_generalRocketry_description =</t>
  </si>
  <si>
    <t>#LOC_ETT_precisionEngineering_description =</t>
  </si>
  <si>
    <t>#LOC_ETT_basicRocketry_description =</t>
  </si>
  <si>
    <t>#LOC_ETT_basicRocketry_title =</t>
  </si>
  <si>
    <t>#LOC_ETT_precisionEngineering_title =</t>
  </si>
  <si>
    <t>#LOC_ETT_generalRocketry_title =</t>
  </si>
  <si>
    <t xml:space="preserve">#LOC_ETT_advRocketry_description = </t>
  </si>
  <si>
    <t xml:space="preserve">#LOC_ETT_advRocketry_title = </t>
  </si>
  <si>
    <t xml:space="preserve">#LOC_ETT_heavyRocketry_title = </t>
  </si>
  <si>
    <t xml:space="preserve">#LOC_ETT_heavyRocketry_description = </t>
  </si>
  <si>
    <t xml:space="preserve">#LOC_ETT_heavierRocketry_title = </t>
  </si>
  <si>
    <t xml:space="preserve">#LOC_ETT_heavierRocketry_description = </t>
  </si>
  <si>
    <t xml:space="preserve">#LOC_ETT_veryHeavyRocketry_title = </t>
  </si>
  <si>
    <t xml:space="preserve">#LOC_ETT_veryHeavyRocketry_description = </t>
  </si>
  <si>
    <t xml:space="preserve">#LOC_ETT_giganticRocketry_title = </t>
  </si>
  <si>
    <t xml:space="preserve">#LOC_ETT_giganticRocketry_description = </t>
  </si>
  <si>
    <t>// Start Nodes</t>
  </si>
  <si>
    <t xml:space="preserve">#LOC_ETT_engineering101_title = </t>
  </si>
  <si>
    <t xml:space="preserve">#LOC_ETT_basicScience_title = </t>
  </si>
  <si>
    <t xml:space="preserve">#LOC_ETT_electrics_title = </t>
  </si>
  <si>
    <t xml:space="preserve">#LOC_ETT_electrics_description = </t>
  </si>
  <si>
    <t xml:space="preserve">#LOC_ETT_start_title = </t>
  </si>
  <si>
    <t xml:space="preserve">#LOC_ETT_start_description = </t>
  </si>
  <si>
    <t>// Solid Rocket &amp; Radial Decoupler Tech</t>
  </si>
  <si>
    <t xml:space="preserve">#LOC_ETT_advOffworldMining_description = </t>
  </si>
  <si>
    <t xml:space="preserve">#LOC_ETT_advOffworldMining_title = </t>
  </si>
  <si>
    <t>// Colonization &amp; Extraplanetary Launchpads Tech</t>
  </si>
  <si>
    <t xml:space="preserve">#LOC_ETT_advAerodynamics_title = </t>
  </si>
  <si>
    <t xml:space="preserve">#LOC_ETT_advAerodynamics_description = </t>
  </si>
  <si>
    <t xml:space="preserve">#LOC_ETT_advancedMotors_title = </t>
  </si>
  <si>
    <t xml:space="preserve">#LOC_ETT_advancedMotors_description = </t>
  </si>
  <si>
    <t xml:space="preserve">#LOC_ETT_advConstruction_title = </t>
  </si>
  <si>
    <t xml:space="preserve">#LOC_ETT_advConstruction_description = </t>
  </si>
  <si>
    <t xml:space="preserve">#LOC_ETT_advFuelSystems_title = </t>
  </si>
  <si>
    <t xml:space="preserve">#LOC_ETT_advFuelSystems_description = </t>
  </si>
  <si>
    <t xml:space="preserve">#LOC_ETT_advFusionReactions_title = </t>
  </si>
  <si>
    <t xml:space="preserve">#LOC_ETT_advFusionReactions_description = </t>
  </si>
  <si>
    <t xml:space="preserve">#LOC_ETT_advLanding_title = </t>
  </si>
  <si>
    <t xml:space="preserve">#LOC_ETT_advLanding_description = </t>
  </si>
  <si>
    <t xml:space="preserve">#LOC_ETT_advNuclearPropulsion_title = </t>
  </si>
  <si>
    <t xml:space="preserve">#LOC_ETT_advNuclearPropulsion_description = </t>
  </si>
  <si>
    <t xml:space="preserve">#LOC_ETT_advSolarTech_title = </t>
  </si>
  <si>
    <t xml:space="preserve">#LOC_ETT_advSolarTech_description = </t>
  </si>
  <si>
    <t xml:space="preserve">#LOC_ETT_advUnmanned_title = </t>
  </si>
  <si>
    <t xml:space="preserve">#LOC_ETT_advUnmanned_description = </t>
  </si>
  <si>
    <t xml:space="preserve">#LOC_ETT_aerospaceTech_title = </t>
  </si>
  <si>
    <t xml:space="preserve">#LOC_ETT_aerospaceTech_description = </t>
  </si>
  <si>
    <t xml:space="preserve">#LOC_ETT_antimatterPower_title = </t>
  </si>
  <si>
    <t xml:space="preserve">#LOC_ETT_antimatterPower_description = </t>
  </si>
  <si>
    <t xml:space="preserve">#LOC_ETT_appliedHighEnergyPhysics_title = </t>
  </si>
  <si>
    <t xml:space="preserve">#LOC_ETT_appliedHighEnergyPhysics_description = </t>
  </si>
  <si>
    <t xml:space="preserve">#LOC_ETT_artificialIntelligence_title = </t>
  </si>
  <si>
    <t xml:space="preserve">#LOC_ETT_artificialIntelligence_description = </t>
  </si>
  <si>
    <t xml:space="preserve">#LOC_ETT_aviation_title = </t>
  </si>
  <si>
    <t xml:space="preserve">#LOC_ETT_aviation_description = </t>
  </si>
  <si>
    <t xml:space="preserve">#LOC_ETT_cuttingEdgeSolarTech_title = </t>
  </si>
  <si>
    <t xml:space="preserve">#LOC_ETT_cuttingEdgeSolarTech_description = </t>
  </si>
  <si>
    <t xml:space="preserve">#LOC_ETT_efficientFlightSystems_title = </t>
  </si>
  <si>
    <t xml:space="preserve">#LOC_ETT_efficientFlightSystems_description = </t>
  </si>
  <si>
    <t xml:space="preserve">#LOC_ETT_exoticFuelStorage_title = </t>
  </si>
  <si>
    <t xml:space="preserve">#LOC_ETT_exoticFuelStorage_description = </t>
  </si>
  <si>
    <t xml:space="preserve">#LOC_ETT_exoticReactions_title = </t>
  </si>
  <si>
    <t xml:space="preserve">#LOC_ETT_exoticReactions_description = </t>
  </si>
  <si>
    <t xml:space="preserve">#LOC_ETT_exoticSolarTech_title = </t>
  </si>
  <si>
    <t xml:space="preserve">#LOC_ETT_exoticSolarTech_description = </t>
  </si>
  <si>
    <t xml:space="preserve">#LOC_ETT_experimentalElectrics_title = </t>
  </si>
  <si>
    <t xml:space="preserve">#LOC_ETT_experimentalElectrics_description = </t>
  </si>
  <si>
    <t xml:space="preserve">#LOC_ETT_experimentalRocketry_title = </t>
  </si>
  <si>
    <t xml:space="preserve">#LOC_ETT_experimentalRocketry_description = </t>
  </si>
  <si>
    <t xml:space="preserve">#LOC_ETT_extremeFuelStorage_title = </t>
  </si>
  <si>
    <t xml:space="preserve">#LOC_ETT_extremeFuelStorage_description = </t>
  </si>
  <si>
    <t xml:space="preserve">#LOC_ETT_flightControl_title = </t>
  </si>
  <si>
    <t xml:space="preserve">#LOC_ETT_flightControl_description = </t>
  </si>
  <si>
    <t xml:space="preserve">#LOC_ETT_heavyAerodynamics_title = </t>
  </si>
  <si>
    <t xml:space="preserve">#LOC_ETT_heavyAerodynamics_description = </t>
  </si>
  <si>
    <t xml:space="preserve">#LOC_ETT_heavyLanders_title = </t>
  </si>
  <si>
    <t xml:space="preserve">#LOC_ETT_heavyLanders_description = </t>
  </si>
  <si>
    <t xml:space="preserve">#LOC_ETT_heavyLanding_title = </t>
  </si>
  <si>
    <t xml:space="preserve">#LOC_ETT_heavyLanding_description = </t>
  </si>
  <si>
    <t xml:space="preserve">#LOC_ETT_highEnergyScience_title = </t>
  </si>
  <si>
    <t xml:space="preserve">#LOC_ETT_highEnergyScience_description = </t>
  </si>
  <si>
    <t xml:space="preserve">#LOC_ETT_highPerformanceFuelSystems_title = </t>
  </si>
  <si>
    <t xml:space="preserve">#LOC_ETT_highPerformanceFuelSystems_description = </t>
  </si>
  <si>
    <t xml:space="preserve">#LOC_ETT_highTechElectricalSystems_title = </t>
  </si>
  <si>
    <t xml:space="preserve">#LOC_ETT_highTechElectricalSystems_description = </t>
  </si>
  <si>
    <t xml:space="preserve">#LOC_ETT_hypersonicFlight_title = </t>
  </si>
  <si>
    <t xml:space="preserve">#LOC_ETT_hypersonicFlight_description = </t>
  </si>
  <si>
    <t xml:space="preserve">#LOC_ETT_landing_title = </t>
  </si>
  <si>
    <t xml:space="preserve">#LOC_ETT_landing_description = </t>
  </si>
  <si>
    <t xml:space="preserve">#LOC_ETT_largeElectrics_title = </t>
  </si>
  <si>
    <t xml:space="preserve">#LOC_ETT_largeElectrics_description = </t>
  </si>
  <si>
    <t xml:space="preserve">#LOC_ETT_largeUnmanned_title = </t>
  </si>
  <si>
    <t xml:space="preserve">#LOC_ETT_largeUnmanned_description = </t>
  </si>
  <si>
    <t xml:space="preserve">#LOC_ETT_logistics_title = </t>
  </si>
  <si>
    <t xml:space="preserve">#LOC_ETT_logistics_description = </t>
  </si>
  <si>
    <t xml:space="preserve">#LOC_ETT_longTermHabitation_title = </t>
  </si>
  <si>
    <t xml:space="preserve">#LOC_ETT_longTermHabitation_description = </t>
  </si>
  <si>
    <t xml:space="preserve">#LOC_ETT_longTermScienceTech_title = </t>
  </si>
  <si>
    <t xml:space="preserve">#LOC_ETT_longTermScienceTech_description = </t>
  </si>
  <si>
    <t xml:space="preserve">#LOC_ETT_metaMaterials_title = </t>
  </si>
  <si>
    <t xml:space="preserve">#LOC_ETT_metaMaterials_description = </t>
  </si>
  <si>
    <t xml:space="preserve">#LOC_ETT_microwavePowerTransmission_title = </t>
  </si>
  <si>
    <t xml:space="preserve">#LOC_ETT_microwavePowerTransmission_description = </t>
  </si>
  <si>
    <t xml:space="preserve">#LOC_ETT_miniaturization_title = </t>
  </si>
  <si>
    <t xml:space="preserve">#LOC_ETT_miniaturization_description = </t>
  </si>
  <si>
    <t xml:space="preserve">#LOC_ETT_nuclearFuelSystems_title = </t>
  </si>
  <si>
    <t xml:space="preserve">#LOC_ETT_nuclearFuelSystems_description = </t>
  </si>
  <si>
    <t xml:space="preserve">#LOC_ETT_nuclearPower_title = </t>
  </si>
  <si>
    <t xml:space="preserve">#LOC_ETT_nuclearPower_description = </t>
  </si>
  <si>
    <t xml:space="preserve">#LOC_ETT_offworldManufacturing_title = </t>
  </si>
  <si>
    <t xml:space="preserve">#LOC_ETT_offworldManufacturing_description = </t>
  </si>
  <si>
    <t xml:space="preserve">#LOC_ETT_propulsionSystems_title = </t>
  </si>
  <si>
    <t xml:space="preserve">#LOC_ETT_propulsionSystems_description = </t>
  </si>
  <si>
    <t xml:space="preserve">#LOC_ETT_quantumReactions_title = </t>
  </si>
  <si>
    <t xml:space="preserve">#LOC_ETT_quantumReactions_description = </t>
  </si>
  <si>
    <t xml:space="preserve">#LOC_ETT_recycling_title = </t>
  </si>
  <si>
    <t xml:space="preserve">#LOC_ETT_recycling_description = </t>
  </si>
  <si>
    <t xml:space="preserve">#LOC_ETT_scienceTech_title = </t>
  </si>
  <si>
    <t xml:space="preserve">#LOC_ETT_scienceTech_description = </t>
  </si>
  <si>
    <t xml:space="preserve">#LOC_ETT_shortTermHabitation_title = </t>
  </si>
  <si>
    <t xml:space="preserve">#LOC_ETT_shortTermHabitation_description = </t>
  </si>
  <si>
    <t xml:space="preserve">#LOC_ETT_spaceExploration_title = </t>
  </si>
  <si>
    <t xml:space="preserve">#LOC_ETT_spaceExploration_description = </t>
  </si>
  <si>
    <t xml:space="preserve">#LOC_ETT_specializedControl_title = </t>
  </si>
  <si>
    <t xml:space="preserve">#LOC_ETT_specializedControl_description = </t>
  </si>
  <si>
    <t xml:space="preserve">#LOC_ETT_specializedElectrics_title = </t>
  </si>
  <si>
    <t xml:space="preserve">#LOC_ETT_specializedElectrics_description = </t>
  </si>
  <si>
    <t xml:space="preserve">#LOC_ETT_specializedFuelStorage_title = </t>
  </si>
  <si>
    <t xml:space="preserve">#LOC_ETT_specializedFuelStorage_description = </t>
  </si>
  <si>
    <t xml:space="preserve">#LOC_ETT_specializedScienceTech_title = </t>
  </si>
  <si>
    <t xml:space="preserve">#LOC_ETT_specializedScienceTech_description = </t>
  </si>
  <si>
    <t xml:space="preserve">#LOC_ETT_stability_title = </t>
  </si>
  <si>
    <t xml:space="preserve">#LOC_ETT_stability_description = </t>
  </si>
  <si>
    <t xml:space="preserve">#LOC_ETT_storageTech_title = </t>
  </si>
  <si>
    <t xml:space="preserve">#LOC_ETT_storageTech_description = </t>
  </si>
  <si>
    <t xml:space="preserve">#LOC_ETT_subsonicFlight_title = </t>
  </si>
  <si>
    <t xml:space="preserve">#LOC_ETT_subsonicFlight_description = </t>
  </si>
  <si>
    <t xml:space="preserve">#LOC_ETT_supersonicFlight_title = </t>
  </si>
  <si>
    <t xml:space="preserve">#LOC_ETT_supersonicFlight_description = </t>
  </si>
  <si>
    <t xml:space="preserve">#LOC_ETT_survivability_title = </t>
  </si>
  <si>
    <t xml:space="preserve">#LOC_ETT_survivability_description = </t>
  </si>
  <si>
    <t xml:space="preserve">#LOC_ETT_ultraHighEnergyPhysics_title = </t>
  </si>
  <si>
    <t xml:space="preserve">#LOC_ETT_ultraHighEnergyPhysics_description = </t>
  </si>
  <si>
    <t xml:space="preserve">#LOC_ETT_unmannedTech_title = </t>
  </si>
  <si>
    <t xml:space="preserve">#LOC_ETT_unmannedTech_description = </t>
  </si>
  <si>
    <t>// Solar Tech</t>
  </si>
  <si>
    <t>// Computer Tech</t>
  </si>
  <si>
    <t>// Electrical Tech</t>
  </si>
  <si>
    <t>// Aircraft Engine Tech</t>
  </si>
  <si>
    <t>// Life Support Tech</t>
  </si>
  <si>
    <t>// Science Tech</t>
  </si>
  <si>
    <t>#LOC_ETT_lifeSupport_title</t>
  </si>
  <si>
    <t>Early Recycling</t>
  </si>
  <si>
    <t>// Landing Tech</t>
  </si>
  <si>
    <t>// Nuclear Rocket Engines Tech</t>
  </si>
  <si>
    <t>// Electrical Propulsion Tech</t>
  </si>
  <si>
    <t>// Advanced Chemical Rocket Tech</t>
  </si>
  <si>
    <t>// Rover &amp; Lander Tech</t>
  </si>
  <si>
    <t>//Manned Capsules And Service Modules Tech</t>
  </si>
  <si>
    <t>// Unmanned Probes Tech</t>
  </si>
  <si>
    <t>// Fuel Production and Storage Tech</t>
  </si>
  <si>
    <t/>
  </si>
  <si>
    <t>Like toothpicks, only shinier.</t>
  </si>
  <si>
    <t>These little wheels can support our planes, just don't try to go anywhere.</t>
  </si>
  <si>
    <t>Small cardboard tubes stuffed with explosives, What could possibly go wrong?</t>
  </si>
  <si>
    <t>This might keep our cardboard tubes pointed "up"….or it might not.</t>
  </si>
  <si>
    <t>Strike a match and light the fire!</t>
  </si>
  <si>
    <t>Jeb won't like it, but at least he won't be the one in control.</t>
  </si>
  <si>
    <t>Cheaper and slightly less dangerous than sending Kerbals to explore space.</t>
  </si>
  <si>
    <t>We can finally find out what lies beyond Jool, and we won't even need any snacks!</t>
  </si>
  <si>
    <t>Why choose on or off when you can have both!</t>
  </si>
  <si>
    <t>A way to keep Kerbals in space longer. Whether or not that's a good thing is up to you.</t>
  </si>
  <si>
    <t>Shhhh, don't tell them they are eating their own waste.</t>
  </si>
  <si>
    <t>We choose to go to Dres….and survive long enough to get there.</t>
  </si>
  <si>
    <t>These aren't your average Duracells.</t>
  </si>
  <si>
    <t>Lots of power, no warranty against catching fire.</t>
  </si>
  <si>
    <t>If you need to fix something, these can weld things.</t>
  </si>
  <si>
    <t>Electric fans, what will they think of next.</t>
  </si>
  <si>
    <t>Keep our little rockets from bumping into our big rockets.</t>
  </si>
  <si>
    <t>Harnessing heat to do things. We really haven't decided what things, though.</t>
  </si>
  <si>
    <t>These are probably better powering a lawnmower than an aircraft</t>
  </si>
  <si>
    <t>Little rubber duck rafts.</t>
  </si>
  <si>
    <t>The art of holding rockets.</t>
  </si>
  <si>
    <t>The art of holding big rockets</t>
  </si>
  <si>
    <t>Open the Pod Bay doors, HAL!</t>
  </si>
  <si>
    <t>Inflatable Station Tech</t>
  </si>
  <si>
    <t>en-us</t>
  </si>
  <si>
    <t>// Place the Parts in the Tech Tree</t>
  </si>
  <si>
    <t>@PART[SR_Rocket_35_01]</t>
  </si>
  <si>
    <t>ETTR/UI/USI/Rovers_S</t>
  </si>
  <si>
    <t>ETTR/UI/USI/LifeSupport_S</t>
  </si>
  <si>
    <t>ablativeMaterials</t>
  </si>
  <si>
    <t>Ablative Materials</t>
  </si>
  <si>
    <t>advAblativeMaterials</t>
  </si>
  <si>
    <t>Advanced Ablative Materials</t>
  </si>
  <si>
    <t>expAblativeMaterials</t>
  </si>
  <si>
    <t>Experimental Ablative Materials</t>
  </si>
  <si>
    <t>#LOC_ETT_ablativeMaterials_description</t>
  </si>
  <si>
    <t>#LOC_ETT_expAblativeMaterials_description</t>
  </si>
  <si>
    <t>#LOC_ETT_advAblativeMaterials_description</t>
  </si>
  <si>
    <t>Wonder what will happen if we send one into Kerbol?</t>
  </si>
  <si>
    <t>Plenty of bits to keep each other company while exploring beyond Jool.</t>
  </si>
  <si>
    <t>As smart as Bill, as courageous as Jeb.</t>
  </si>
  <si>
    <t>Is it "Mʌn", or "Mun"? With this much power, we may never know.</t>
  </si>
  <si>
    <t>Bob took four smaller boards and wired them together. Four is better than one, right?</t>
  </si>
  <si>
    <t>Horiztonal Spacing =</t>
  </si>
  <si>
    <t>Veritcal Spacing =</t>
  </si>
  <si>
    <t xml:space="preserve">NOTE: </t>
  </si>
  <si>
    <t>The bottom right corner is (-75,75).</t>
  </si>
  <si>
    <t>Drawing Space is 2200px tall by 3875px wide (center to center of node icons).</t>
  </si>
  <si>
    <t>Node icons are 64px X 64px at full scale.</t>
  </si>
  <si>
    <t>offWorldMining</t>
  </si>
  <si>
    <t>advOffWorldMining</t>
  </si>
  <si>
    <t>Physical Sciences</t>
  </si>
  <si>
    <t xml:space="preserve">Electronics </t>
  </si>
  <si>
    <t xml:space="preserve">Hydroponics </t>
  </si>
  <si>
    <t>offWorldManufacturing</t>
  </si>
  <si>
    <t>offWorldLaunchsites</t>
  </si>
  <si>
    <t>Heavy Duty Landing Legs</t>
  </si>
  <si>
    <t xml:space="preserve">Composites </t>
  </si>
  <si>
    <t xml:space="preserve">Nanolathing </t>
  </si>
  <si>
    <t xml:space="preserve">Metamaterials </t>
  </si>
  <si>
    <t>NuclearPropulsion</t>
  </si>
  <si>
    <t xml:space="preserve">Actuators </t>
  </si>
  <si>
    <t xml:space="preserve">Automation </t>
  </si>
  <si>
    <t xml:space="preserve">Mechatronics </t>
  </si>
  <si>
    <t>@RDNode:HAS[#id[miniaturization]]</t>
  </si>
  <si>
    <t>//cost = 15</t>
  </si>
  <si>
    <t>@cost = 15</t>
  </si>
  <si>
    <t>//nodeName = Node3_miniaturization</t>
  </si>
  <si>
    <t>@nodeName = Node3_miniaturization</t>
  </si>
  <si>
    <t>//title = #LOC_ETT_miniaturization_title</t>
  </si>
  <si>
    <t>@title = #LOC_ETT_miniaturization_title</t>
  </si>
  <si>
    <t>//description = #LOC_ETT_miniaturization_description</t>
  </si>
  <si>
    <t>@description = #LOC_ETT_miniaturization_description</t>
  </si>
  <si>
    <t>-Parent{}</t>
  </si>
  <si>
    <t>parentID = basicRocketry</t>
  </si>
  <si>
    <t>@RDNode:HAS[#id[generalRocketry]]</t>
  </si>
  <si>
    <t>//cost = 25</t>
  </si>
  <si>
    <t>@cost = 25</t>
  </si>
  <si>
    <t>//nodeName = Node3_generalRocketry</t>
  </si>
  <si>
    <t>@nodeName = Node3_generalRocketry</t>
  </si>
  <si>
    <t>//title = #LOC_ETT_generalRocketry_title</t>
  </si>
  <si>
    <t>@title = #LOC_ETT_generalRocketry_title</t>
  </si>
  <si>
    <t>//description = #LOC_ETT_generalRocketry_description</t>
  </si>
  <si>
    <t>@description = #LOC_ETT_generalRocketry_description</t>
  </si>
  <si>
    <t>parentID = miniaturization</t>
  </si>
  <si>
    <t>parentID = veryHeavyRocketry</t>
  </si>
  <si>
    <t>@RDNode:HAS[#id[advUnmanned]]</t>
  </si>
  <si>
    <t>//cost = 125</t>
  </si>
  <si>
    <t>@cost = 125</t>
  </si>
  <si>
    <t>//nodeName = Node5_advUnmanned</t>
  </si>
  <si>
    <t>@nodeName = Node5_advUnmanned</t>
  </si>
  <si>
    <t>//title = #LOC_ETT_advUnmanned_title</t>
  </si>
  <si>
    <t>@title = #LOC_ETT_advUnmanned_title</t>
  </si>
  <si>
    <t>//description = #LOC_ETT_advUnmanned_description</t>
  </si>
  <si>
    <t>@description = #LOC_ETT_advUnmanned_description</t>
  </si>
  <si>
    <t>@RDNode:HAS[#id[advRocketry]]</t>
  </si>
  <si>
    <t>//cost = 80</t>
  </si>
  <si>
    <t>@cost = 80</t>
  </si>
  <si>
    <t>//nodeName = Node4_advRocketry</t>
  </si>
  <si>
    <t>@nodeName = Node4_advRocketry</t>
  </si>
  <si>
    <t>//title = #LOC_ETT_advRocketry_title</t>
  </si>
  <si>
    <t>@title = #LOC_ETT_advRocketry_title</t>
  </si>
  <si>
    <t>//description = #LOC_ETT_advRocketry_description</t>
  </si>
  <si>
    <t>@description = #LOC_ETT_advRocketry_description</t>
  </si>
  <si>
    <t>parentID = intermediateRocketry</t>
  </si>
  <si>
    <t>@RDNode:HAS[#id[heavyRocketry]]</t>
  </si>
  <si>
    <t>//cost = 175</t>
  </si>
  <si>
    <t>@cost = 175</t>
  </si>
  <si>
    <t>//nodeName = Node6_heavyRocketry</t>
  </si>
  <si>
    <t>@nodeName = Node6_heavyRocketry</t>
  </si>
  <si>
    <t>//title = #LOC_ETT_heavyRocketry_title</t>
  </si>
  <si>
    <t>@title = #LOC_ETT_heavyRocketry_title</t>
  </si>
  <si>
    <t>//description = #LOC_ETT_heavyRocketry_description</t>
  </si>
  <si>
    <t>@description = #LOC_ETT_heavyRocketry_description</t>
  </si>
  <si>
    <t>parentID = advRocketry</t>
  </si>
  <si>
    <t>@RDNode:HAS[#id[largeUnmanned]]</t>
  </si>
  <si>
    <t>//cost = 250</t>
  </si>
  <si>
    <t>@cost = 250</t>
  </si>
  <si>
    <t>//nodeName = Node6_largeUnmanned</t>
  </si>
  <si>
    <t>@nodeName = Node6_largeUnmanned</t>
  </si>
  <si>
    <t>//title = #LOC_ETT_largeUnmanned_title</t>
  </si>
  <si>
    <t>@title = #LOC_ETT_largeUnmanned_title</t>
  </si>
  <si>
    <t>//description = #LOC_ETT_largeUnmanned_description</t>
  </si>
  <si>
    <t>@description = #LOC_ETT_largeUnmanned_description</t>
  </si>
  <si>
    <t>@RDNode:HAS[#id[heavierRocketry]]</t>
  </si>
  <si>
    <t>//cost = 375</t>
  </si>
  <si>
    <t>@cost = 375</t>
  </si>
  <si>
    <t>//nodeName = Node7_heavierRocketry</t>
  </si>
  <si>
    <t>@nodeName = Node7_heavierRocketry</t>
  </si>
  <si>
    <t>//title = #LOC_ETT_heavierRocketry_title</t>
  </si>
  <si>
    <t>@title = #LOC_ETT_heavierRocketry_title</t>
  </si>
  <si>
    <t>//description = #LOC_ETT_heavierRocketry_description</t>
  </si>
  <si>
    <t>@description = #LOC_ETT_heavierRocketry_description</t>
  </si>
  <si>
    <t>parentID = heavyRocketry</t>
  </si>
  <si>
    <t>@RDNode:HAS[#id[veryHeavyRocketry]]</t>
  </si>
  <si>
    <t>//cost = 1000</t>
  </si>
  <si>
    <t>@cost = 1000</t>
  </si>
  <si>
    <t>//nodeName = Node10_veryHeavyRocketry</t>
  </si>
  <si>
    <t>@nodeName = Node10_veryHeavyRocketry</t>
  </si>
  <si>
    <t>//title = #LOC_ETT_veryHeavyRocketry_title</t>
  </si>
  <si>
    <t>@title = #LOC_ETT_veryHeavyRocketry_title</t>
  </si>
  <si>
    <t>//description = #LOC_ETT_veryHeavyRocketry_description</t>
  </si>
  <si>
    <t>@description = #LOC_ETT_veryHeavyRocketry_description</t>
  </si>
  <si>
    <t>parentID = heavierRocketry</t>
  </si>
  <si>
    <t>@RDNode:HAS[#id[unmannedTech]]</t>
  </si>
  <si>
    <t>//cost = 70</t>
  </si>
  <si>
    <t>@cost = 70</t>
  </si>
  <si>
    <t>//nodeName = Node4_unmannedTech</t>
  </si>
  <si>
    <t>@nodeName = Node4_unmannedTech</t>
  </si>
  <si>
    <t>//title = #LOC_ETT_unmannedTech_title</t>
  </si>
  <si>
    <t>@title = #LOC_ETT_unmannedTech_title</t>
  </si>
  <si>
    <t>//description = #LOC_ETT_unmannedTech_description</t>
  </si>
  <si>
    <t>@description = #LOC_ETT_unmannedTech_description</t>
  </si>
  <si>
    <t>//cost = 50</t>
  </si>
  <si>
    <t>@cost = 50</t>
  </si>
  <si>
    <t>//nodeName = Node4_actuators</t>
  </si>
  <si>
    <t>@nodeName = Node4_actuators</t>
  </si>
  <si>
    <t>@RDNode:HAS[#id[precisionEngineering]]</t>
  </si>
  <si>
    <t>//nodeName = Node3_precisionEngineering</t>
  </si>
  <si>
    <t>@nodeName = Node3_precisionEngineering</t>
  </si>
  <si>
    <t>//title = #LOC_ETT_precisionEngineering_title</t>
  </si>
  <si>
    <t>@title = #LOC_ETT_precisionEngineering_title</t>
  </si>
  <si>
    <t>//description = #LOC_ETT_precisionEngineering_description</t>
  </si>
  <si>
    <t>@description = #LOC_ETT_precisionEngineering_description</t>
  </si>
  <si>
    <t>@RDNode:HAS[#id[advAerodynamics]]</t>
  </si>
  <si>
    <t>//cost = 95</t>
  </si>
  <si>
    <t>@cost = 95</t>
  </si>
  <si>
    <t>//nodeName = Node5_advAerodynamics</t>
  </si>
  <si>
    <t>@nodeName = Node5_advAerodynamics</t>
  </si>
  <si>
    <t>//title = #LOC_ETT_advAerodynamics_title</t>
  </si>
  <si>
    <t>@title = #LOC_ETT_advAerodynamics_title</t>
  </si>
  <si>
    <t>//description = #LOC_ETT_advAerodynamics_description</t>
  </si>
  <si>
    <t>@description = #LOC_ETT_advAerodynamics_description</t>
  </si>
  <si>
    <t>parentID = specializedFuelStorage</t>
  </si>
  <si>
    <t>@RDNode:HAS[#id[advancedMotors]]</t>
  </si>
  <si>
    <t>//nodeName = Node4_advancedMotors</t>
  </si>
  <si>
    <t>@nodeName = Node4_advancedMotors</t>
  </si>
  <si>
    <t>//title = #LOC_ETT_advancedMotors_title</t>
  </si>
  <si>
    <t>@title = #LOC_ETT_advancedMotors_title</t>
  </si>
  <si>
    <t>//description = #LOC_ETT_advancedMotors_description</t>
  </si>
  <si>
    <t>@description = #LOC_ETT_advancedMotors_description</t>
  </si>
  <si>
    <t>@RDNode:HAS[#id[advElectrics]]</t>
  </si>
  <si>
    <t>//nodeName = Node3_advElectrics</t>
  </si>
  <si>
    <t>@nodeName = Node3_advElectrics</t>
  </si>
  <si>
    <t>//cost = 750</t>
  </si>
  <si>
    <t>@cost = 750</t>
  </si>
  <si>
    <t>//cost = 1500</t>
  </si>
  <si>
    <t>@cost = 1500</t>
  </si>
  <si>
    <t>@RDNode:HAS[#id[advExploration]]</t>
  </si>
  <si>
    <t>//cost = 200</t>
  </si>
  <si>
    <t>@cost = 200</t>
  </si>
  <si>
    <t>//nodeName = Node6_advExploration</t>
  </si>
  <si>
    <t>@nodeName = Node6_advExploration</t>
  </si>
  <si>
    <t>@RDNode:HAS[#id[advFlightControl]]</t>
  </si>
  <si>
    <t>//nodeName = Node4_advFlightControl</t>
  </si>
  <si>
    <t>@nodeName = Node4_advFlightControl</t>
  </si>
  <si>
    <t>@RDNode:HAS[#id[advFuelSystems]]</t>
  </si>
  <si>
    <t>//cost = 35</t>
  </si>
  <si>
    <t>@cost = 35</t>
  </si>
  <si>
    <t>//nodeName = Node3_advFuelSystems</t>
  </si>
  <si>
    <t>@nodeName = Node3_advFuelSystems</t>
  </si>
  <si>
    <t>//title = #LOC_ETT_advFuelSystems_title</t>
  </si>
  <si>
    <t>@title = #LOC_ETT_advFuelSystems_title</t>
  </si>
  <si>
    <t>//description = #LOC_ETT_advFuelSystems_description</t>
  </si>
  <si>
    <t>@description = #LOC_ETT_advFuelSystems_description</t>
  </si>
  <si>
    <t>parentID = fuelSystems</t>
  </si>
  <si>
    <t>@RDNode:HAS[#id[advLanding]]</t>
  </si>
  <si>
    <t>//nodeName = Node4_advLanding</t>
  </si>
  <si>
    <t>@nodeName = Node4_advLanding</t>
  </si>
  <si>
    <t>//title = #LOC_ETT_advLanding_title</t>
  </si>
  <si>
    <t>@title = #LOC_ETT_advLanding_title</t>
  </si>
  <si>
    <t>//description = #LOC_ETT_advLanding_description</t>
  </si>
  <si>
    <t>@description = #LOC_ETT_advLanding_description</t>
  </si>
  <si>
    <t>@RDNode:HAS[#id[advMetalworks]]</t>
  </si>
  <si>
    <t>//nodeName = Node5_advMetalworks</t>
  </si>
  <si>
    <t>@nodeName = Node5_advMetalworks</t>
  </si>
  <si>
    <t>//title = #LOC_ETT_advMetalworks_title</t>
  </si>
  <si>
    <t>@title = #LOC_ETT_advMetalworks_title</t>
  </si>
  <si>
    <t>//description = #autoLOC_501097 //#autoLOC_501097 = These new construction techniques allow for craft designs that were considered insane not too long ago... and still are. But they're now possible!</t>
  </si>
  <si>
    <t>@description = #autoLOC_501097 //#autoLOC_501097 = These new construction techniques allow for craft designs that were considered insane not too long ago... and still are. But they're now possible!</t>
  </si>
  <si>
    <t>//cost = 150</t>
  </si>
  <si>
    <t>@cost = 150</t>
  </si>
  <si>
    <t>@RDNode:HAS[#id[advScienceTech]]</t>
  </si>
  <si>
    <t>//nodeName = Node5_advScienceTech</t>
  </si>
  <si>
    <t>@nodeName = Node5_advScienceTech</t>
  </si>
  <si>
    <t>@RDNode:HAS[#id[aerodynamicSystems]]</t>
  </si>
  <si>
    <t>//nodeName = Node3_aerodynamicSystems</t>
  </si>
  <si>
    <t>@nodeName = Node3_aerodynamicSystems</t>
  </si>
  <si>
    <t>@RDNode:HAS[#id[aviation]]</t>
  </si>
  <si>
    <t>//nodeName = Node3_aviation</t>
  </si>
  <si>
    <t>@nodeName = Node3_aviation</t>
  </si>
  <si>
    <t>//title = #LOC_ETT_aviation_title</t>
  </si>
  <si>
    <t>@title = #LOC_ETT_aviation_title</t>
  </si>
  <si>
    <t>//description = #LOC_ETT_aviation_description</t>
  </si>
  <si>
    <t>@description = #LOC_ETT_aviation_description</t>
  </si>
  <si>
    <t>@RDNode:HAS[#id[aerospaceTech]]</t>
  </si>
  <si>
    <t>//nodeName = Node4_aerospaceTech</t>
  </si>
  <si>
    <t>@nodeName = Node4_aerospaceTech</t>
  </si>
  <si>
    <t>//title = #LOC_ETT_aerospaceTech_title</t>
  </si>
  <si>
    <t>@title = #LOC_ETT_aerospaceTech_title</t>
  </si>
  <si>
    <t>//description = #LOC_ETT_aerospaceTech_description</t>
  </si>
  <si>
    <t>@description = #LOC_ETT_aerospaceTech_description</t>
  </si>
  <si>
    <t>@RDNode:HAS[#id[automation]]</t>
  </si>
  <si>
    <t>//nodeName = Node6_automation</t>
  </si>
  <si>
    <t>@nodeName = Node6_automation</t>
  </si>
  <si>
    <t>@RDNode:HAS[#id[landing]]</t>
  </si>
  <si>
    <t>//nodeName = Node3_landing</t>
  </si>
  <si>
    <t>@nodeName = Node3_landing</t>
  </si>
  <si>
    <t>//title = #LOC_ETT_landing_title</t>
  </si>
  <si>
    <t>@title = #LOC_ETT_landing_title</t>
  </si>
  <si>
    <t>//description = #LOC_ETT_landing_description</t>
  </si>
  <si>
    <t>@description = #LOC_ETT_landing_description</t>
  </si>
  <si>
    <t>@RDNode:HAS[#id[survivability]]</t>
  </si>
  <si>
    <t>//cost = 5</t>
  </si>
  <si>
    <t>//nodeName = Node2_survivability</t>
  </si>
  <si>
    <t>@nodeName = Node2_survivability</t>
  </si>
  <si>
    <t>//title = #LOC_ETT_survivability_title</t>
  </si>
  <si>
    <t>@title = #LOC_ETT_survivability_title</t>
  </si>
  <si>
    <t>//description = #LOC_ETT_survivability_description</t>
  </si>
  <si>
    <t>@description = #LOC_ETT_survivability_description</t>
  </si>
  <si>
    <t>@RDNode:HAS[#id[start]]</t>
  </si>
  <si>
    <t>//cost = 0</t>
  </si>
  <si>
    <t>@cost = 0</t>
  </si>
  <si>
    <t>//nodeName = Node0_start</t>
  </si>
  <si>
    <t>@nodeName = Node0_start</t>
  </si>
  <si>
    <t>//title = #LOC_ETT_start_title</t>
  </si>
  <si>
    <t>@title = #LOC_ETT_start_title</t>
  </si>
  <si>
    <t>//description = #LOC_ETT_start_description</t>
  </si>
  <si>
    <t>@description = #LOC_ETT_start_description</t>
  </si>
  <si>
    <t>parentID = giganticRocketry</t>
  </si>
  <si>
    <t>//nodeName = Node5_commandModules</t>
  </si>
  <si>
    <t>@nodeName = Node5_commandModules</t>
  </si>
  <si>
    <t>@RDNode:HAS[#id[composites]]</t>
  </si>
  <si>
    <t>//nodeName = Node6_composites</t>
  </si>
  <si>
    <t>@nodeName = Node6_composites</t>
  </si>
  <si>
    <t>@RDNode:HAS[#id[electrics]]</t>
  </si>
  <si>
    <t>//nodeName = Node0_electrics</t>
  </si>
  <si>
    <t>@nodeName = Node0_electrics</t>
  </si>
  <si>
    <t>//title = #LOC_ETT_electrics_title</t>
  </si>
  <si>
    <t>@title = #LOC_ETT_electrics_title</t>
  </si>
  <si>
    <t>//description = #LOC_ETT_electrics_description</t>
  </si>
  <si>
    <t>@description = #LOC_ETT_electrics_description</t>
  </si>
  <si>
    <t>@RDNode:HAS[#id[electronics]]</t>
  </si>
  <si>
    <t>//nodeName = Node3_electronics</t>
  </si>
  <si>
    <t>@nodeName = Node3_electronics</t>
  </si>
  <si>
    <t>@RDNode:HAS[#id[spaceExploration]]</t>
  </si>
  <si>
    <t>//nodeName = Node5_spaceExploration</t>
  </si>
  <si>
    <t>@nodeName = Node5_spaceExploration</t>
  </si>
  <si>
    <t>//title = #LOC_ETT_spaceExploration_title</t>
  </si>
  <si>
    <t>@title = #LOC_ETT_spaceExploration_title</t>
  </si>
  <si>
    <t>//description = #LOC_ETT_spaceExploration_description</t>
  </si>
  <si>
    <t>@description = #LOC_ETT_spaceExploration_description</t>
  </si>
  <si>
    <t>@RDNode:HAS[#id[experimentalAerodynamics]]</t>
  </si>
  <si>
    <t>//nodeName = Node11_experimentalAerodynamics</t>
  </si>
  <si>
    <t>@nodeName = Node11_experimentalAerodynamics</t>
  </si>
  <si>
    <t>parentID = extremeFuelStorage</t>
  </si>
  <si>
    <t>@RDNode:HAS[#id[experimentalMotors]]</t>
  </si>
  <si>
    <t>//nodeName = Node5_experimentalMotors</t>
  </si>
  <si>
    <t>@nodeName = Node5_experimentalMotors</t>
  </si>
  <si>
    <t>parentID = hybridRockets</t>
  </si>
  <si>
    <t>@RDNode:HAS[#id[experimentalScience]]</t>
  </si>
  <si>
    <t>//nodeName = Node6_experimentalScience</t>
  </si>
  <si>
    <t>@nodeName = Node6_experimentalScience</t>
  </si>
  <si>
    <t>@RDNode:HAS[#id[fieldScience]]</t>
  </si>
  <si>
    <t>//cost = 8</t>
  </si>
  <si>
    <t>@cost = 8</t>
  </si>
  <si>
    <t>//nodeName = Node2_fieldScience</t>
  </si>
  <si>
    <t>@nodeName = Node2_fieldScience</t>
  </si>
  <si>
    <t>@RDNode:HAS[#id[flightControl]]</t>
  </si>
  <si>
    <t>//nodeName = Node3_flightControl</t>
  </si>
  <si>
    <t>@nodeName = Node3_flightControl</t>
  </si>
  <si>
    <t>//title = #LOC_ETT_flightControl_title</t>
  </si>
  <si>
    <t>@title = #LOC_ETT_flightControl_title</t>
  </si>
  <si>
    <t>//description = #LOC_ETT_flightControl_description</t>
  </si>
  <si>
    <t>@description = #LOC_ETT_flightControl_description</t>
  </si>
  <si>
    <t>@RDNode:HAS[#id[fuelSystems]]</t>
  </si>
  <si>
    <t>//nodeName = Node2_fuelSystems</t>
  </si>
  <si>
    <t>@nodeName = Node2_fuelSystems</t>
  </si>
  <si>
    <t>@RDNode:HAS[#id[generalConstruction]]</t>
  </si>
  <si>
    <t>//nodeName = Node2_generalConstruction</t>
  </si>
  <si>
    <t>@nodeName = Node2_generalConstruction</t>
  </si>
  <si>
    <t>@RDNode:HAS[#id[heavyAerodynamics]]</t>
  </si>
  <si>
    <t>//nodeName = Node7_heavyAerodynamics</t>
  </si>
  <si>
    <t>@nodeName = Node7_heavyAerodynamics</t>
  </si>
  <si>
    <t>//title = #LOC_ETT_heavyAerodynamics_title</t>
  </si>
  <si>
    <t>@title = #LOC_ETT_heavyAerodynamics_title</t>
  </si>
  <si>
    <t>//description = #LOC_ETT_heavyAerodynamics_description</t>
  </si>
  <si>
    <t>@description = #LOC_ETT_heavyAerodynamics_description</t>
  </si>
  <si>
    <t>@RDNode:HAS[#id[heavyLanding]]</t>
  </si>
  <si>
    <t>//nodeName = Node4_heavyLanding</t>
  </si>
  <si>
    <t>@nodeName = Node4_heavyLanding</t>
  </si>
  <si>
    <t>//title = #LOC_ETT_heavyLanding_title</t>
  </si>
  <si>
    <t>@title = #LOC_ETT_heavyLanding_title</t>
  </si>
  <si>
    <t>//description = #LOC_ETT_heavyLanding_description</t>
  </si>
  <si>
    <t>@description = #LOC_ETT_heavyLanding_description</t>
  </si>
  <si>
    <t>@RDNode:HAS[#id[highAltitudeFlight]]</t>
  </si>
  <si>
    <t>//nodeName = Node5_highAltitudeFlight</t>
  </si>
  <si>
    <t>@nodeName = Node5_highAltitudeFlight</t>
  </si>
  <si>
    <t>@RDNode:HAS[#id[highPerformanceFuelSystems]]</t>
  </si>
  <si>
    <t>//nodeName = Node5_highPerformanceFuelSystems</t>
  </si>
  <si>
    <t>@nodeName = Node5_highPerformanceFuelSystems</t>
  </si>
  <si>
    <t>//title = #LOC_ETT_highPerformanceFuelSystems_title</t>
  </si>
  <si>
    <t>@title = #LOC_ETT_highPerformanceFuelSystems_title</t>
  </si>
  <si>
    <t>//description = #LOC_ETT_highPerformanceFuelSystems_description</t>
  </si>
  <si>
    <t>@description = #LOC_ETT_highPerformanceFuelSystems_description</t>
  </si>
  <si>
    <t>parentID = advFuelSystems</t>
  </si>
  <si>
    <t>@RDNode:HAS[#id[hypersonicFlight]]</t>
  </si>
  <si>
    <t>//nodeName = Node9_hypersonicFlight</t>
  </si>
  <si>
    <t>@nodeName = Node9_hypersonicFlight</t>
  </si>
  <si>
    <t>//title = #LOC_ETT_hypersonicFlight_title</t>
  </si>
  <si>
    <t>@title = #LOC_ETT_hypersonicFlight_title</t>
  </si>
  <si>
    <t>//description = #LOC_ETT_hypersonicFlight_description</t>
  </si>
  <si>
    <t>@description = #LOC_ETT_hypersonicFlight_description</t>
  </si>
  <si>
    <t>@RDNode:HAS[#id[ionPropulsion]]</t>
  </si>
  <si>
    <t>//nodeName = Node7_ionPropulsion</t>
  </si>
  <si>
    <t>@nodeName = Node7_ionPropulsion</t>
  </si>
  <si>
    <t>@RDNode:HAS[#id[largeVolumeContainment]]</t>
  </si>
  <si>
    <t>//nodeName = Node9_largeVolumeContainment</t>
  </si>
  <si>
    <t>@nodeName = Node9_largeVolumeContainment</t>
  </si>
  <si>
    <t>@RDNode:HAS[#id[propulsionSystems]]</t>
  </si>
  <si>
    <t>//nodeName = Node3_propulsionSystems</t>
  </si>
  <si>
    <t>@nodeName = Node3_propulsionSystems</t>
  </si>
  <si>
    <t>//title = #LOC_ETT_propulsionSystems_title</t>
  </si>
  <si>
    <t>@title = #LOC_ETT_propulsionSystems_title</t>
  </si>
  <si>
    <t>//description = #LOC_ETT_propulsionSystems_description</t>
  </si>
  <si>
    <t>@description = #LOC_ETT_propulsionSystems_description</t>
  </si>
  <si>
    <t>@RDNode:HAS[#id[experimentalElectrics]]</t>
  </si>
  <si>
    <t>//nodeName = Node9_experimentalElectrics</t>
  </si>
  <si>
    <t>@nodeName = Node9_experimentalElectrics</t>
  </si>
  <si>
    <t>//title = #LOC_ETT_experimentalElectrics_title</t>
  </si>
  <si>
    <t>@title = #LOC_ETT_experimentalElectrics_title</t>
  </si>
  <si>
    <t>//description = #LOC_ETT_experimentalElectrics_description</t>
  </si>
  <si>
    <t>@description = #LOC_ETT_experimentalElectrics_description</t>
  </si>
  <si>
    <t>@RDNode:HAS[#id[engineering101]]</t>
  </si>
  <si>
    <t>//nodeName = Node0_engineering101</t>
  </si>
  <si>
    <t>@nodeName = Node0_engineering101</t>
  </si>
  <si>
    <t>//title = #LOC_ETT_engineering101_title</t>
  </si>
  <si>
    <t>@title = #LOC_ETT_engineering101_title</t>
  </si>
  <si>
    <t>//description = #LOC_ETT_engineering101_description</t>
  </si>
  <si>
    <t>@description = #LOC_ETT_engineering101_description</t>
  </si>
  <si>
    <t>@RDNode:HAS[#id[metaMaterials]]</t>
  </si>
  <si>
    <t>//nodeName = Node9_metaMaterials</t>
  </si>
  <si>
    <t>@nodeName = Node9_metaMaterials</t>
  </si>
  <si>
    <t>//title = #LOC_ETT_metaMaterials_title</t>
  </si>
  <si>
    <t>@title = #LOC_ETT_metaMaterials_title</t>
  </si>
  <si>
    <t>//description = #LOC_ETT_metaMaterials_description</t>
  </si>
  <si>
    <t>@description = #LOC_ETT_metaMaterials_description</t>
  </si>
  <si>
    <t>@RDNode:HAS[#id[nanolathing]]</t>
  </si>
  <si>
    <t>//nodeName = Node6_nanolathing</t>
  </si>
  <si>
    <t>@nodeName = Node6_nanolathing</t>
  </si>
  <si>
    <t>@RDNode:HAS[#id[specializedElectrics]]</t>
  </si>
  <si>
    <t>//nodeName = Node5_specializedElectrics</t>
  </si>
  <si>
    <t>@nodeName = Node5_specializedElectrics</t>
  </si>
  <si>
    <t>//title = #LOC_ETT_specializedElectrics_title</t>
  </si>
  <si>
    <t>@title = #LOC_ETT_specializedElectrics_title</t>
  </si>
  <si>
    <t>//description = #LOC_ETT_specializedElectrics_description</t>
  </si>
  <si>
    <t>@description = #LOC_ETT_specializedElectrics_description</t>
  </si>
  <si>
    <t>@RDNode:HAS[#id[largeElectrics]]</t>
  </si>
  <si>
    <t>//nodeName = Node6_largeElectrics</t>
  </si>
  <si>
    <t>@nodeName = Node6_largeElectrics</t>
  </si>
  <si>
    <t>//title = #LOC_ETT_largeElectrics_title</t>
  </si>
  <si>
    <t>@title = #LOC_ETT_largeElectrics_title</t>
  </si>
  <si>
    <t>//description = #LOC_ETT_largeElectrics_description</t>
  </si>
  <si>
    <t>@description = #LOC_ETT_largeElectrics_description</t>
  </si>
  <si>
    <t>@RDNode:HAS[#id[nuclearPropulsion]]</t>
  </si>
  <si>
    <t>//nodeName = Node7_nuclearPropulsion</t>
  </si>
  <si>
    <t>@nodeName = Node7_nuclearPropulsion</t>
  </si>
  <si>
    <t>id = intermediateRocketry</t>
  </si>
  <si>
    <t>title = #LOC_ETT_intermediateRocketry_title</t>
  </si>
  <si>
    <t>description = #LOC_ETT_intermediateRocketry_description</t>
  </si>
  <si>
    <t>cost = 50</t>
  </si>
  <si>
    <t>nodeName = Node4_intermediateRocketry</t>
  </si>
  <si>
    <t>icon = 0</t>
  </si>
  <si>
    <t>parentID = generalRocketry</t>
  </si>
  <si>
    <t>id = veryLargeFairings</t>
  </si>
  <si>
    <t>title = #LOC_ETT_veryLargeFairings_title</t>
  </si>
  <si>
    <t>description = #LOC_ETT_veryLargeFairings_description</t>
  </si>
  <si>
    <t>cost = 375</t>
  </si>
  <si>
    <t>nodeName = Node7_veryLargeFairings</t>
  </si>
  <si>
    <t>id = advFairings</t>
  </si>
  <si>
    <t>title = #LOC_ETT_advFairings_title</t>
  </si>
  <si>
    <t>description = #LOC_ETT_advFairings_description</t>
  </si>
  <si>
    <t>cost = 95</t>
  </si>
  <si>
    <t>nodeName = Node5_advFairings</t>
  </si>
  <si>
    <t>id = largeFairings</t>
  </si>
  <si>
    <t>title = #LOC_ETT_largeFairings_title</t>
  </si>
  <si>
    <t>description = #LOC_ETT_largeFairings_description</t>
  </si>
  <si>
    <t>cost = 175</t>
  </si>
  <si>
    <t>nodeName = Node6_largeFairings</t>
  </si>
  <si>
    <t>id = experimentalProbes</t>
  </si>
  <si>
    <t>title = #LOC_ETT_experimentalProbes_title</t>
  </si>
  <si>
    <t>description = #LOC_ETT_experimentalProbes_description</t>
  </si>
  <si>
    <t>cost = 495</t>
  </si>
  <si>
    <t>nodeName = Node8_experimentalProbes</t>
  </si>
  <si>
    <t>id = ablativeMaterials</t>
  </si>
  <si>
    <t>title = #LOC_ETT_ablativeMaterials_title</t>
  </si>
  <si>
    <t>description = #LOC_ETT_ablativeMaterials_description</t>
  </si>
  <si>
    <t>cost = 25</t>
  </si>
  <si>
    <t>nodeName = Node3_ablativeMaterials</t>
  </si>
  <si>
    <t>id = advGeneralRocketry</t>
  </si>
  <si>
    <t>title = #LOC_ETT_advGeneralRocketry_title</t>
  </si>
  <si>
    <t>description = #LOC_ETT_advGeneralRocketry_description</t>
  </si>
  <si>
    <t>nodeName = Node4_advGeneralRocketry</t>
  </si>
  <si>
    <t>id = advIntermediateRocketry</t>
  </si>
  <si>
    <t>title = #LOC_ETT_advIntermediateRocketry_title</t>
  </si>
  <si>
    <t>description = #LOC_ETT_advIntermediateRocketry_description</t>
  </si>
  <si>
    <t>cost = 70</t>
  </si>
  <si>
    <t>nodeName = Node4_advIntermediateRocketry</t>
  </si>
  <si>
    <t>id = advAdvancedRocketry</t>
  </si>
  <si>
    <t>title = #LOC_ETT_advAdvancedRocketry_title</t>
  </si>
  <si>
    <t>description = #LOC_ETT_advAdvancedRocketry_description</t>
  </si>
  <si>
    <t>nodeName = Node5_advAdvancedRocketry</t>
  </si>
  <si>
    <t>id = advHeavyRocketry</t>
  </si>
  <si>
    <t>title = #LOC_ETT_advHeavyRocketry_title</t>
  </si>
  <si>
    <t>description = #LOC_ETT_advHeavyRocketry_description</t>
  </si>
  <si>
    <t>nodeName = Node7_advHeavyRocketry</t>
  </si>
  <si>
    <t>id = advHeavierRocketry</t>
  </si>
  <si>
    <t>title = #LOC_ETT_advHeavierRocketry_title</t>
  </si>
  <si>
    <t>description = #LOC_ETT_advHeavierRocketry_description</t>
  </si>
  <si>
    <t>cost = 750</t>
  </si>
  <si>
    <t>nodeName = Node9_advHeavierRocketry</t>
  </si>
  <si>
    <t>id = advVeryHeavyRocketry</t>
  </si>
  <si>
    <t>title = #LOC_ETT_advVeryHeavyRocketry_title</t>
  </si>
  <si>
    <t>description = #LOC_ETT_advVeryHeavyRocketry_description</t>
  </si>
  <si>
    <t>cost = 1750</t>
  </si>
  <si>
    <t>nodeName = Node12_advVeryHeavyRocketry</t>
  </si>
  <si>
    <t>id = advAblativeMaterials</t>
  </si>
  <si>
    <t>title = #LOC_ETT_advAblativeMaterials_title</t>
  </si>
  <si>
    <t>description = #LOC_ETT_advAblativeMaterials_description</t>
  </si>
  <si>
    <t>nodeName = Node4_advAblativeMaterials</t>
  </si>
  <si>
    <t>id = advDocking</t>
  </si>
  <si>
    <t>title = #LOC_ETT_advDocking_title</t>
  </si>
  <si>
    <t>description = #LOC_ETT_advDocking_description</t>
  </si>
  <si>
    <t>nodeName = Node7_advDocking</t>
  </si>
  <si>
    <t>id = advLandingLegs</t>
  </si>
  <si>
    <t>title = #LOC_ETT_advLandingLegs_title</t>
  </si>
  <si>
    <t>description = #LOC_ETT_advLandingLegs_description</t>
  </si>
  <si>
    <t>nodeName = Node5_advLandingLegs</t>
  </si>
  <si>
    <t>id = advMicrowavePropulsion</t>
  </si>
  <si>
    <t>title = #LOC_ETT_advMicrowavePropulsion_title</t>
  </si>
  <si>
    <t>description = #LOC_ETT_advMicrowavePropulsion_description</t>
  </si>
  <si>
    <t>cost = 4000</t>
  </si>
  <si>
    <t>nodeName = Node16_advMicrowavePropulsion</t>
  </si>
  <si>
    <t>id = advParachutes</t>
  </si>
  <si>
    <t>title = #LOC_ETT_advParachutes_title</t>
  </si>
  <si>
    <t>description = #LOC_ETT_advParachutes_description</t>
  </si>
  <si>
    <t>nodeName = Node4_advParachutes</t>
  </si>
  <si>
    <t>id = advPropellerEngines</t>
  </si>
  <si>
    <t>title = #LOC_ETT_advPropellerEngines_title</t>
  </si>
  <si>
    <t>description = #LOC_ETT_advPropellerEngines_description</t>
  </si>
  <si>
    <t>nodeName = Node4_advPropellerEngines</t>
  </si>
  <si>
    <t>id = advRadialTech</t>
  </si>
  <si>
    <t>title = #LOC_ETT_advRadialTech_title</t>
  </si>
  <si>
    <t>description = #LOC_ETT_advRadialTech_description</t>
  </si>
  <si>
    <t>nodeName = Node5_advRadialTech</t>
  </si>
  <si>
    <t>id = advReactionControl</t>
  </si>
  <si>
    <t>title = #LOC_ETT_advReactionControl_title</t>
  </si>
  <si>
    <t>description = #LOC_ETT_advReactionControl_description</t>
  </si>
  <si>
    <t>nodeName = Node4_advReactionControl</t>
  </si>
  <si>
    <t>title = #LOC_ETT_advStorageTech_title</t>
  </si>
  <si>
    <t>description = #LOC_ETT_advStorageTech_description</t>
  </si>
  <si>
    <t>id = advSolidRockets</t>
  </si>
  <si>
    <t>title = #LOC_ETT_advSolidRockets_title</t>
  </si>
  <si>
    <t>description = #LOC_ETT_advSolidRockets_description</t>
  </si>
  <si>
    <t>nodeName = Node4_advSolidRockets</t>
  </si>
  <si>
    <t>id = advStability</t>
  </si>
  <si>
    <t>title = #LOC_ETT_advStability_title</t>
  </si>
  <si>
    <t>description = #LOC_ETT_advStability_description</t>
  </si>
  <si>
    <t>nodeName = Node3_advStability</t>
  </si>
  <si>
    <t>id = advUllageMotors</t>
  </si>
  <si>
    <t>title = #LOC_ETT_advUllageMotors_title</t>
  </si>
  <si>
    <t>description = #LOC_ETT_advUllageMotors_description</t>
  </si>
  <si>
    <t>nodeName = Node4_advUllageMotors</t>
  </si>
  <si>
    <t>parentID = ullageMotors</t>
  </si>
  <si>
    <t>id = aircraftStructures</t>
  </si>
  <si>
    <t>title = #LOC_ETT_aircraftStructures_title</t>
  </si>
  <si>
    <t>description = #LOC_ETT_aircraftStructures_description</t>
  </si>
  <si>
    <t>nodeName = Node3_aircraftStructures</t>
  </si>
  <si>
    <t>id = advBouyancy</t>
  </si>
  <si>
    <t>title = #LOC_ETT_advBouyancy_title</t>
  </si>
  <si>
    <t>description = #LOC_ETT_advBouyancy_description</t>
  </si>
  <si>
    <t>nodeName = Node5_advBouyancy</t>
  </si>
  <si>
    <t>cost = 80</t>
  </si>
  <si>
    <t>id = propellerEngines</t>
  </si>
  <si>
    <t>title = #LOC_ETT_propellerEngines_title</t>
  </si>
  <si>
    <t>description = #LOC_ETT_propellerEngines_description</t>
  </si>
  <si>
    <t>nodeName = Node3_propellerEngines</t>
  </si>
  <si>
    <t>id = rovers</t>
  </si>
  <si>
    <t>title = #LOC_ETT_rovers_title</t>
  </si>
  <si>
    <t>description = #LOC_ETT_rovers_description</t>
  </si>
  <si>
    <t>nodeName = Node3_rovers</t>
  </si>
  <si>
    <t>icon = ETTR/UI/USI/Rovers_S</t>
  </si>
  <si>
    <t>id = electricPropulsion</t>
  </si>
  <si>
    <t>title = #LOC_ETT_electricPropulsion_title</t>
  </si>
  <si>
    <t>description = #LOC_ETT_electricPropulsion_description</t>
  </si>
  <si>
    <t>nodeName = Node4_electricPropulsion</t>
  </si>
  <si>
    <t>cost = 1500</t>
  </si>
  <si>
    <t>id = thermodynamics</t>
  </si>
  <si>
    <t>title = #LOC_ETT_thermodynamics_title</t>
  </si>
  <si>
    <t>description = #LOC_ETT_thermodynamics_description</t>
  </si>
  <si>
    <t>cost = 5</t>
  </si>
  <si>
    <t>nodeName = Node2_thermodynamics</t>
  </si>
  <si>
    <t>id = experimentalPrecisionEngineering</t>
  </si>
  <si>
    <t>title = #LOC_ETT_experimentalPrecisionEngineering_title</t>
  </si>
  <si>
    <t>description = #LOC_ETT_experimentalPrecisionEngineering_description</t>
  </si>
  <si>
    <t>nodeName = Node4_experimentalPrecisionEngineering</t>
  </si>
  <si>
    <t>parentID = precisionEngineering</t>
  </si>
  <si>
    <t>id = experimentalGeneralRocketry</t>
  </si>
  <si>
    <t>title = #LOC_ETT_experimentalGeneralRocketry_title</t>
  </si>
  <si>
    <t>description = #LOC_ETT_experimentalGeneralRocketry_description</t>
  </si>
  <si>
    <t>nodeName = Node4_experimentalGeneralRocketry</t>
  </si>
  <si>
    <t>parentID = advGeneralRocketry</t>
  </si>
  <si>
    <t>id = experimentalIntermediateRocketry</t>
  </si>
  <si>
    <t>title = #LOC_ETT_experimentalIntermediateRocketry_title</t>
  </si>
  <si>
    <t>description = #LOC_ETT_experimentalIntermediateRocketry_description</t>
  </si>
  <si>
    <t>cost = 125</t>
  </si>
  <si>
    <t>nodeName = Node5_experimentalIntermediateRocketry</t>
  </si>
  <si>
    <t>parentID = advIntermediateRocketry</t>
  </si>
  <si>
    <t>id = experimentalAdvancedRocketry</t>
  </si>
  <si>
    <t>title = #LOC_ETT_experimentalAdvancedRocketry_title</t>
  </si>
  <si>
    <t>description = #LOC_ETT_experimentalAdvancedRocketry_description</t>
  </si>
  <si>
    <t>nodeName = Node6_experimentalAdvancedRocketry</t>
  </si>
  <si>
    <t>parentID = advAdvancedRocketry</t>
  </si>
  <si>
    <t>id = experimentalHeavyRocketry</t>
  </si>
  <si>
    <t>title = #LOC_ETT_experimentalHeavyRocketry_title</t>
  </si>
  <si>
    <t>description = #LOC_ETT_experimentalHeavyRocketry_description</t>
  </si>
  <si>
    <t>nodeName = Node11_experimentalHeavyRocketry</t>
  </si>
  <si>
    <t>parentID = advHeavyRocketry</t>
  </si>
  <si>
    <t>id = experimentalHeavierRocketry</t>
  </si>
  <si>
    <t>title = #LOC_ETT_experimentalHeavierRocketry_title</t>
  </si>
  <si>
    <t>description = #LOC_ETT_experimentalHeavierRocketry_description</t>
  </si>
  <si>
    <t>nodeName = Node11_experimentalHeavierRocketry</t>
  </si>
  <si>
    <t>parentID = advHeavierRocketry</t>
  </si>
  <si>
    <t>id = expAblativeMaterials</t>
  </si>
  <si>
    <t>title = #LOC_ETT_expAblativeMaterials_title</t>
  </si>
  <si>
    <t>description = #LOC_ETT_expAblativeMaterials_description</t>
  </si>
  <si>
    <t>nodeName = Node4_expAblativeMaterials</t>
  </si>
  <si>
    <t>id = experimentalFlightControls</t>
  </si>
  <si>
    <t>title = #LOC_ETT_experimentalFlightControls_title</t>
  </si>
  <si>
    <t>description = #LOC_ETT_experimentalFlightControls_description</t>
  </si>
  <si>
    <t>nodeName = Node8_experimentalFlightControls</t>
  </si>
  <si>
    <t>id = experimentalRadialTech</t>
  </si>
  <si>
    <t>title = #LOC_ETT_experimentalRadialTech_title</t>
  </si>
  <si>
    <t>description = #LOC_ETT_experimentalRadialTech_description</t>
  </si>
  <si>
    <t>nodeName = Node7_experimentalRadialTech</t>
  </si>
  <si>
    <t>id = expSolarTech</t>
  </si>
  <si>
    <t>title = #LOC_ETT_expSolarTech_title</t>
  </si>
  <si>
    <t>description = #LOC_ETT_expSolarTech_description</t>
  </si>
  <si>
    <t>nodeName = Node7_expSolarTech</t>
  </si>
  <si>
    <t>id = experimentalBouyancy</t>
  </si>
  <si>
    <t>title = #LOC_ETT_experimentalBouyancy_title</t>
  </si>
  <si>
    <t>description = #LOC_ETT_experimentalBouyancy_description</t>
  </si>
  <si>
    <t>nodeName = Node8_experimentalBouyancy</t>
  </si>
  <si>
    <t>id = giganticSolidRockets</t>
  </si>
  <si>
    <t>title = #LOC_ETT_giganticSolidRockets_title</t>
  </si>
  <si>
    <t>description = #LOC_ETT_giganticSolidRockets_description</t>
  </si>
  <si>
    <t>nodeName = Node8_giganticSolidRockets</t>
  </si>
  <si>
    <t>parentID = veryHeavySolidRockets</t>
  </si>
  <si>
    <t>id = largeLandingLegs</t>
  </si>
  <si>
    <t>title = #LOC_ETT_largeLandingLegs_title</t>
  </si>
  <si>
    <t>description = #LOC_ETT_largeLandingLegs_description</t>
  </si>
  <si>
    <t>cost = 250</t>
  </si>
  <si>
    <t>nodeName = Node6_largeLandingLegs</t>
  </si>
  <si>
    <t>id = heavySolidRockets</t>
  </si>
  <si>
    <t>title = #LOC_ETT_heavySolidRockets_title</t>
  </si>
  <si>
    <t>description = #LOC_ETT_heavySolidRockets_description</t>
  </si>
  <si>
    <t>nodeName = Node5_heavySolidRockets</t>
  </si>
  <si>
    <t>parentID = advSolidRockets</t>
  </si>
  <si>
    <t>id = advTurbofanEngines</t>
  </si>
  <si>
    <t>title = #LOC_ETT_advTurbofanEngines_title</t>
  </si>
  <si>
    <t>description = #LOC_ETT_advTurbofanEngines_description</t>
  </si>
  <si>
    <t>nodeName = Node8_advTurbofanEngines</t>
  </si>
  <si>
    <t>id = highEfficiencyNuclear</t>
  </si>
  <si>
    <t>title = #LOC_ETT_highEfficiencyNuclear_title</t>
  </si>
  <si>
    <t>description = #LOC_ETT_highEfficiencyNuclear_description</t>
  </si>
  <si>
    <t>nodeName = Node11_highEfficiencyNuclear</t>
  </si>
  <si>
    <t>id = hybridRockets</t>
  </si>
  <si>
    <t>title = #LOC_ETT_hybridRockets_title</t>
  </si>
  <si>
    <t>description = #LOC_ETT_hybridRockets_description</t>
  </si>
  <si>
    <t>cost = 1000</t>
  </si>
  <si>
    <t>nodeName = Node10_hybridRockets</t>
  </si>
  <si>
    <t>parentID = precisionPropulsion</t>
  </si>
  <si>
    <t>id = largeLaunchClamps</t>
  </si>
  <si>
    <t>title = #LOC_ETT_largeLaunchClamps_title</t>
  </si>
  <si>
    <t>description = #LOC_ETT_largeLaunchClamps_description</t>
  </si>
  <si>
    <t>nodeName = Node3_largeLaunchClamps</t>
  </si>
  <si>
    <t>id = largePropellerEngines</t>
  </si>
  <si>
    <t>title = #LOC_ETT_largePropellerEngines_title</t>
  </si>
  <si>
    <t>description = #LOC_ETT_largePropellerEngines_description</t>
  </si>
  <si>
    <t>cost = 35</t>
  </si>
  <si>
    <t>nodeName = Node3_largePropellerEngines</t>
  </si>
  <si>
    <t>id = experimentalCommunications</t>
  </si>
  <si>
    <t>title = #LOC_ETT_experimentalCommunications_title</t>
  </si>
  <si>
    <t>description = #LOC_ETT_experimentalCommunications_description</t>
  </si>
  <si>
    <t>cost = 200</t>
  </si>
  <si>
    <t>nodeName = Node6_experimentalCommunications</t>
  </si>
  <si>
    <t>id = turbofanEngines</t>
  </si>
  <si>
    <t>title = #LOC_ETT_turbofanEngines_title</t>
  </si>
  <si>
    <t>description = #LOC_ETT_turbofanEngines_description</t>
  </si>
  <si>
    <t>nodeName = Node5_turbofanEngines</t>
  </si>
  <si>
    <t>id = bouyancy</t>
  </si>
  <si>
    <t>title = #LOC_ETT_bouyancy_title</t>
  </si>
  <si>
    <t>description = #LOC_ETT_bouyancy_description</t>
  </si>
  <si>
    <t>nodeName = Node3_bouyancy</t>
  </si>
  <si>
    <t>id = advCommunications</t>
  </si>
  <si>
    <t>title = #LOC_ETT_advCommunications_title</t>
  </si>
  <si>
    <t>description = #LOC_ETT_advCommunications_description</t>
  </si>
  <si>
    <t>nodeName = Node5_advCommunications</t>
  </si>
  <si>
    <t>id = offworldLaunchsites</t>
  </si>
  <si>
    <t>title = #LOC_ETT_offworldLaunchsites_title</t>
  </si>
  <si>
    <t>description = #LOC_ETT_offworldLaunchsites_description</t>
  </si>
  <si>
    <t>cost = 6000</t>
  </si>
  <si>
    <t>nodeName = Node18_offworldLaunchsites</t>
  </si>
  <si>
    <t>id = offworldMining</t>
  </si>
  <si>
    <t>title = #LOC_ETT_offworldMining_title</t>
  </si>
  <si>
    <t>description = #LOC_ETT_offworldMining_description</t>
  </si>
  <si>
    <t>nodeName = Node7_offworldMining</t>
  </si>
  <si>
    <t>parentID = highPerformanceFuelSystems</t>
  </si>
  <si>
    <t>@RDNode:HAS[#id[advConstruction]]</t>
  </si>
  <si>
    <t>//nodeName = Node3_advConstruction</t>
  </si>
  <si>
    <t>@nodeName = Node3_advConstruction</t>
  </si>
  <si>
    <t>//title = #LOC_ETT_advConstruction_title</t>
  </si>
  <si>
    <t>@title = #LOC_ETT_advConstruction_title</t>
  </si>
  <si>
    <t>//description = #LOC_ETT_advConstruction_description</t>
  </si>
  <si>
    <t>@description = #LOC_ETT_advConstruction_description</t>
  </si>
  <si>
    <t>@RDNode:HAS[#id[specializedConstruction]]</t>
  </si>
  <si>
    <t>//nodeName = Node4_specializedConstruction</t>
  </si>
  <si>
    <t>@nodeName = Node4_specializedConstruction</t>
  </si>
  <si>
    <t>@RDNode:HAS[#id[supersonicFlight]]</t>
  </si>
  <si>
    <t>//nodeName = Node5_supersonicFlight</t>
  </si>
  <si>
    <t>@nodeName = Node5_supersonicFlight</t>
  </si>
  <si>
    <t>//title = #LOC_ETT_supersonicFlight_title</t>
  </si>
  <si>
    <t>@title = #LOC_ETT_supersonicFlight_title</t>
  </si>
  <si>
    <t>//description = #LOC_ETT_supersonicFlight_description</t>
  </si>
  <si>
    <t>@description = #LOC_ETT_supersonicFlight_description</t>
  </si>
  <si>
    <t>@RDNode:HAS[#id[stability]]</t>
  </si>
  <si>
    <t>//nodeName = Node2_stability</t>
  </si>
  <si>
    <t>@nodeName = Node2_stability</t>
  </si>
  <si>
    <t>//title = #LOC_ETT_stability_title</t>
  </si>
  <si>
    <t>@title = #LOC_ETT_stability_title</t>
  </si>
  <si>
    <t>//description = #LOC_ETT_stability_description</t>
  </si>
  <si>
    <t>@description = #LOC_ETT_stability_description</t>
  </si>
  <si>
    <t>@RDNode:HAS[#id[specializedControl]]</t>
  </si>
  <si>
    <t>//nodeName = Node6_specializedControl</t>
  </si>
  <si>
    <t>@nodeName = Node6_specializedControl</t>
  </si>
  <si>
    <t>//cost = 1</t>
  </si>
  <si>
    <t>@cost = 1</t>
  </si>
  <si>
    <t>//nodeName = Node1_basicRocketry</t>
  </si>
  <si>
    <t>@nodeName = Node1_basicRocketry</t>
  </si>
  <si>
    <t>//title = #LOC_ETT_basicRocketry_title</t>
  </si>
  <si>
    <t>@title = #LOC_ETT_basicRocketry_title</t>
  </si>
  <si>
    <t>//description = #LOC_ETT_basicRocketry_description</t>
  </si>
  <si>
    <t>@description = #LOC_ETT_basicRocketry_description</t>
  </si>
  <si>
    <t>@RDNode:HAS[#id[precisionPropulsion]]</t>
  </si>
  <si>
    <t>//nodeName = Node5_precisionPropulsion</t>
  </si>
  <si>
    <t>@nodeName = Node5_precisionPropulsion</t>
  </si>
  <si>
    <t>parentID = propulsionSystems</t>
  </si>
  <si>
    <t>@RDNode:HAS[#id[basicScience]]</t>
  </si>
  <si>
    <t>//nodeName = Node0_basicScience</t>
  </si>
  <si>
    <t>@nodeName = Node0_basicScience</t>
  </si>
  <si>
    <t>//title = #LOC_ETT_basicScience_title</t>
  </si>
  <si>
    <t>@title = #LOC_ETT_basicScience_title</t>
  </si>
  <si>
    <t>//description = #LOC_ETT_basicScience_description</t>
  </si>
  <si>
    <t>@description = #LOC_ETT_basicScience_description</t>
  </si>
  <si>
    <t>@RDNode:HAS[#id[scienceTech]]</t>
  </si>
  <si>
    <t>//nodeName = Node4_scienceTech</t>
  </si>
  <si>
    <t>@nodeName = Node4_scienceTech</t>
  </si>
  <si>
    <t>//title = #LOC_ETT_scienceTech_title</t>
  </si>
  <si>
    <t>@title = #LOC_ETT_scienceTech_title</t>
  </si>
  <si>
    <t>//description = #LOC_ETT_scienceTech_description</t>
  </si>
  <si>
    <t>@description = #LOC_ETT_scienceTech_description</t>
  </si>
  <si>
    <t>id = docking</t>
  </si>
  <si>
    <t>title = #LOC_ETT_docking_title</t>
  </si>
  <si>
    <t>description = #LOC_ETT_docking_description</t>
  </si>
  <si>
    <t>nodeName = Node5_docking</t>
  </si>
  <si>
    <t>id = smallLaunchClamps</t>
  </si>
  <si>
    <t>title = #LOC_ETT_smallLaunchClamps_title</t>
  </si>
  <si>
    <t>description = #LOC_ETT_smallLaunchClamps_description</t>
  </si>
  <si>
    <t>nodeName = Node2_smallLaunchClamps</t>
  </si>
  <si>
    <t>id = spaceStationTech</t>
  </si>
  <si>
    <t>title = #LOC_ETT_spaceStationTech_title</t>
  </si>
  <si>
    <t>description = #LOC_ETT_spaceStationTech_description</t>
  </si>
  <si>
    <t>nodeName = Node6_spaceStationTech</t>
  </si>
  <si>
    <t>id = landingLegs</t>
  </si>
  <si>
    <t>title = #LOC_ETT_landingLegs_title</t>
  </si>
  <si>
    <t>description = #LOC_ETT_landingLegs_description</t>
  </si>
  <si>
    <t>nodeName = Node3_landingLegs</t>
  </si>
  <si>
    <t>id = fairings</t>
  </si>
  <si>
    <t>title = #LOC_ETT_fairings_title</t>
  </si>
  <si>
    <t>description = #LOC_ETT_fairings_description</t>
  </si>
  <si>
    <t>nodeName = Node4_fairings</t>
  </si>
  <si>
    <t>id = turboshaftEngines</t>
  </si>
  <si>
    <t>title = #LOC_ETT_turboshaftEngines_title</t>
  </si>
  <si>
    <t>description = #LOC_ETT_turboshaftEngines_description</t>
  </si>
  <si>
    <t>nodeName = Node5_turboshaftEngines</t>
  </si>
  <si>
    <t>id = turbopropEngines</t>
  </si>
  <si>
    <t>title = #LOC_ETT_turbopropEngines_title</t>
  </si>
  <si>
    <t>description = #LOC_ETT_turbopropEngines_description</t>
  </si>
  <si>
    <t>nodeName = Node6_turbopropEngines</t>
  </si>
  <si>
    <t>id = turbojetEngines</t>
  </si>
  <si>
    <t>title = #LOC_ETT_turbojetEngines_title</t>
  </si>
  <si>
    <t>description = #LOC_ETT_turbojetEngines_description</t>
  </si>
  <si>
    <t>nodeName = Node4_turbojetEngines</t>
  </si>
  <si>
    <t>id = radialTech</t>
  </si>
  <si>
    <t>title = #LOC_ETT_radialTech_title</t>
  </si>
  <si>
    <t>description = #LOC_ETT_radialTech_description</t>
  </si>
  <si>
    <t>nodeName = Node3_radialTech</t>
  </si>
  <si>
    <t>id = reactionControl</t>
  </si>
  <si>
    <t>title = #LOC_ETT_reactionControl_title</t>
  </si>
  <si>
    <t>description = #LOC_ETT_reactionControl_description</t>
  </si>
  <si>
    <t>nodeName = Node3_reactionControl</t>
  </si>
  <si>
    <t>id = ullageMotors</t>
  </si>
  <si>
    <t>title = #LOC_ETT_ullageMotors_title</t>
  </si>
  <si>
    <t>description = #LOC_ETT_ullageMotors_description</t>
  </si>
  <si>
    <t>nodeName = Node2_ullageMotors</t>
  </si>
  <si>
    <t>id = veryHeavySolidRockets</t>
  </si>
  <si>
    <t>title = #LOC_ETT_veryHeavySolidRockets_title</t>
  </si>
  <si>
    <t>description = #LOC_ETT_veryHeavySolidRockets_description</t>
  </si>
  <si>
    <t>nodeName = Node6_veryHeavySolidRockets</t>
  </si>
  <si>
    <t>id = quantumComputers</t>
  </si>
  <si>
    <t>title = #LOC_ETT_quantumComputers_title</t>
  </si>
  <si>
    <t>description = #LOC_ETT_quantumComputers_description</t>
  </si>
  <si>
    <t>nodeName = Node10_quantumComputers</t>
  </si>
  <si>
    <t>id = solarTech</t>
  </si>
  <si>
    <t>title = #LOC_ETT_solarTech_title</t>
  </si>
  <si>
    <t>description = #LOC_ETT_solarTech_description</t>
  </si>
  <si>
    <t>nodeName = Node3_solarTech</t>
  </si>
  <si>
    <t>id = communications</t>
  </si>
  <si>
    <t>title = #LOC_ETT_communications_title</t>
  </si>
  <si>
    <t>description = #LOC_ETT_communications_description</t>
  </si>
  <si>
    <t>nodeName = Node3_communications</t>
  </si>
  <si>
    <t>id = exoticCommunications</t>
  </si>
  <si>
    <t>title = #LOC_ETT_exoticCommunications_title</t>
  </si>
  <si>
    <t>description = #LOC_ETT_exoticCommunications_description</t>
  </si>
  <si>
    <t>nodeName = Node7_exoticCommunications</t>
  </si>
  <si>
    <t>From</t>
  </si>
  <si>
    <t>To</t>
  </si>
  <si>
    <t>parentID = heavySolidRockets</t>
  </si>
  <si>
    <t>TOP</t>
  </si>
  <si>
    <t>RIGHT</t>
  </si>
  <si>
    <t>LEFT</t>
  </si>
  <si>
    <t>BOTTOM</t>
  </si>
  <si>
    <t>lineFrom = TOP</t>
  </si>
  <si>
    <t>lineTo = RIGHT</t>
  </si>
  <si>
    <t>lineFrom = LEFT</t>
  </si>
  <si>
    <t>lineFrom = BOTTOM</t>
  </si>
  <si>
    <t>lineTo = BOTTOM</t>
  </si>
  <si>
    <t xml:space="preserve">Colonization  </t>
  </si>
  <si>
    <t>//DX(row) = 39</t>
  </si>
  <si>
    <t>//DY(row) = 38</t>
  </si>
  <si>
    <t>//pos = -1641, 1025, -2</t>
  </si>
  <si>
    <t>@pos = -1641, 1025, -2</t>
  </si>
  <si>
    <t>//pos = -2033, 1025, -2</t>
  </si>
  <si>
    <t>@pos = -2033, 1025, -2</t>
  </si>
  <si>
    <t>//pos = -1798, 1025, -2</t>
  </si>
  <si>
    <t>@pos = -1798, 1025, -2</t>
  </si>
  <si>
    <t>//pos = -1798, 1253, -2</t>
  </si>
  <si>
    <t>@pos = -1798, 1253, -2</t>
  </si>
  <si>
    <t>//pos = -1719, 1253, -2</t>
  </si>
  <si>
    <t>@pos = -1719, 1253, -2</t>
  </si>
  <si>
    <t>//pos = -1641, 1253, -2</t>
  </si>
  <si>
    <t>@pos = -1641, 1253, -2</t>
  </si>
  <si>
    <t>//pos = -1563, 1253, -2</t>
  </si>
  <si>
    <t>@pos = -1563, 1253, -2</t>
  </si>
  <si>
    <t>//pos = -1876, 1861, -2</t>
  </si>
  <si>
    <t>@pos = -1876, 1861, -2</t>
  </si>
  <si>
    <t>//pos = -1876, 1937, -2</t>
  </si>
  <si>
    <t>@pos = -1876, 1937, -2</t>
  </si>
  <si>
    <t>//pos = -1563, 1177, -2</t>
  </si>
  <si>
    <t>@pos = -1563, 1177, -2</t>
  </si>
  <si>
    <t>//pos = -1484, 1177, -2</t>
  </si>
  <si>
    <t>@pos = -1484, 1177, -2</t>
  </si>
  <si>
    <t>//pos = -2033, 1785, -2</t>
  </si>
  <si>
    <t>@pos = -2033, 1785, -2</t>
  </si>
  <si>
    <t>//pos = -2033, 1937, -2</t>
  </si>
  <si>
    <t>@pos = -2033, 1937, -2</t>
  </si>
  <si>
    <t>//pos = -2033, 2013, -2</t>
  </si>
  <si>
    <t>@pos = -2033, 2013, -2</t>
  </si>
  <si>
    <t>//pos = -2033, 2089, -2</t>
  </si>
  <si>
    <t>@pos = -2033, 2089, -2</t>
  </si>
  <si>
    <t>//pos = -1798, 1937, -2</t>
  </si>
  <si>
    <t>@pos = -1798, 1937, -2</t>
  </si>
  <si>
    <t>//pos = -1798, 2013, -2</t>
  </si>
  <si>
    <t>@pos = -1798, 2013, -2</t>
  </si>
  <si>
    <t>//pos = -1798, 1861, -2</t>
  </si>
  <si>
    <t>@pos = -1798, 1861, -2</t>
  </si>
  <si>
    <t>//pos = -2111, 1861, -2</t>
  </si>
  <si>
    <t>@pos = -2111, 1861, -2</t>
  </si>
  <si>
    <t>//pos = -2111, 1937, -2</t>
  </si>
  <si>
    <t>@pos = -2111, 1937, -2</t>
  </si>
  <si>
    <t>//pos = -2111, 2013, -2</t>
  </si>
  <si>
    <t>@pos = -2111, 2013, -2</t>
  </si>
  <si>
    <t>//pos = -2581, 1709, -2</t>
  </si>
  <si>
    <t>@pos = -2581, 1709, -2</t>
  </si>
  <si>
    <t>//pos = -1563, 1329, -2</t>
  </si>
  <si>
    <t>@pos = -1563, 1329, -2</t>
  </si>
  <si>
    <t>//pos = -2111, 1025, -2</t>
  </si>
  <si>
    <t>@pos = -2111, 1025, -2</t>
  </si>
  <si>
    <t>//pos = -2424, 721, -2</t>
  </si>
  <si>
    <t>@pos = -2424, 721, -2</t>
  </si>
  <si>
    <t>//pos = -2424, 645, -2</t>
  </si>
  <si>
    <t>@pos = -2424, 645, -2</t>
  </si>
  <si>
    <t>//pos = -2424, 569, -2</t>
  </si>
  <si>
    <t>@pos = -2424, 569, -2</t>
  </si>
  <si>
    <t>//pos = -2424, 797, -2</t>
  </si>
  <si>
    <t>@pos = -2424, 797, -2</t>
  </si>
  <si>
    <t>//pos = -2111, 949, -2</t>
  </si>
  <si>
    <t>@pos = -2111, 949, -2</t>
  </si>
  <si>
    <t>//pos = -2189, 797, -2</t>
  </si>
  <si>
    <t>@pos = -2189, 797, -2</t>
  </si>
  <si>
    <t>//pos = -2189, 721, -2</t>
  </si>
  <si>
    <t>@pos = -2189, 721, -2</t>
  </si>
  <si>
    <t>//pos = -2189, 645, -2</t>
  </si>
  <si>
    <t>@pos = -2189, 645, -2</t>
  </si>
  <si>
    <t>//pos = -2189, 569, -2</t>
  </si>
  <si>
    <t>@pos = -2189, 569, -2</t>
  </si>
  <si>
    <t>//pos = -2111, 493, -2</t>
  </si>
  <si>
    <t>@pos = -2111, 493, -2</t>
  </si>
  <si>
    <t>//pos = -2033, 721, -2</t>
  </si>
  <si>
    <t>@pos = -2033, 721, -2</t>
  </si>
  <si>
    <t>//pos = -1876, 569, -2</t>
  </si>
  <si>
    <t>@pos = -1876, 569, -2</t>
  </si>
  <si>
    <t>//pos = -2033, 949, -2</t>
  </si>
  <si>
    <t>@pos = -2033, 949, -2</t>
  </si>
  <si>
    <t>//pos = -1954, 721, -2</t>
  </si>
  <si>
    <t>@pos = -1954, 721, -2</t>
  </si>
  <si>
    <t>pos = -1798, 873, -2</t>
  </si>
  <si>
    <t>pos = -1719, 873, -2</t>
  </si>
  <si>
    <t>pos = -1719, 949, -2</t>
  </si>
  <si>
    <t>pos = -1798, 1519, -2</t>
  </si>
  <si>
    <t>pos = -1719, 1519, -2</t>
  </si>
  <si>
    <t>pos = -1954, 1861, -2</t>
  </si>
  <si>
    <t>pos = -1954, 1937, -2</t>
  </si>
  <si>
    <t>pos = -1954, 2013, -2</t>
  </si>
  <si>
    <t>pos = -1954, 2089, -2</t>
  </si>
  <si>
    <t>pos = -2189, 1481, -2</t>
  </si>
  <si>
    <t>pos = -2267, 1633, -2</t>
  </si>
  <si>
    <t>pos = -2346, 1633, -2</t>
  </si>
  <si>
    <t>pos = -2581, 1937, -2</t>
  </si>
  <si>
    <t>pos = -1798, 1443, -2</t>
  </si>
  <si>
    <t>pos = -1641, 1329, -2</t>
  </si>
  <si>
    <t>pos = -2189, 1785, -2</t>
  </si>
  <si>
    <t>pos = -2189, 1861, -2</t>
  </si>
  <si>
    <t>pos = -2659, 1025, -2</t>
  </si>
  <si>
    <t>pos = -2424, 493, -2</t>
  </si>
  <si>
    <t>pos = -2424, 417, -2</t>
  </si>
  <si>
    <t>pos = -1954, 189, -2</t>
  </si>
  <si>
    <t>pos = -2267, 721, -2</t>
  </si>
  <si>
    <t>pos = -2267, 417, -2</t>
  </si>
  <si>
    <t>pos = -2346, 797, -2</t>
  </si>
  <si>
    <t>pos = -2346, 645, -2</t>
  </si>
  <si>
    <t>pos = -2346, 569, -2</t>
  </si>
  <si>
    <t>pos = -2111, 721, -2</t>
  </si>
  <si>
    <t>//pos = -2502, 1177, -2</t>
  </si>
  <si>
    <t>@pos = -2502, 1177, -2</t>
  </si>
  <si>
    <t>//pos = -2424, 1025, -2</t>
  </si>
  <si>
    <t>@pos = -2424, 1025, -2</t>
  </si>
  <si>
    <t>//pos = -2502, 873, -2</t>
  </si>
  <si>
    <t>@pos = -2502, 873, -2</t>
  </si>
  <si>
    <t>//pos = -2581, 949, -2</t>
  </si>
  <si>
    <t>@pos = -2581, 949, -2</t>
  </si>
  <si>
    <t>//pos = -2659, 949, -2</t>
  </si>
  <si>
    <t>@pos = -2659, 949, -2</t>
  </si>
  <si>
    <t>pos = -1641, 873, -2</t>
  </si>
  <si>
    <t>pos = -2267, 1481, -2</t>
  </si>
  <si>
    <t>pos = -2659, 1329, -2</t>
  </si>
  <si>
    <t>pos = -2659, 1253, -2</t>
  </si>
  <si>
    <t>pos = -2737, 1329, -2</t>
  </si>
  <si>
    <t>pos = -2816, 1405, -2</t>
  </si>
  <si>
    <t>pos = -2894, 1481, -2</t>
  </si>
  <si>
    <t>pos = -2972, 1557, -2</t>
  </si>
  <si>
    <t>pos = -2502, 1101, -2</t>
  </si>
  <si>
    <t>pos = -2581, 1101, -2</t>
  </si>
  <si>
    <t>pos = -2502, 1025, -2</t>
  </si>
  <si>
    <t>pos = -2581, 1025, -2</t>
  </si>
  <si>
    <t>pos = -2737, 1025, -2</t>
  </si>
  <si>
    <t>pos = -2737, 949, -2</t>
  </si>
  <si>
    <t>//pos = -2581, 1253, -2</t>
  </si>
  <si>
    <t>@pos = -2581, 1253, -2</t>
  </si>
  <si>
    <t>//pos = -2737, 1405, -2</t>
  </si>
  <si>
    <t>@pos = -2737, 1405, -2</t>
  </si>
  <si>
    <t>//pos = -2816, 1481, -2</t>
  </si>
  <si>
    <t>@pos = -2816, 1481, -2</t>
  </si>
  <si>
    <t>//pos = -2894, 1557, -2</t>
  </si>
  <si>
    <t>@pos = -2894, 1557, -2</t>
  </si>
  <si>
    <t>//pos = -2972, 1633, -2</t>
  </si>
  <si>
    <t>@pos = -2972, 1633, -2</t>
  </si>
  <si>
    <t>//pos = -2581, 1177, -2</t>
  </si>
  <si>
    <t>@pos = -2581, 1177, -2</t>
  </si>
  <si>
    <t>//pos = -1876, 645, -2</t>
  </si>
  <si>
    <t>@pos = -1876, 645, -2</t>
  </si>
  <si>
    <t>//pos = -2502, 949, -2</t>
  </si>
  <si>
    <t>@pos = -2502, 949, -2</t>
  </si>
  <si>
    <t>pos = -3050, 1633, -2</t>
  </si>
  <si>
    <t>pos = -2659, 1177, -2</t>
  </si>
  <si>
    <t>pos = -2737, 1253, -2</t>
  </si>
  <si>
    <t>pos = -2816, 1329, -2</t>
  </si>
  <si>
    <t>pos = -2894, 1405, -2</t>
  </si>
  <si>
    <t>pos = -2972, 1481, -2</t>
  </si>
  <si>
    <t>pos = -3050, 1557, -2</t>
  </si>
  <si>
    <t>parentID = unmannedTech</t>
  </si>
  <si>
    <t>//pos = -1876, 721, -2</t>
  </si>
  <si>
    <t>@pos = -1876, 721, -2</t>
  </si>
  <si>
    <t>parentID = offworldMining</t>
  </si>
  <si>
    <t>parentID = scienceTech</t>
  </si>
  <si>
    <t>parentID = advScienceTech</t>
  </si>
  <si>
    <t>parentID = basicScience</t>
  </si>
  <si>
    <t>lineTo = TOP</t>
  </si>
  <si>
    <t>parentID = advOffworldMining</t>
  </si>
  <si>
    <t>parentID = fieldScience</t>
  </si>
  <si>
    <t>//pos = -2581, 873, -2</t>
  </si>
  <si>
    <t>@pos = -2581, 873, -2</t>
  </si>
  <si>
    <t>pos = -2659, 873, -2</t>
  </si>
  <si>
    <t>//pos = -1876, 2013, -2</t>
  </si>
  <si>
    <t>@pos = -1876, 2013, -2</t>
  </si>
  <si>
    <t>//pos = -1954, 1747, -2</t>
  </si>
  <si>
    <t>@pos = -1954, 1747, -2</t>
  </si>
  <si>
    <t>//pos = -1641, 1671, -2</t>
  </si>
  <si>
    <t>@pos = -1641, 1671, -2</t>
  </si>
  <si>
    <t>//pos = -1641, 1747, -2</t>
  </si>
  <si>
    <t>@pos = -1641, 1747, -2</t>
  </si>
  <si>
    <t>//pos = -1563, 1747, -2</t>
  </si>
  <si>
    <t>@pos = -1563, 1747, -2</t>
  </si>
  <si>
    <t>//pos = -1876, 797, -2</t>
  </si>
  <si>
    <t>@pos = -1876, 797, -2</t>
  </si>
  <si>
    <t>pos = -1876, 1785, -2</t>
  </si>
  <si>
    <t>parentID = scientificOutposts</t>
  </si>
  <si>
    <t>parentID = recycling</t>
  </si>
  <si>
    <t>parentID = experimentalScience</t>
  </si>
  <si>
    <t>parentID = longTermScienceTech</t>
  </si>
  <si>
    <t>parentID = specializedScienceTech</t>
  </si>
  <si>
    <t>parentID = highEnergyScience</t>
  </si>
  <si>
    <t>parentID = electronics</t>
  </si>
  <si>
    <t>parentID = advCommunications</t>
  </si>
  <si>
    <t>parentID = advUnmanned</t>
  </si>
  <si>
    <t>parentID = electrics</t>
  </si>
  <si>
    <t>parentID = plasmaPropulsion</t>
  </si>
  <si>
    <t>parentID = advElectrics</t>
  </si>
  <si>
    <t>parentID = specializedElectrics</t>
  </si>
  <si>
    <t>parentID = largeElectrics</t>
  </si>
  <si>
    <t>parentID = advSolarTech</t>
  </si>
  <si>
    <t>parentID = experimentalElectrics</t>
  </si>
  <si>
    <t>parentID = highTechElectricalSystems</t>
  </si>
  <si>
    <t>parentID = cuttingEdgeSolarTech</t>
  </si>
  <si>
    <t>parentID = highPowerElectricalSystems</t>
  </si>
  <si>
    <t>parentID = experimentalElectricalSystems</t>
  </si>
  <si>
    <t>parentID = electricPropulsion</t>
  </si>
  <si>
    <t>parentID = ionPropulsion</t>
  </si>
  <si>
    <t>parentID = advIonPropulsion</t>
  </si>
  <si>
    <t>parentID = advGriddedThrusters</t>
  </si>
  <si>
    <t>parentID = solarTech</t>
  </si>
  <si>
    <t>parentID = advPVMaterials</t>
  </si>
  <si>
    <t>parentID = advEMSystems</t>
  </si>
  <si>
    <t>parentID = specializedPlasmaGeneration</t>
  </si>
  <si>
    <t>parentID = rovers</t>
  </si>
  <si>
    <t>parentID = advancedMotors</t>
  </si>
  <si>
    <t>parentID = largeUnmanned</t>
  </si>
  <si>
    <t>parentID = exoticCommunications</t>
  </si>
  <si>
    <t>parentID = experimentalProbes</t>
  </si>
  <si>
    <t>parentID = microwavePowerTransmission</t>
  </si>
  <si>
    <t>parentID = communications</t>
  </si>
  <si>
    <t>pos = -2346, 493, -2</t>
  </si>
  <si>
    <t>parentID = experimentalCommunications</t>
  </si>
  <si>
    <t>Thermodynamics</t>
  </si>
  <si>
    <t xml:space="preserve">Thermodynamics </t>
  </si>
  <si>
    <t>parentID = heatManagementSystems</t>
  </si>
  <si>
    <t>parentID = specializedRadiators</t>
  </si>
  <si>
    <t>parentID = thermodynamics</t>
  </si>
  <si>
    <t>parentID = advHeatManagement</t>
  </si>
  <si>
    <t>parentID = engineering101</t>
  </si>
  <si>
    <t>//pos = -2111, 2089, -2</t>
  </si>
  <si>
    <t>@pos = -2111, 2089, -2</t>
  </si>
  <si>
    <t>//pos = -2111, 1709, -2</t>
  </si>
  <si>
    <t>@pos = -2111, 1709, -2</t>
  </si>
  <si>
    <t>pos = -2111, 2165, -2</t>
  </si>
  <si>
    <t>pos = -2111, 1785, -2</t>
  </si>
  <si>
    <t>Extra-Large Fairings</t>
  </si>
  <si>
    <t>Large Fairings</t>
  </si>
  <si>
    <t>Medium Fairings</t>
  </si>
  <si>
    <t>parentID = generalConstruction</t>
  </si>
  <si>
    <t>parentID = actuators</t>
  </si>
  <si>
    <t>parentID = advActuators</t>
  </si>
  <si>
    <t>parentID = automation</t>
  </si>
  <si>
    <t>parentID = mechatronics</t>
  </si>
  <si>
    <t>parentID = experimentalActuators</t>
  </si>
  <si>
    <t>parentID = longTermHabitation</t>
  </si>
  <si>
    <t>parentID = spaceStationTech</t>
  </si>
  <si>
    <t>parentID = shortTermHabitation</t>
  </si>
  <si>
    <t>parentID = orbitalAssembly</t>
  </si>
  <si>
    <t>parentID = orbitalMegastructures</t>
  </si>
  <si>
    <t>parentID = docking</t>
  </si>
  <si>
    <t>parentID = smallLaunchClamps</t>
  </si>
  <si>
    <t>parentID = advDocking</t>
  </si>
  <si>
    <t>//pos = -1876, 1025, -2</t>
  </si>
  <si>
    <t>@pos = -1876, 1025, -2</t>
  </si>
  <si>
    <t>parentID = nuclearPower</t>
  </si>
  <si>
    <t>parentID = largeNuclearPower</t>
  </si>
  <si>
    <t>parentID = nuclearFuelSystems</t>
  </si>
  <si>
    <t>parentID = advNuclearPower</t>
  </si>
  <si>
    <t>parentID = expNuclearPower</t>
  </si>
  <si>
    <t>parentID = nuclearPropulsion</t>
  </si>
  <si>
    <t>parentID = improvedNuclearPropulsion</t>
  </si>
  <si>
    <t>parentID = highEfficiencyNuclear</t>
  </si>
  <si>
    <t>parentID = expNuclearPropulsion</t>
  </si>
  <si>
    <t>parentID = exoticNuclearPropulsion</t>
  </si>
  <si>
    <t>parentID = exoticReactions</t>
  </si>
  <si>
    <t>parentID = unifiedFieldTheory</t>
  </si>
  <si>
    <t>//pos = -1876, 1519, -2</t>
  </si>
  <si>
    <t>@pos = -1876, 1519, -2</t>
  </si>
  <si>
    <t>parentID = advNuclearPropulsion</t>
  </si>
  <si>
    <t>parentID = fusionPower</t>
  </si>
  <si>
    <t>parentID = fusionRockets</t>
  </si>
  <si>
    <t>parentID = advFusionReactions</t>
  </si>
  <si>
    <t>pos = -1798, 949, -2</t>
  </si>
  <si>
    <t>pos = -1876, 1443, -2</t>
  </si>
  <si>
    <t>pos = -1719, 1443, -2</t>
  </si>
  <si>
    <t>pos = -1171, 1481, -2</t>
  </si>
  <si>
    <t>pos = -2111, 1633, -2</t>
  </si>
  <si>
    <t>pos = -2189, 1633, -2</t>
  </si>
  <si>
    <t>pos = -1798, 1101, -2</t>
  </si>
  <si>
    <t>pos = -1719, 1101, -2</t>
  </si>
  <si>
    <t>pos = -1641, 1101, -2</t>
  </si>
  <si>
    <t>CommunityTechTree/UI/ctt_icon_recycling</t>
  </si>
  <si>
    <t>CommunityTechTree/UI/ctt_icon_enhancedSurvivability</t>
  </si>
  <si>
    <t>// Reposition Stock Tech Tree Nodes</t>
  </si>
  <si>
    <t>// Create Community Tech Tree &amp; Engineering Tech Tree Nodes</t>
  </si>
  <si>
    <t>id = advActuators</t>
  </si>
  <si>
    <t>description = #LOC_CTT_advActuators_description</t>
  </si>
  <si>
    <t>nodeName = Node5_advActuators</t>
  </si>
  <si>
    <t>icon = ETTR/UI/CTT/ctt_icon_advancedActuators</t>
  </si>
  <si>
    <t>pos = -1719, 1025, -2</t>
  </si>
  <si>
    <t>id = mechatronics</t>
  </si>
  <si>
    <t>description = #LOC_CTT_mechatronics_description</t>
  </si>
  <si>
    <t>nodeName = Node7_mechatronics</t>
  </si>
  <si>
    <t>pos = -1406, 1025, -2</t>
  </si>
  <si>
    <t>id = experimentalActuators</t>
  </si>
  <si>
    <t>description = #LOC_CTT_experimentalActuators_description</t>
  </si>
  <si>
    <t>nodeName = Node8_experimentalActuators</t>
  </si>
  <si>
    <t>icon = ETTR/UI/CTT/ctt_icon_experimentalActuators</t>
  </si>
  <si>
    <t>pos = -1406, 949, -2</t>
  </si>
  <si>
    <t>id = artificialIntelligence</t>
  </si>
  <si>
    <t>title = #LOC_ETT_artificialIntelligence_title</t>
  </si>
  <si>
    <t>description = #LOC_ETT_artificialIntelligence_description</t>
  </si>
  <si>
    <t>nodeName = Node9_artificialIntelligence</t>
  </si>
  <si>
    <t>icon = ETTR/UI/CTT/RDicon_robotics</t>
  </si>
  <si>
    <t>pos = -1406, 873, -2</t>
  </si>
  <si>
    <t>id = orbitalAssembly</t>
  </si>
  <si>
    <t>description = #LOC_CTT_orbitalAssembly_description</t>
  </si>
  <si>
    <t>nodeName = Node10_orbitalAssembly</t>
  </si>
  <si>
    <t>icon = ETTR/UI/CTT/ctt_icon_orbitalAssembly</t>
  </si>
  <si>
    <t>pos = -1406, 797, -2</t>
  </si>
  <si>
    <t>id = shortTermHabitation</t>
  </si>
  <si>
    <t>title = #LOC_ETT_shortTermHabitation_title</t>
  </si>
  <si>
    <t>description = #LOC_ETT_shortTermHabitation_description</t>
  </si>
  <si>
    <t>nodeName = Node7_shortTermHabitation</t>
  </si>
  <si>
    <t>icon = ETTR/UI/CTT/RDicon_evaTech</t>
  </si>
  <si>
    <t>pos = -1563, 873, -2</t>
  </si>
  <si>
    <t>id = longTermHabitation</t>
  </si>
  <si>
    <t>title = #LOC_ETT_longTermHabitation_title</t>
  </si>
  <si>
    <t>description = #LOC_ETT_longTermHabitation_description</t>
  </si>
  <si>
    <t>nodeName = Node9_longTermHabitation</t>
  </si>
  <si>
    <t>icon = ETTR/UI/CTT/RDicon_start</t>
  </si>
  <si>
    <t>pos = -1484, 873, -2</t>
  </si>
  <si>
    <t>id = orbitalMegastructures</t>
  </si>
  <si>
    <t>description = #LOC_CTT_orbitalMegastructures_description</t>
  </si>
  <si>
    <t>cost = 2250</t>
  </si>
  <si>
    <t>nodeName = Node13_orbitalMegastructures</t>
  </si>
  <si>
    <t>icon = ETTR/UI/CTT/ctt_icon_orbitalMegastructures</t>
  </si>
  <si>
    <t>pos = -1406, 721, -2</t>
  </si>
  <si>
    <t>id = offworldManufacturing</t>
  </si>
  <si>
    <t>title = #LOC_ETT_offworldManufacturing_title</t>
  </si>
  <si>
    <t>description = #LOC_ETT_offworldManufacturing_description</t>
  </si>
  <si>
    <t>cost = 3500</t>
  </si>
  <si>
    <t>nodeName = Node15_offworldManufacturing</t>
  </si>
  <si>
    <t>pos = -1406, 645, -2</t>
  </si>
  <si>
    <t>id = colonization</t>
  </si>
  <si>
    <t>description = #LOC_CTT_colonization_description</t>
  </si>
  <si>
    <t>cost = 2750</t>
  </si>
  <si>
    <t>nodeName = Node14_colonization</t>
  </si>
  <si>
    <t>pos = -1328, 1481, -2</t>
  </si>
  <si>
    <t>id = advColonization</t>
  </si>
  <si>
    <t>description = #LOC_CTT_advColonization_description</t>
  </si>
  <si>
    <t>nodeName = Node16_advColonization</t>
  </si>
  <si>
    <t>pos = -1250, 1481, -2</t>
  </si>
  <si>
    <t>id = exoticAlloys</t>
  </si>
  <si>
    <t>description = #LOC_CTT_exoticAlloys_description</t>
  </si>
  <si>
    <t>nodeName = Node7_exoticAlloys</t>
  </si>
  <si>
    <t>icon = ETTR/UI/CTT/ctt_icon_exoticAlloys</t>
  </si>
  <si>
    <t>pos = -1484, 1253, -2</t>
  </si>
  <si>
    <t>id = subsonicFlight</t>
  </si>
  <si>
    <t>title = #LOC_ETT_subsonicFlight_title</t>
  </si>
  <si>
    <t>description = #LOC_ETT_subsonicFlight_description</t>
  </si>
  <si>
    <t>nodeName = Node4_subsonicFlight</t>
  </si>
  <si>
    <t>icon = ETTR/UI/CTT/ctt_icon_subsonicFlight</t>
  </si>
  <si>
    <t>pos = -2033, 1861, -2</t>
  </si>
  <si>
    <t>id = advAerospaceEngineering</t>
  </si>
  <si>
    <t>description = #LOC_CTT_advAerospaceEngineering_description</t>
  </si>
  <si>
    <t>nodeName = Node15_advAerospaceEngineering</t>
  </si>
  <si>
    <t>icon = ETTR/UI/CTT/ctt_icon_advAerospaceEngineering</t>
  </si>
  <si>
    <t>pos = -2033, 2165, -2</t>
  </si>
  <si>
    <t>id = aerospaceComposites</t>
  </si>
  <si>
    <t>description = #LOC_CTT_aerospaceComposites_description</t>
  </si>
  <si>
    <t>nodeName = Node6_aerospaceComposites</t>
  </si>
  <si>
    <t>icon = ETTR/UI/CTT/ctt_icon_aerospaceComposites</t>
  </si>
  <si>
    <t>pos = -1798, 2089, -2</t>
  </si>
  <si>
    <t>id = specializedFlightSystems</t>
  </si>
  <si>
    <t>description = #LOC_CTT_specializedFlightSystems_description</t>
  </si>
  <si>
    <t>nodeName = Node9_specializedFlightSystems</t>
  </si>
  <si>
    <t>icon = ETTR/UI/CTT/ctt_icon_specializedFlight</t>
  </si>
  <si>
    <t>pos = -2111, 2241, -2</t>
  </si>
  <si>
    <t>id = efficientFlightSystems</t>
  </si>
  <si>
    <t>title = #LOC_ETT_efficientFlightSystems_title</t>
  </si>
  <si>
    <t>description = #LOC_ETT_efficientFlightSystems_description</t>
  </si>
  <si>
    <t>nodeName = Node6_efficientFlightSystems</t>
  </si>
  <si>
    <t>icon = ETTR/UI/CTT/ctt_icon_efficientFlight</t>
  </si>
  <si>
    <t>pos = -2346, 1709, -2</t>
  </si>
  <si>
    <t>id = expAircraftEngines</t>
  </si>
  <si>
    <t>title = #LOC_ETT_expAircraftEngines_title</t>
  </si>
  <si>
    <t>description = #LOC_ETT_expAircraftEngines_description</t>
  </si>
  <si>
    <t>nodeName = Node10_expAircraftEngines</t>
  </si>
  <si>
    <t>icon = ETTR/UI/CTT/ctt_icon_experimentalAircraftEngines</t>
  </si>
  <si>
    <t>id = heatManagementSystems</t>
  </si>
  <si>
    <t>description = #LOC_CTT_heatManagementSystems_description</t>
  </si>
  <si>
    <t>nodeName = Node5_heatManagementSystems</t>
  </si>
  <si>
    <t>icon = ETTR/UI/CTT/ctt_icon_heatManagementSystems</t>
  </si>
  <si>
    <t>pos = -2111, 1177, -2</t>
  </si>
  <si>
    <t>id = advHeatManagement</t>
  </si>
  <si>
    <t>description = #LOC_CTT_advHeatManagement_description</t>
  </si>
  <si>
    <t>nodeName = Node7_advHeatManagement</t>
  </si>
  <si>
    <t>icon = ETTR/UI/CTT/ctt_icon_advancedHeatManagement</t>
  </si>
  <si>
    <t>pos = -2111, 1253, -2</t>
  </si>
  <si>
    <t>id = specializedRadiators</t>
  </si>
  <si>
    <t>description = #LOC_CTT_specializedRadiators_description</t>
  </si>
  <si>
    <t>nodeName = Node8_specializedRadiators</t>
  </si>
  <si>
    <t>icon = ETTR/UI/CTT/ctt_icon_specializedRadiators</t>
  </si>
  <si>
    <t>pos = -2111, 1329, -2</t>
  </si>
  <si>
    <t>id = exoticRadiators</t>
  </si>
  <si>
    <t>description = #LOC_CTT_exoticRadiators_description</t>
  </si>
  <si>
    <t>nodeName = Node16_exoticRadiators</t>
  </si>
  <si>
    <t>icon = ETTR/UI/CTT/ctt_icon_exoticRadiators</t>
  </si>
  <si>
    <t>pos = -2111, 1405, -2</t>
  </si>
  <si>
    <t>id = nuclearPower</t>
  </si>
  <si>
    <t>title = #LOC_ETT_nuclearPower_title</t>
  </si>
  <si>
    <t>description = #LOC_ETT_nuclearPower_description</t>
  </si>
  <si>
    <t>nodeName = Node5_nuclearPower</t>
  </si>
  <si>
    <t>icon = ETTR/UI/CTT/ctt_icon_nuclearPower</t>
  </si>
  <si>
    <t>pos = -2502, 1557, -2</t>
  </si>
  <si>
    <t>id = largeNuclearPower</t>
  </si>
  <si>
    <t>description = #LOC_CTT_largeNuclearPower_description</t>
  </si>
  <si>
    <t>nodeName = Node6_largeNuclearPower</t>
  </si>
  <si>
    <t>icon = ETTR/UI/CTT/ctt_icon_improvedNuclearPower</t>
  </si>
  <si>
    <t>pos = -2502, 1633, -2</t>
  </si>
  <si>
    <t>id = nuclearFuelSystems</t>
  </si>
  <si>
    <t>description = #LOC_CTT_nuclearFuelSystems_description</t>
  </si>
  <si>
    <t>nodeName = Node7_nuclearFuelSystems</t>
  </si>
  <si>
    <t>icon = ETTR/UI/CTT/ctt_icon_nuclearFuelSystems</t>
  </si>
  <si>
    <t>pos = -2502, 1709, -2</t>
  </si>
  <si>
    <t>id = advNuclearPower</t>
  </si>
  <si>
    <t>description = #LOC_CTT_advNuclearPower_description</t>
  </si>
  <si>
    <t>nodeName = Node9_advNuclearPower</t>
  </si>
  <si>
    <t>icon = ETTR/UI/CTT/ctt_icon_highEnergyNuclearPower</t>
  </si>
  <si>
    <t>pos = -2502, 1785, -2</t>
  </si>
  <si>
    <t>id = expNuclearPower</t>
  </si>
  <si>
    <t>description = #LOC_CTT_expNuclearPower_description</t>
  </si>
  <si>
    <t>nodeName = Node11_expNuclearPower</t>
  </si>
  <si>
    <t>pos = -2502, 1861, -2</t>
  </si>
  <si>
    <t>id = exoticNuclearPower</t>
  </si>
  <si>
    <t>description = #LOC_CTT_exoticNuclearPower_description</t>
  </si>
  <si>
    <t>nodeName = Node16_exoticNuclearPower</t>
  </si>
  <si>
    <t>pos = -2502, 1937, -2</t>
  </si>
  <si>
    <t>id = improvedNuclearPropulsion</t>
  </si>
  <si>
    <t>description = #LOC_CTT_improvedNuclearPropulsion_description</t>
  </si>
  <si>
    <t>nodeName = Node8_improvedNuclearPropulsion</t>
  </si>
  <si>
    <t>icon = ETTR/UI/CTT/ctt_icon_improvedNuclearPropulsion</t>
  </si>
  <si>
    <t>pos = -2581, 1785, -2</t>
  </si>
  <si>
    <t>id = advNuclearPropulsion</t>
  </si>
  <si>
    <t>title = #LOC_ETT_advNuclearPropulsion_title</t>
  </si>
  <si>
    <t>description = #LOC_ETT_advNuclearPropulsion_description</t>
  </si>
  <si>
    <t>nodeName = Node10_advNuclearPropulsion</t>
  </si>
  <si>
    <t>icon = ETTR/UI/CTT/ctt_icon_highEfficiencyNuclearPropulsion</t>
  </si>
  <si>
    <t>pos = -2581, 1861, -2</t>
  </si>
  <si>
    <t>id = expNuclearPropulsion</t>
  </si>
  <si>
    <t>description = #LOC_CTT_expNuclearPropulsion_description</t>
  </si>
  <si>
    <t>nodeName = Node12_expNuclearPropulsion</t>
  </si>
  <si>
    <t>icon = ETTR/UI/CTT/ctt_icon_experimentalNuclearPropulsion</t>
  </si>
  <si>
    <t>pos = -2581, 2013, -2</t>
  </si>
  <si>
    <t>id = exoticNuclearPropulsion</t>
  </si>
  <si>
    <t>description = #LOC_CTT_exoticNuclearPropulsion_description</t>
  </si>
  <si>
    <t>nodeName = Node13_exoticNuclearPropulsion</t>
  </si>
  <si>
    <t>icon = ETTR/UI/CTT/ctt_icon_exoticNuclearPropulsion</t>
  </si>
  <si>
    <t>pos = -2581, 2089, -2</t>
  </si>
  <si>
    <t>id = antimatterPower</t>
  </si>
  <si>
    <t>title = #LOC_ETT_antimatterPower_title</t>
  </si>
  <si>
    <t>description = #LOC_ETT_antimatterPower_description</t>
  </si>
  <si>
    <t>nodeName = Node14_antimatterPower</t>
  </si>
  <si>
    <t>icon = ETTR/UI/CTT/ctt_icon_antimatterPower</t>
  </si>
  <si>
    <t>pos = -2581, 2165, -2</t>
  </si>
  <si>
    <t>id = unifiedFieldTheory</t>
  </si>
  <si>
    <t>description = #LOC_CTT_unifiedFieldTheory_description</t>
  </si>
  <si>
    <t>nodeName = Node18_unifiedFieldTheory</t>
  </si>
  <si>
    <t>icon = ETTR/UI/CTT/ctt_icon_unifiedFieldTheory</t>
  </si>
  <si>
    <t>pos = -2737, 2089, -2</t>
  </si>
  <si>
    <t>id = ultraHighEnergyPhysics</t>
  </si>
  <si>
    <t>description = #LOC_CTT_ultraHighEnergyPhysics_description</t>
  </si>
  <si>
    <t>cost = 8000</t>
  </si>
  <si>
    <t>nodeName = Node20_ultraHighEnergyPhysics</t>
  </si>
  <si>
    <t>icon = ETTR/UI/CTT/RDicon_science-experimental</t>
  </si>
  <si>
    <t>pos = -2816, 2089, -2</t>
  </si>
  <si>
    <t>id = enhancedSurvivability</t>
  </si>
  <si>
    <t>description = #LOC_CTT_enhancedSurvivability_description</t>
  </si>
  <si>
    <t>nodeName = Node5_enhancedSurvivability</t>
  </si>
  <si>
    <t>icon = ETTR/UI/CTT/ctt_icon_enhancedSurvivability</t>
  </si>
  <si>
    <t>id = storageTech</t>
  </si>
  <si>
    <t>title = #LOC_ETT_storageTech_title</t>
  </si>
  <si>
    <t>description = #LOC_ETT_storageTech_description</t>
  </si>
  <si>
    <t>cost = 150</t>
  </si>
  <si>
    <t>nodeName = Node5_storageTech</t>
  </si>
  <si>
    <t>icon = ETTR/UI/CTT/ctt_icon_storageTech</t>
  </si>
  <si>
    <t>pos = -1719, 1329, -2</t>
  </si>
  <si>
    <t>id = fusionPower</t>
  </si>
  <si>
    <t>description = #LOC_CTT_fusionPower_description</t>
  </si>
  <si>
    <t>nodeName = Node11_fusionPower</t>
  </si>
  <si>
    <t>icon = ETTR/UI/CTT/ctt_icon_fusionPower</t>
  </si>
  <si>
    <t>pos = -2659, 1861, -2</t>
  </si>
  <si>
    <t>id = fusionRockets</t>
  </si>
  <si>
    <t>description = #LOC_CTT_fusionRockets_description</t>
  </si>
  <si>
    <t>nodeName = Node12_fusionRockets</t>
  </si>
  <si>
    <t>icon = ETTR/UI/CTT/ctt_icon_fusionRockets</t>
  </si>
  <si>
    <t>pos = -2659, 1937, -2</t>
  </si>
  <si>
    <t>id = advFusionReactions</t>
  </si>
  <si>
    <t>title = #LOC_ETT_advFusionReactions_title</t>
  </si>
  <si>
    <t>description = #LOC_ETT_advFusionReactions_description</t>
  </si>
  <si>
    <t>nodeName = Node13_advFusionReactions</t>
  </si>
  <si>
    <t>icon = ETTR/UI/CTT/ctt_icon_advFusionReactions</t>
  </si>
  <si>
    <t>pos = -2659, 2013, -2</t>
  </si>
  <si>
    <t>id = exoticReactions</t>
  </si>
  <si>
    <t>title = #LOC_ETT_exoticReactions_title</t>
  </si>
  <si>
    <t>description = #LOC_ETT_exoticReactions_description</t>
  </si>
  <si>
    <t>nodeName = Node16_exoticReactions</t>
  </si>
  <si>
    <t>icon = ETTR/UI/CTT/ctt_icon_exoticFusionReactions</t>
  </si>
  <si>
    <t>pos = -2659, 2089, -2</t>
  </si>
  <si>
    <t>id = quantumReactions</t>
  </si>
  <si>
    <t>title = #LOC_ETT_quantumReactions_title</t>
  </si>
  <si>
    <t>description = #LOC_ETT_quantumReactions_description</t>
  </si>
  <si>
    <t>nodeName = Node20_quantumReactions</t>
  </si>
  <si>
    <t>pos = -2659, 2165, -2</t>
  </si>
  <si>
    <t>id = simpleCommandModules</t>
  </si>
  <si>
    <t>description = #LOC_CTT_simpleCommandModules_description</t>
  </si>
  <si>
    <t>nodeName = Node4_simpleCommandModules</t>
  </si>
  <si>
    <t>icon = ETTR/UI/CTT/ctt_icon_simpleCommandModules</t>
  </si>
  <si>
    <t>pos = -1719, 1671, -2</t>
  </si>
  <si>
    <t>id = heavyCommandModules</t>
  </si>
  <si>
    <t>description = #LOC_CTT_heavyCommandModules_description</t>
  </si>
  <si>
    <t>nodeName = Node7_heavyCommandModules</t>
  </si>
  <si>
    <t>icon = ETTR/UI/CTT/ctt_icon_heavyCommandModules</t>
  </si>
  <si>
    <t>pos = -1563, 1671, -2</t>
  </si>
  <si>
    <t>id = specializedCommandModules</t>
  </si>
  <si>
    <t>description = #LOC_CTT_specializedCommandModules_description</t>
  </si>
  <si>
    <t>nodeName = Node9_specializedCommandModules</t>
  </si>
  <si>
    <t>icon = ETTR/UI/CTT/ctt_icon_specializedCommandModules</t>
  </si>
  <si>
    <t>pos = -1484, 1671, -2</t>
  </si>
  <si>
    <t>id = heavyCommandCenters</t>
  </si>
  <si>
    <t>description = #LOC_CTT_heavyCommandCenters_description</t>
  </si>
  <si>
    <t>nodeName = Node12_heavyCommandCenters</t>
  </si>
  <si>
    <t>icon = ETTR/UI/CTT/ctt_icon_heavyCommandCenters</t>
  </si>
  <si>
    <t>pos = -1484, 1595, -2</t>
  </si>
  <si>
    <t>id = specializedCommandCenters</t>
  </si>
  <si>
    <t>description = #LOC_CTT_specializedCommandCenters_description</t>
  </si>
  <si>
    <t>nodeName = Node15_specializedCommandCenters</t>
  </si>
  <si>
    <t>icon = ETTR/UI/CTT/ctt_icon_specializedCommandCenters</t>
  </si>
  <si>
    <t>pos = -1406, 1595, -2</t>
  </si>
  <si>
    <t>id = heavyLanders</t>
  </si>
  <si>
    <t>title = #LOC_ETT_heavyLanders_title</t>
  </si>
  <si>
    <t>description = #LOC_ETT_heavyLanders_description</t>
  </si>
  <si>
    <t>nodeName = Node7_heavyLanders</t>
  </si>
  <si>
    <t>icon = ETTR/UI/CTT/ctt_icon_heavyLanders</t>
  </si>
  <si>
    <t>pos = -1641, 1481, -2</t>
  </si>
  <si>
    <t>id = specializedLanders</t>
  </si>
  <si>
    <t>description = #LOC_CTT_specializedLanders_description</t>
  </si>
  <si>
    <t>nodeName = Node7_specializedLanders</t>
  </si>
  <si>
    <t>icon = ETTR/UI/CTT/ctt_icon_specializedLanders</t>
  </si>
  <si>
    <t>pos = -1563, 1481, -2</t>
  </si>
  <si>
    <t>id = logistics</t>
  </si>
  <si>
    <t>title = #LOC_ETT_logistics_title</t>
  </si>
  <si>
    <t>description = #LOC_ETT_logistics_description</t>
  </si>
  <si>
    <t>nodeName = Node8_logistics</t>
  </si>
  <si>
    <t>icon = ETTR/UI/CTT/ctt_icon_logistics</t>
  </si>
  <si>
    <t>pos = -1484, 1481, -2</t>
  </si>
  <si>
    <t>id = advLogistics</t>
  </si>
  <si>
    <t>description = #LOC_CTT_advLogistics_description</t>
  </si>
  <si>
    <t>nodeName = Node10_advLogistics</t>
  </si>
  <si>
    <t>icon = ETTR/UI/CTT/ctt_icon_advancedLogistics</t>
  </si>
  <si>
    <t>pos = -1406, 1481, -2</t>
  </si>
  <si>
    <t>id = giganticRocketry</t>
  </si>
  <si>
    <t>title = #LOC_ETT_giganticRocketry_title</t>
  </si>
  <si>
    <t>description = #LOC_ETT_giganticRocketry_description</t>
  </si>
  <si>
    <t>nodeName = Node12_giganticRocketry</t>
  </si>
  <si>
    <t>icon = ETTR/UI/CTT/ctt_icon_giganticRocketry</t>
  </si>
  <si>
    <t>pos = -3050, 1709, -2</t>
  </si>
  <si>
    <t>id = colossalRocketry</t>
  </si>
  <si>
    <t>description = #LOC_CTT_colossalRocketry_description</t>
  </si>
  <si>
    <t>nodeName = Node14_colossalRocketry</t>
  </si>
  <si>
    <t>icon = ETTR/UI/CTT/ctt_icon_colossalRocketry</t>
  </si>
  <si>
    <t>pos = -3129, 1785, -2</t>
  </si>
  <si>
    <t>id = experimentalRocketry</t>
  </si>
  <si>
    <t>description = #LOC_CTT_experimentalRocketry_description</t>
  </si>
  <si>
    <t>nodeName = Node14_experimentalRocketry</t>
  </si>
  <si>
    <t>icon = ETTR/UI/CTT/RDicon_rocketry-experimental</t>
  </si>
  <si>
    <t>pos = -2737, 873, -2</t>
  </si>
  <si>
    <t>id = specializedFuelStorage</t>
  </si>
  <si>
    <t>title = #LOC_ETT_specializedFuelStorage_title</t>
  </si>
  <si>
    <t>description = #LOC_ETT_specializedFuelStorage_description</t>
  </si>
  <si>
    <t>nodeName = Node9_specializedFuelStorage</t>
  </si>
  <si>
    <t>icon = ETTR/UI/CTT/ctt_icon_specializedFuelStorage</t>
  </si>
  <si>
    <t>pos = -2816, 873, -2</t>
  </si>
  <si>
    <t>id = extremeFuelStorage</t>
  </si>
  <si>
    <t>title = #LOC_ETT_extremeFuelStorage_title</t>
  </si>
  <si>
    <t>description = #LOC_ETT_extremeFuelStorage_description</t>
  </si>
  <si>
    <t>nodeName = Node12_extremeFuelStorage</t>
  </si>
  <si>
    <t>icon = ETTR/UI/CTT/ctt_icon_exoticFuelStorage</t>
  </si>
  <si>
    <t>pos = -2894, 873, -2</t>
  </si>
  <si>
    <t>id = exoticFuelStorage</t>
  </si>
  <si>
    <t>title = #LOC_ETT_exoticFuelStorage_title</t>
  </si>
  <si>
    <t>description = #LOC_ETT_exoticFuelStorage_description</t>
  </si>
  <si>
    <t>nodeName = Node15_exoticFuelStorage</t>
  </si>
  <si>
    <t>pos = -2972, 873, -2</t>
  </si>
  <si>
    <t>id = advOffworldMining</t>
  </si>
  <si>
    <t>title = #LOC_ETT_advOffworldMining_title</t>
  </si>
  <si>
    <t>description = #LOC_ETT_advOffworldMining_description</t>
  </si>
  <si>
    <t>nodeName = Node10_advOffworldMining</t>
  </si>
  <si>
    <t>icon = ETTR/UI/CTT/RDicon_fuelSystems-advanced</t>
  </si>
  <si>
    <t>pos = -2816, 949, -2</t>
  </si>
  <si>
    <t>id = resourceExploitation</t>
  </si>
  <si>
    <t>description = #LOC_CTT_resourceExploitation_description</t>
  </si>
  <si>
    <t>nodeName = Node13_resourceExploitation</t>
  </si>
  <si>
    <t>pos = -2894, 949, -2</t>
  </si>
  <si>
    <t>id = microwavePowerTransmission</t>
  </si>
  <si>
    <t>title = #LOC_ETT_microwavePowerTransmission_title</t>
  </si>
  <si>
    <t>description = #LOC_ETT_microwavePowerTransmission_description</t>
  </si>
  <si>
    <t>nodeName = Node11_microwavePowerTransmission</t>
  </si>
  <si>
    <t>icon = ETTR/UI/CTT/ctt_icon_microwavePower</t>
  </si>
  <si>
    <t>pos = -1954, 265, -2</t>
  </si>
  <si>
    <t>id = highTechElectricalSystems</t>
  </si>
  <si>
    <t>title = #LOC_ETT_highTechElectricalSystems_title</t>
  </si>
  <si>
    <t>description = #LOC_ETT_highTechElectricalSystems_description</t>
  </si>
  <si>
    <t>nodeName = Node11_highTechElectricalSystems</t>
  </si>
  <si>
    <t>icon = ETTR/UI/CTT/ctt_icon_highTechElectricalSystems</t>
  </si>
  <si>
    <t>pos = -2189, 493, -2</t>
  </si>
  <si>
    <t>id = highPowerElectricalSystems</t>
  </si>
  <si>
    <t>description = #LOC_CTT_highPowerElectricalSystems_description</t>
  </si>
  <si>
    <t>nodeName = Node13_highPowerElectricalSystems</t>
  </si>
  <si>
    <t>icon = ETTR/UI/CTT/ctt_icon_highPowerElectricalSystems</t>
  </si>
  <si>
    <t>pos = -2189, 417, -2</t>
  </si>
  <si>
    <t>id = experimentalElectricalSystems</t>
  </si>
  <si>
    <t>description = #LOC_CTT_experimentalElectricalSystems_description</t>
  </si>
  <si>
    <t>nodeName = Node16_experimentalElectricalSystems</t>
  </si>
  <si>
    <t>icon = ETTR/UI/CTT/ctt_icon_expElectricalSystems</t>
  </si>
  <si>
    <t>pos = -2189, 341, -2</t>
  </si>
  <si>
    <t>id = exoticElectricalSystems</t>
  </si>
  <si>
    <t>description = #LOC_CTT_exoticElectricalSystems_description</t>
  </si>
  <si>
    <t>nodeName = Node18_exoticElectricalSystems</t>
  </si>
  <si>
    <t>icon = ETTR/UI/CTT/ctt_icon_exoticElectricalSystems</t>
  </si>
  <si>
    <t>pos = -2189, 265, -2</t>
  </si>
  <si>
    <t>id = advIonPropulsion</t>
  </si>
  <si>
    <t>description = #LOC_CTT_advIonPropulsion_description</t>
  </si>
  <si>
    <t>nodeName = Node8_advIonPropulsion</t>
  </si>
  <si>
    <t>icon = ETTR/UI/CTT/ctt_icon_advancedIonPropulsion</t>
  </si>
  <si>
    <t>pos = -2111, 417, -2</t>
  </si>
  <si>
    <t>id = advGriddedThrusters</t>
  </si>
  <si>
    <t>description = #LOC_CTT_advGriddedThrusters_description</t>
  </si>
  <si>
    <t>nodeName = Node9_advGriddedThrusters</t>
  </si>
  <si>
    <t>icon = ETTR/UI/CTT/ctt_icon_advancedElectrostaticPropulsion</t>
  </si>
  <si>
    <t>pos = -2111, 341, -2</t>
  </si>
  <si>
    <t>id = expGriddedThrusters</t>
  </si>
  <si>
    <t>description = #LOC_CTT_expGriddedThrusters_description</t>
  </si>
  <si>
    <t>nodeName = Node10_expGriddedThrusters</t>
  </si>
  <si>
    <t>icon = ETTR/UI/CTT/ctt_icon_experimentalElectrostaticPropulsion</t>
  </si>
  <si>
    <t>pos = -2111, 265, -2</t>
  </si>
  <si>
    <t>id = advSolarTech</t>
  </si>
  <si>
    <t>title = #LOC_ETT_advSolarTech_title</t>
  </si>
  <si>
    <t>description = #LOC_ETT_advSolarTech_description</t>
  </si>
  <si>
    <t>nodeName = Node5_advSolarTech</t>
  </si>
  <si>
    <t>icon = ETTR/UI/CTT/ctt_icon_advSolarTech</t>
  </si>
  <si>
    <t>pos = -2267, 645, -2</t>
  </si>
  <si>
    <t>id = advPVMaterials</t>
  </si>
  <si>
    <t>description = #LOC_CTT_advPVMaterials_description</t>
  </si>
  <si>
    <t>nodeName = Node5_advPVMaterials</t>
  </si>
  <si>
    <t>icon = ETTR/UI/CTT/ctt_icon_advPVMaterials</t>
  </si>
  <si>
    <t>pos = -2267, 569, -2</t>
  </si>
  <si>
    <t>id = cuttingEdgeSolarTech</t>
  </si>
  <si>
    <t>title = #LOC_ETT_cuttingEdgeSolarTech_title</t>
  </si>
  <si>
    <t>description = #LOC_ETT_cuttingEdgeSolarTech_description</t>
  </si>
  <si>
    <t>nodeName = Node6_cuttingEdgeSolarTech</t>
  </si>
  <si>
    <t>icon = ETTR/UI/CTT/ctt_icon_cuttingEdgeSolar</t>
  </si>
  <si>
    <t>pos = -2267, 493, -2</t>
  </si>
  <si>
    <t>id = exoticSolarTech</t>
  </si>
  <si>
    <t>title = #LOC_ETT_exoticSolarTech_title</t>
  </si>
  <si>
    <t>description = #LOC_ETT_exoticSolarTech_description</t>
  </si>
  <si>
    <t>nodeName = Node8_exoticSolarTech</t>
  </si>
  <si>
    <t>icon = ETTR/UI/CTT/ctt_icon_exoticSolarTech</t>
  </si>
  <si>
    <t>pos = -2267, 341, -2</t>
  </si>
  <si>
    <t>id = plasmaPropulsion</t>
  </si>
  <si>
    <t>description = #LOC_CTT_plasmaPropulsion_description</t>
  </si>
  <si>
    <t>nodeName = Node9_plasmaPropulsion</t>
  </si>
  <si>
    <t>icon = ETTR/UI/CTT/ctt_icon_plasmaPropulsion</t>
  </si>
  <si>
    <t>pos = -2033, 417, -2</t>
  </si>
  <si>
    <t>id = advEMSystems</t>
  </si>
  <si>
    <t>description = #LOC_CTT_advEMSystems_description</t>
  </si>
  <si>
    <t>nodeName = Node11_advEMSystems</t>
  </si>
  <si>
    <t>icon = ETTR/UI/CTT/ctt_icon_advancedPlasmaPropulsion</t>
  </si>
  <si>
    <t>pos = -2033, 341, -2</t>
  </si>
  <si>
    <t>id = specializedPlasmaGeneration</t>
  </si>
  <si>
    <t>description = #LOC_CTT_specializedPlasmaGeneration_description</t>
  </si>
  <si>
    <t>nodeName = Node13_specializedPlasmaGeneration</t>
  </si>
  <si>
    <t>icon = ETTR/UI/CTT/ctt_icon_specializedPlasmaPropulsion</t>
  </si>
  <si>
    <t>pos = -2033, 265, -2</t>
  </si>
  <si>
    <t>id = exoticPlasmaPropulsion</t>
  </si>
  <si>
    <t>description = #LOC_CTT_exoticPlasmaPropulsion_description</t>
  </si>
  <si>
    <t>nodeName = Node16_exoticPlasmaPropulsion</t>
  </si>
  <si>
    <t>pos = -2033, 189, -2</t>
  </si>
  <si>
    <t>id = recycling</t>
  </si>
  <si>
    <t>title = #LOC_ETT_recycling_title</t>
  </si>
  <si>
    <t>description = #LOC_ETT_recycling_description</t>
  </si>
  <si>
    <t>nodeName = Node8_recycling</t>
  </si>
  <si>
    <t>icon = ETTR/UI/CTT/ctt_icon_recycling</t>
  </si>
  <si>
    <t>pos = -1641, 569, -2</t>
  </si>
  <si>
    <t>id = hydroponics</t>
  </si>
  <si>
    <t>description = #LOC_CTT_hydroponics_description</t>
  </si>
  <si>
    <t>nodeName = Node10_hydroponics</t>
  </si>
  <si>
    <t>icon = ETTR/UI/CTT/ctt_icon_hydroponics</t>
  </si>
  <si>
    <t>pos = -1563, 569, -2</t>
  </si>
  <si>
    <t>id = longTermScienceTech</t>
  </si>
  <si>
    <t>title = #LOC_ETT_longTermScienceTech_title</t>
  </si>
  <si>
    <t>description = #LOC_ETT_longTermScienceTech_description</t>
  </si>
  <si>
    <t>nodeName = Node8_longTermScienceTech</t>
  </si>
  <si>
    <t>icon = ETTR/UI/CTT/RDicon_telescope</t>
  </si>
  <si>
    <t>pos = -1798, 569, -2</t>
  </si>
  <si>
    <t>id = scientificOutposts</t>
  </si>
  <si>
    <t>description = #LOC_CTT_scientificOutposts_description</t>
  </si>
  <si>
    <t>nodeName = Node11_scientificOutposts</t>
  </si>
  <si>
    <t>icon = ETTR/UI/CTT/ctt_icon_scientificOutposts</t>
  </si>
  <si>
    <t>pos = -1719, 569, -2</t>
  </si>
  <si>
    <t>id = specializedScienceTech</t>
  </si>
  <si>
    <t>title = #LOC_ETT_specializedScienceTech_title</t>
  </si>
  <si>
    <t>description = #LOC_ETT_specializedScienceTech_description</t>
  </si>
  <si>
    <t>nodeName = Node6_specializedScienceTech</t>
  </si>
  <si>
    <t>icon = ETTR/UI/CTT/ctt_icon_specializedScienceTech</t>
  </si>
  <si>
    <t>pos = -1876, 493, -2</t>
  </si>
  <si>
    <t>id = highEnergyScience</t>
  </si>
  <si>
    <t>title = #LOC_ETT_highEnergyScience_title</t>
  </si>
  <si>
    <t>description = #LOC_ETT_highEnergyScience_description</t>
  </si>
  <si>
    <t>nodeName = Node8_highEnergyScience</t>
  </si>
  <si>
    <t>pos = -1876, 417, -2</t>
  </si>
  <si>
    <t>id = appliedHighEnergyPhysics</t>
  </si>
  <si>
    <t>title = #LOC_ETT_appliedHighEnergyPhysics_title</t>
  </si>
  <si>
    <t>description = #LOC_ETT_appliedHighEnergyPhysics_description</t>
  </si>
  <si>
    <t>nodeName = Node12_appliedHighEnergyPhysics</t>
  </si>
  <si>
    <t>pos = -1798, 341, -2</t>
  </si>
  <si>
    <t>title = #LOC_CTT_advActuators_title</t>
  </si>
  <si>
    <t>title = #LOC_CTT_advAerospaceEngineering_title</t>
  </si>
  <si>
    <t>title = #LOC_CTT_advColonization_title</t>
  </si>
  <si>
    <t>title = #LOC_CTT_advGriddedThrusters_title</t>
  </si>
  <si>
    <t>title = #LOC_CTT_advHeatManagement_title</t>
  </si>
  <si>
    <t>title = #LOC_CTT_advIonPropulsion_title</t>
  </si>
  <si>
    <t>title = #LOC_CTT_advLogistics_title</t>
  </si>
  <si>
    <t>title = #LOC_CTT_advPVMaterials_title</t>
  </si>
  <si>
    <t>title = #LOC_CTT_advEMSystems_title</t>
  </si>
  <si>
    <t>title = #LOC_CTT_aerospaceComposites_title</t>
  </si>
  <si>
    <t>title = #LOC_CTT_colonization_title</t>
  </si>
  <si>
    <t>title = #LOC_CTT_colossalRocketry_title</t>
  </si>
  <si>
    <t>title = #LOC_CTT_enhancedSurvivability_title</t>
  </si>
  <si>
    <t>title = #LOC_CTT_exoticAlloys_title</t>
  </si>
  <si>
    <t>title = #LOC_CTT_exoticElectricalSystems_title</t>
  </si>
  <si>
    <t>title = #LOC_CTT_exoticNuclearPower_title</t>
  </si>
  <si>
    <t>title = #LOC_CTT_exoticNuclearPropulsion_title</t>
  </si>
  <si>
    <t>title = #LOC_CTT_exoticPlasmaPropulsion_title</t>
  </si>
  <si>
    <t>title = #LOC_CTT_exoticRadiators_title</t>
  </si>
  <si>
    <t>title = #LOC_CTT_experimentalActuators_title</t>
  </si>
  <si>
    <t>title = #LOC_CTT_experimentalElectricalSystems_title</t>
  </si>
  <si>
    <t>title = #LOC_CTT_expGriddedThrusters_title</t>
  </si>
  <si>
    <t>title = #LOC_CTT_expNuclearPower_title</t>
  </si>
  <si>
    <t>title = #LOC_CTT_expNuclearPropulsion_title</t>
  </si>
  <si>
    <t>title = #LOC_CTT_experimentalRocketry_title</t>
  </si>
  <si>
    <t>title = #LOC_CTT_fusionPower_title</t>
  </si>
  <si>
    <t>title = #LOC_CTT_fusionRockets_title</t>
  </si>
  <si>
    <t>title = #LOC_CTT_heatManagementSystems_title</t>
  </si>
  <si>
    <t>title = #LOC_CTT_heavyCommandCenters_title</t>
  </si>
  <si>
    <t>title = #LOC_CTT_heavyCommandModules_title</t>
  </si>
  <si>
    <t>title = #LOC_CTT_advNuclearPower_title</t>
  </si>
  <si>
    <t>title = #LOC_CTT_highPowerElectricalSystems_title</t>
  </si>
  <si>
    <t>title = #LOC_CTT_hydroponics_title</t>
  </si>
  <si>
    <t>title = #LOC_CTT_largeNuclearPower_title</t>
  </si>
  <si>
    <t>title = #LOC_CTT_improvedNuclearPropulsion_title</t>
  </si>
  <si>
    <t>title = #LOC_CTT_mechatronics_title</t>
  </si>
  <si>
    <t>title = #LOC_CTT_nuclearFuelSystems_title</t>
  </si>
  <si>
    <t>title = #LOC_CTT_orbitalAssembly_title</t>
  </si>
  <si>
    <t>title = #LOC_CTT_orbitalMegastructures_title</t>
  </si>
  <si>
    <t>title = #LOC_CTT_specializedFlightSystems_title</t>
  </si>
  <si>
    <t>title = #LOC_CTT_specializedRadiators_title</t>
  </si>
  <si>
    <t>title = #LOC_CTT_unifiedFieldTheory_title</t>
  </si>
  <si>
    <t>title = #LOC_CTT_ultraHighEnergyPhysics_title</t>
  </si>
  <si>
    <t>title = #LOC_CTT_simpleCommandModules_title</t>
  </si>
  <si>
    <t>title = #LOC_CTT_specializedCommandModules_title</t>
  </si>
  <si>
    <t>title = #LOC_CTT_specializedCommandCenters_title</t>
  </si>
  <si>
    <t>title = #LOC_CTT_specializedLanders_title</t>
  </si>
  <si>
    <t>title = #LOC_CTT_resourceExploitation_title</t>
  </si>
  <si>
    <t>title = #LOC_CTT_plasmaPropulsion_title</t>
  </si>
  <si>
    <t>title = #LOC_CTT_specializedPlasmaGeneration_title</t>
  </si>
  <si>
    <t>title = #LOC_CTT_scientificOutposts_title</t>
  </si>
  <si>
    <t>parentID = artificialIntelligence</t>
  </si>
  <si>
    <t>pos = -2111, 569, -2</t>
  </si>
  <si>
    <t>parentID = bouyancy</t>
  </si>
  <si>
    <t>parentID = advBouyancy</t>
  </si>
  <si>
    <t>parentID = propellerEngines</t>
  </si>
  <si>
    <t>parentID = largePropellerEngines</t>
  </si>
  <si>
    <t>parentID = turbojetEngines</t>
  </si>
  <si>
    <t>parentID = advPropellerEngines</t>
  </si>
  <si>
    <t>parentID = turboshaftEngines</t>
  </si>
  <si>
    <t>cost = 75</t>
  </si>
  <si>
    <t>parentID = turbofanEngines</t>
  </si>
  <si>
    <t>parentID = efficientFlightSystems</t>
  </si>
  <si>
    <t>parentID = advTurbofanEngines</t>
  </si>
  <si>
    <t>parentID = ablativeMaterials</t>
  </si>
  <si>
    <t>parentID = advAblativeMaterials</t>
  </si>
  <si>
    <t>pos = -2346, 1481, -2</t>
  </si>
  <si>
    <t>pos = -2424, 1557, -2</t>
  </si>
  <si>
    <t>pos = -2424, 1633, -2</t>
  </si>
  <si>
    <t>pos = -2424, 1709, -2</t>
  </si>
  <si>
    <t>pos = -2424, 1785, -2</t>
  </si>
  <si>
    <t>pos = -2424, 1861, -2</t>
  </si>
  <si>
    <t>pos = -2189, 1177, -2</t>
  </si>
  <si>
    <t>pos = -2189, 1253, -2</t>
  </si>
  <si>
    <t>pos = -2189, 1329, -2</t>
  </si>
  <si>
    <t>pos = -2189, 1405, -2</t>
  </si>
  <si>
    <t>Mix a little of the white stuff into the blue liquid, stir and…….*BOOM!*</t>
  </si>
  <si>
    <t>I wonder what happens if I put these wires on Bill's tongue?</t>
  </si>
  <si>
    <t>@TechTree:AFTER[Squad]</t>
  </si>
  <si>
    <t>parentID = specializedConstruction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</si>
</sst>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0.000000"/>
    <numFmt numFmtId="165" formatCode="0.0"/>
  </numFmts>
  <fonts count="6" x14ac:knownFonts="1">
    <font>
      <sz val="11"/>
      <color theme="1"/>
      <name val="Calibri"/>
      <family val="2"/>
      <scheme val="minor"/>
    </font>
    <font>
      <sz val="11"/>
      <name val="Calibri"/>
      <family val="2"/>
      <scheme val="minor"/>
    </font>
    <font>
      <sz val="6"/>
      <color theme="1"/>
      <name val="Calibri"/>
      <family val="2"/>
      <scheme val="minor"/>
    </font>
    <font>
      <b/>
      <sz val="11"/>
      <color theme="1"/>
      <name val="Calibri"/>
      <family val="2"/>
      <scheme val="minor"/>
    </font>
    <font>
      <sz val="10"/>
      <color theme="1"/>
      <name val="Calibri"/>
      <family val="2"/>
      <scheme val="minor"/>
    </font>
    <font>
      <sz val="9"/>
      <color theme="1"/>
      <name val="Calibri"/>
      <family val="2"/>
      <scheme val="minor"/>
    </font>
  </fonts>
  <fills count="2">
    <fill>
      <patternFill patternType="none"/>
    </fill>
    <fill>
      <patternFill patternType="gray125"/>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s>
  <cellStyleXfs count="1">
    <xf numFmtId="0" fontId="0" fillId="0" borderId="0"/>
  </cellStyleXfs>
  <cellXfs count="74">
    <xf numFmtId="0" fontId="0" fillId="0" borderId="0" xfId="0"/>
    <xf numFmtId="0" fontId="0" fillId="0" borderId="0" xfId="0" applyNumberFormat="1" applyAlignment="1">
      <alignment horizontal="right"/>
    </xf>
    <xf numFmtId="0" fontId="0" fillId="0" borderId="0" xfId="0" applyAlignment="1">
      <alignment horizontal="center"/>
    </xf>
    <xf numFmtId="0" fontId="0" fillId="0" borderId="0" xfId="0" applyAlignment="1">
      <alignment horizontal="right"/>
    </xf>
    <xf numFmtId="0" fontId="0" fillId="0" borderId="0" xfId="0" applyNumberFormat="1" applyFont="1" applyAlignment="1">
      <alignment horizontal="right"/>
    </xf>
    <xf numFmtId="0" fontId="0" fillId="0" borderId="0" xfId="0" applyFont="1"/>
    <xf numFmtId="0" fontId="0" fillId="0" borderId="1" xfId="0" applyBorder="1"/>
    <xf numFmtId="0" fontId="0" fillId="0" borderId="0" xfId="0" applyBorder="1"/>
    <xf numFmtId="0" fontId="0" fillId="0" borderId="0" xfId="0" applyAlignment="1">
      <alignment horizontal="center"/>
    </xf>
    <xf numFmtId="0" fontId="0" fillId="0" borderId="1" xfId="0" applyBorder="1"/>
    <xf numFmtId="0" fontId="0" fillId="0" borderId="0" xfId="0"/>
    <xf numFmtId="0" fontId="0" fillId="0" borderId="0" xfId="0" applyAlignment="1"/>
    <xf numFmtId="0" fontId="0" fillId="0" borderId="1" xfId="0" applyBorder="1"/>
    <xf numFmtId="0" fontId="0" fillId="0" borderId="0" xfId="0"/>
    <xf numFmtId="0" fontId="0" fillId="0" borderId="1" xfId="0" applyBorder="1"/>
    <xf numFmtId="0" fontId="0" fillId="0" borderId="1" xfId="0" applyBorder="1"/>
    <xf numFmtId="0" fontId="0" fillId="0" borderId="1" xfId="0" applyBorder="1" applyAlignment="1"/>
    <xf numFmtId="0" fontId="0" fillId="0" borderId="0" xfId="0" applyBorder="1" applyAlignment="1"/>
    <xf numFmtId="0" fontId="0" fillId="0" borderId="0" xfId="0" applyBorder="1" applyAlignment="1">
      <alignment horizontal="center"/>
    </xf>
    <xf numFmtId="0" fontId="0" fillId="0" borderId="0" xfId="0"/>
    <xf numFmtId="0" fontId="0" fillId="0" borderId="0" xfId="0"/>
    <xf numFmtId="0" fontId="0" fillId="0" borderId="1" xfId="0" applyBorder="1"/>
    <xf numFmtId="0" fontId="0" fillId="0" borderId="1" xfId="0" applyBorder="1" applyAlignment="1"/>
    <xf numFmtId="0" fontId="0" fillId="0" borderId="0" xfId="0" applyFill="1" applyBorder="1"/>
    <xf numFmtId="0" fontId="0" fillId="0" borderId="1" xfId="0" applyFill="1" applyBorder="1"/>
    <xf numFmtId="0" fontId="0" fillId="0" borderId="1" xfId="0" applyBorder="1" applyAlignment="1">
      <alignment horizontal="center"/>
    </xf>
    <xf numFmtId="0" fontId="0" fillId="0" borderId="0" xfId="0" applyBorder="1" applyAlignment="1">
      <alignment horizontal="left"/>
    </xf>
    <xf numFmtId="0" fontId="0" fillId="0" borderId="0" xfId="0" quotePrefix="1" applyBorder="1"/>
    <xf numFmtId="0" fontId="0" fillId="0" borderId="0" xfId="0" quotePrefix="1" applyFill="1" applyBorder="1"/>
    <xf numFmtId="0" fontId="0" fillId="0" borderId="0" xfId="0" quotePrefix="1"/>
    <xf numFmtId="0" fontId="0" fillId="0" borderId="0" xfId="0" applyFill="1" applyBorder="1" applyAlignment="1"/>
    <xf numFmtId="0" fontId="3" fillId="0" borderId="2" xfId="0" applyFont="1" applyBorder="1" applyAlignment="1">
      <alignment horizontal="center"/>
    </xf>
    <xf numFmtId="0" fontId="0" fillId="0" borderId="0" xfId="0" applyAlignment="1">
      <alignment horizontal="left"/>
    </xf>
    <xf numFmtId="0" fontId="0" fillId="0" borderId="6" xfId="0" applyBorder="1"/>
    <xf numFmtId="0" fontId="0" fillId="0" borderId="9" xfId="0" applyBorder="1"/>
    <xf numFmtId="0" fontId="0" fillId="0" borderId="12" xfId="0" applyBorder="1" applyAlignment="1">
      <alignment horizontal="center"/>
    </xf>
    <xf numFmtId="0" fontId="0" fillId="0" borderId="14" xfId="0" applyBorder="1" applyAlignment="1">
      <alignment horizontal="center"/>
    </xf>
    <xf numFmtId="0" fontId="0" fillId="0" borderId="16" xfId="0" applyBorder="1" applyAlignment="1">
      <alignment horizontal="center"/>
    </xf>
    <xf numFmtId="0" fontId="0" fillId="0" borderId="17" xfId="0" applyBorder="1" applyAlignment="1">
      <alignment horizontal="center"/>
    </xf>
    <xf numFmtId="0" fontId="0" fillId="0" borderId="4" xfId="0" applyBorder="1" applyAlignment="1">
      <alignment horizontal="center" vertical="center"/>
    </xf>
    <xf numFmtId="0" fontId="0" fillId="0" borderId="5" xfId="0" applyBorder="1" applyAlignment="1">
      <alignment horizontal="center" vertical="center"/>
    </xf>
    <xf numFmtId="165" fontId="0" fillId="0" borderId="0" xfId="0" applyNumberFormat="1" applyBorder="1" applyAlignment="1">
      <alignment horizontal="center"/>
    </xf>
    <xf numFmtId="165" fontId="0" fillId="0" borderId="10" xfId="0" applyNumberFormat="1" applyBorder="1" applyAlignment="1">
      <alignment horizontal="center"/>
    </xf>
    <xf numFmtId="1" fontId="0" fillId="0" borderId="7" xfId="0" applyNumberFormat="1" applyBorder="1" applyAlignment="1">
      <alignment horizontal="center"/>
    </xf>
    <xf numFmtId="1" fontId="0" fillId="0" borderId="8" xfId="0" applyNumberFormat="1" applyBorder="1" applyAlignment="1">
      <alignment horizontal="center"/>
    </xf>
    <xf numFmtId="0" fontId="0" fillId="0" borderId="1" xfId="0" applyBorder="1"/>
    <xf numFmtId="0" fontId="0" fillId="0" borderId="1" xfId="0" applyBorder="1"/>
    <xf numFmtId="0" fontId="0" fillId="0" borderId="0" xfId="0"/>
    <xf numFmtId="0" fontId="0" fillId="0" borderId="0" xfId="0" applyNumberFormat="1" applyAlignment="1">
      <alignment horizontal="right"/>
    </xf>
    <xf numFmtId="0" fontId="0" fillId="0" borderId="0" xfId="0" applyAlignment="1">
      <alignment horizontal="center"/>
    </xf>
    <xf numFmtId="0" fontId="0" fillId="0" borderId="0" xfId="0" applyAlignment="1">
      <alignment horizontal="right"/>
    </xf>
    <xf numFmtId="0" fontId="0" fillId="0" borderId="0" xfId="0" applyNumberFormat="1" applyFont="1" applyAlignment="1">
      <alignment horizontal="right"/>
    </xf>
    <xf numFmtId="0" fontId="2" fillId="0" borderId="0" xfId="0" applyFont="1" applyAlignment="1">
      <alignment horizontal="center" vertical="center"/>
    </xf>
    <xf numFmtId="0" fontId="0" fillId="0" borderId="16" xfId="0" applyBorder="1" applyAlignment="1">
      <alignment horizontal="center" vertical="center"/>
    </xf>
    <xf numFmtId="165" fontId="4" fillId="0" borderId="0" xfId="0" applyNumberFormat="1" applyFont="1"/>
    <xf numFmtId="165" fontId="5" fillId="0" borderId="0" xfId="0" applyNumberFormat="1" applyFont="1"/>
    <xf numFmtId="0" fontId="5" fillId="0" borderId="0" xfId="0" applyFont="1"/>
    <xf numFmtId="0" fontId="3" fillId="0" borderId="3" xfId="0" applyFont="1" applyBorder="1" applyAlignment="1">
      <alignment horizontal="center"/>
    </xf>
    <xf numFmtId="0" fontId="0" fillId="0" borderId="1" xfId="0" applyBorder="1"/>
    <xf numFmtId="0" fontId="0" fillId="0" borderId="0" xfId="0"/>
    <xf numFmtId="0" fontId="0" fillId="0" borderId="1" xfId="0" applyBorder="1"/>
    <xf numFmtId="0" fontId="0" fillId="0" borderId="2" xfId="0" applyBorder="1" applyAlignment="1">
      <alignment horizontal="center"/>
    </xf>
    <xf numFmtId="0" fontId="0" fillId="0" borderId="3" xfId="0" applyBorder="1" applyAlignment="1">
      <alignment horizontal="center"/>
    </xf>
    <xf numFmtId="0" fontId="0" fillId="0" borderId="1" xfId="0" applyBorder="1"/>
    <xf numFmtId="0" fontId="0" fillId="0" borderId="0" xfId="0" applyBorder="1"/>
    <xf numFmtId="0" fontId="0" fillId="0" borderId="1" xfId="0" applyBorder="1" applyAlignment="1"/>
    <xf numFmtId="0" fontId="0" fillId="0" borderId="1" xfId="0" applyBorder="1" applyAlignment="1">
      <alignment horizontal="left"/>
    </xf>
    <xf numFmtId="0" fontId="0" fillId="0" borderId="2" xfId="0" applyBorder="1"/>
    <xf numFmtId="0" fontId="1" fillId="0" borderId="1" xfId="0" applyFont="1" applyBorder="1" applyAlignment="1">
      <alignment vertical="center"/>
    </xf>
    <xf numFmtId="0" fontId="0" fillId="0" borderId="11" xfId="0" applyBorder="1" applyAlignment="1">
      <alignment horizontal="center" vertical="center"/>
    </xf>
    <xf numFmtId="0" fontId="0" fillId="0" borderId="13" xfId="0" applyBorder="1" applyAlignment="1">
      <alignment horizontal="center" vertical="center"/>
    </xf>
    <xf numFmtId="0" fontId="0" fillId="0" borderId="15" xfId="0" applyBorder="1" applyAlignment="1">
      <alignment horizontal="center" vertical="center"/>
    </xf>
    <xf numFmtId="0" fontId="0" fillId="0" borderId="0" xfId="0" applyBorder="1" applyAlignment="1">
      <alignment horizontal="center" vertical="center"/>
    </xf>
    <xf numFmtId="164" fontId="0" fillId="0" borderId="0" xfId="0" applyNumberFormat="1" applyAlignment="1">
      <alignment horizontal="center"/>
    </xf>
  </cellXfs>
  <cellStyles count="1">
    <cellStyle name="Normal" xfId="0" builtinId="0"/>
  </cellStyles>
  <dxfs count="4">
    <dxf>
      <font>
        <b/>
        <i val="0"/>
      </font>
      <fill>
        <patternFill>
          <bgColor rgb="FFFF0000"/>
        </patternFill>
      </fill>
    </dxf>
    <dxf>
      <font>
        <b/>
        <i val="0"/>
      </font>
      <fill>
        <patternFill>
          <bgColor rgb="FFFF0000"/>
        </patternFill>
      </fill>
    </dxf>
    <dxf>
      <font>
        <b/>
        <i val="0"/>
        <color theme="1" tint="4.9989318521683403E-2"/>
      </font>
      <fill>
        <patternFill>
          <bgColor rgb="FFFF0000"/>
        </patternFill>
      </fill>
    </dxf>
    <dxf>
      <font>
        <b/>
        <i val="0"/>
        <color theme="1" tint="4.9989318521683403E-2"/>
      </font>
      <fill>
        <patternFill>
          <bgColor rgb="FFFF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0</xdr:col>
      <xdr:colOff>27215</xdr:colOff>
      <xdr:row>0</xdr:row>
      <xdr:rowOff>13607</xdr:rowOff>
    </xdr:from>
    <xdr:to>
      <xdr:col>0</xdr:col>
      <xdr:colOff>2122715</xdr:colOff>
      <xdr:row>0</xdr:row>
      <xdr:rowOff>163286</xdr:rowOff>
    </xdr:to>
    <xdr:sp macro="[0]!autofill" textlink="">
      <xdr:nvSpPr>
        <xdr:cNvPr id="2" name="Rectangle 1"/>
        <xdr:cNvSpPr/>
      </xdr:nvSpPr>
      <xdr:spPr>
        <a:xfrm>
          <a:off x="27215" y="13607"/>
          <a:ext cx="2095500" cy="149679"/>
        </a:xfrm>
        <a:prstGeom prst="rect">
          <a:avLst/>
        </a:prstGeom>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ctr"/>
          <a:r>
            <a:rPr lang="en-US" sz="1100"/>
            <a:t>Build Tech Tree</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CY162"/>
  <sheetViews>
    <sheetView topLeftCell="AS54" zoomScale="55" zoomScaleNormal="55" zoomScaleSheetLayoutView="55" workbookViewId="0">
      <selection activeCell="BA50" sqref="BA50"/>
    </sheetView>
  </sheetViews>
  <sheetFormatPr defaultRowHeight="15" x14ac:dyDescent="0.25"/>
  <cols>
    <col min="1" max="1" width="9.140625" style="20"/>
    <col min="2" max="2" width="30.7109375" customWidth="1"/>
    <col min="3" max="3" width="30.7109375" style="47" customWidth="1"/>
    <col min="4" max="4" width="10.7109375" customWidth="1"/>
    <col min="5" max="5" width="30.7109375" style="47" customWidth="1"/>
    <col min="6" max="6" width="10.7109375" style="47" customWidth="1"/>
    <col min="7" max="7" width="30.7109375" customWidth="1"/>
    <col min="8" max="8" width="10.7109375" customWidth="1"/>
    <col min="9" max="9" width="30.7109375" customWidth="1"/>
    <col min="10" max="10" width="10.7109375" customWidth="1"/>
    <col min="11" max="11" width="30.7109375" customWidth="1"/>
    <col min="12" max="12" width="10.7109375" customWidth="1"/>
    <col min="13" max="13" width="30.7109375" customWidth="1"/>
    <col min="14" max="14" width="10.7109375" customWidth="1"/>
    <col min="15" max="15" width="30.7109375" customWidth="1"/>
    <col min="16" max="16" width="10.7109375" customWidth="1"/>
    <col min="17" max="17" width="30.7109375" customWidth="1"/>
    <col min="18" max="18" width="10.7109375" customWidth="1"/>
    <col min="19" max="19" width="30.7109375" customWidth="1"/>
    <col min="20" max="20" width="10.7109375" customWidth="1"/>
    <col min="21" max="21" width="30.7109375" customWidth="1"/>
    <col min="22" max="22" width="10.7109375" customWidth="1"/>
    <col min="23" max="23" width="30.7109375" customWidth="1"/>
    <col min="24" max="24" width="10.7109375" customWidth="1"/>
    <col min="25" max="25" width="30.7109375" customWidth="1"/>
    <col min="26" max="26" width="10.7109375" customWidth="1"/>
    <col min="27" max="27" width="30.7109375" customWidth="1"/>
    <col min="28" max="28" width="10.7109375" customWidth="1"/>
    <col min="29" max="29" width="30.7109375" customWidth="1"/>
    <col min="30" max="30" width="10.7109375" customWidth="1"/>
    <col min="31" max="31" width="30.7109375" customWidth="1"/>
    <col min="32" max="32" width="10.7109375" customWidth="1"/>
    <col min="33" max="33" width="30.7109375" customWidth="1"/>
    <col min="34" max="34" width="10.7109375" customWidth="1"/>
    <col min="35" max="35" width="30.7109375" customWidth="1"/>
    <col min="36" max="36" width="10.7109375" customWidth="1"/>
    <col min="37" max="37" width="30.7109375" style="20" customWidth="1"/>
    <col min="38" max="38" width="10.7109375" customWidth="1"/>
    <col min="39" max="39" width="30.7109375" customWidth="1"/>
    <col min="40" max="40" width="10.7109375" customWidth="1"/>
    <col min="41" max="41" width="30.7109375" customWidth="1"/>
    <col min="42" max="42" width="10.7109375" customWidth="1"/>
    <col min="43" max="43" width="30.7109375" customWidth="1"/>
    <col min="44" max="44" width="10.7109375" customWidth="1"/>
    <col min="45" max="45" width="30.7109375" customWidth="1"/>
    <col min="46" max="46" width="10.7109375" customWidth="1"/>
    <col min="47" max="47" width="30.7109375" customWidth="1"/>
    <col min="48" max="48" width="10.7109375" customWidth="1"/>
    <col min="49" max="49" width="30.7109375" customWidth="1"/>
    <col min="50" max="50" width="10.7109375" customWidth="1"/>
    <col min="51" max="51" width="30.7109375" customWidth="1"/>
    <col min="52" max="52" width="10.7109375" customWidth="1"/>
    <col min="53" max="53" width="30.7109375" customWidth="1"/>
    <col min="54" max="54" width="10.7109375" customWidth="1"/>
    <col min="55" max="55" width="30.7109375" customWidth="1"/>
    <col min="56" max="56" width="10.7109375" customWidth="1"/>
    <col min="57" max="57" width="30.7109375" customWidth="1"/>
    <col min="58" max="58" width="10.7109375" customWidth="1"/>
    <col min="59" max="59" width="30.7109375" customWidth="1"/>
    <col min="60" max="60" width="10.7109375" customWidth="1"/>
    <col min="61" max="61" width="30.7109375" customWidth="1"/>
    <col min="62" max="62" width="10.7109375" customWidth="1"/>
    <col min="63" max="63" width="30.7109375" customWidth="1"/>
    <col min="64" max="64" width="10.7109375" customWidth="1"/>
    <col min="65" max="65" width="30.7109375" customWidth="1"/>
    <col min="66" max="66" width="10.7109375" customWidth="1"/>
    <col min="67" max="67" width="30.7109375" customWidth="1"/>
    <col min="68" max="68" width="10.7109375" customWidth="1"/>
    <col min="69" max="69" width="30.7109375" customWidth="1"/>
    <col min="70" max="70" width="10.7109375" customWidth="1"/>
    <col min="71" max="71" width="30.7109375" customWidth="1"/>
    <col min="72" max="72" width="10.7109375" customWidth="1"/>
    <col min="73" max="73" width="30.7109375" customWidth="1"/>
    <col min="74" max="74" width="10.7109375" customWidth="1"/>
    <col min="75" max="75" width="30.7109375" customWidth="1"/>
    <col min="76" max="76" width="10.7109375" customWidth="1"/>
    <col min="77" max="77" width="30.7109375" customWidth="1"/>
    <col min="78" max="78" width="10.7109375" customWidth="1"/>
    <col min="79" max="79" width="30.7109375" customWidth="1"/>
    <col min="80" max="80" width="10.7109375" customWidth="1"/>
    <col min="81" max="81" width="30.7109375" customWidth="1"/>
    <col min="82" max="82" width="10.7109375" customWidth="1"/>
    <col min="83" max="83" width="30.7109375" customWidth="1"/>
    <col min="84" max="84" width="10.7109375" customWidth="1"/>
    <col min="85" max="85" width="30.7109375" customWidth="1"/>
    <col min="86" max="86" width="10.7109375" customWidth="1"/>
    <col min="87" max="87" width="30.7109375" customWidth="1"/>
    <col min="88" max="88" width="10.7109375" customWidth="1"/>
    <col min="89" max="89" width="30.7109375" customWidth="1"/>
    <col min="90" max="90" width="10.7109375" customWidth="1"/>
    <col min="91" max="91" width="30.7109375" customWidth="1"/>
    <col min="92" max="92" width="10.7109375" customWidth="1"/>
    <col min="93" max="93" width="30.7109375" customWidth="1"/>
    <col min="94" max="94" width="10.7109375" customWidth="1"/>
    <col min="95" max="95" width="30.7109375" customWidth="1"/>
    <col min="96" max="96" width="10.7109375" customWidth="1"/>
    <col min="97" max="97" width="30.7109375" customWidth="1"/>
    <col min="98" max="98" width="10.7109375" customWidth="1"/>
    <col min="99" max="99" width="30.7109375" customWidth="1"/>
    <col min="100" max="100" width="10.7109375" customWidth="1"/>
    <col min="101" max="101" width="30.7109375" customWidth="1"/>
    <col min="102" max="102" width="10.7109375" customWidth="1"/>
    <col min="103" max="103" width="30.7109375" customWidth="1"/>
  </cols>
  <sheetData>
    <row r="1" spans="1:103" x14ac:dyDescent="0.25">
      <c r="A1" s="1" t="s">
        <v>1334</v>
      </c>
      <c r="B1" t="s">
        <v>1336</v>
      </c>
      <c r="AK1" s="8"/>
    </row>
    <row r="2" spans="1:103" s="20" customFormat="1" x14ac:dyDescent="0.25">
      <c r="A2" s="1"/>
      <c r="B2" s="20" t="s">
        <v>1335</v>
      </c>
      <c r="C2" s="47"/>
      <c r="E2" s="47"/>
      <c r="F2" s="47"/>
      <c r="AK2" s="8"/>
    </row>
    <row r="3" spans="1:103" s="20" customFormat="1" x14ac:dyDescent="0.25">
      <c r="A3" s="1"/>
      <c r="B3" s="20" t="s">
        <v>1337</v>
      </c>
      <c r="C3" s="47"/>
      <c r="E3" s="47"/>
      <c r="F3" s="47"/>
      <c r="AK3" s="8"/>
    </row>
    <row r="4" spans="1:103" x14ac:dyDescent="0.25">
      <c r="B4" s="2"/>
      <c r="C4" s="49"/>
      <c r="Q4" s="73"/>
      <c r="R4" s="73"/>
      <c r="AK4" s="8"/>
    </row>
    <row r="5" spans="1:103" x14ac:dyDescent="0.25">
      <c r="B5" s="2"/>
      <c r="C5" s="1" t="s">
        <v>1332</v>
      </c>
      <c r="D5" s="48">
        <v>39.15</v>
      </c>
      <c r="F5" s="48"/>
      <c r="G5" s="32"/>
      <c r="AK5" s="8"/>
    </row>
    <row r="6" spans="1:103" x14ac:dyDescent="0.25">
      <c r="C6" s="3" t="s">
        <v>1333</v>
      </c>
      <c r="D6" s="50">
        <v>38</v>
      </c>
      <c r="F6" s="50"/>
      <c r="G6" s="32"/>
    </row>
    <row r="7" spans="1:103" x14ac:dyDescent="0.25">
      <c r="B7" s="2"/>
      <c r="C7" s="49"/>
      <c r="D7" s="1"/>
      <c r="E7" s="48"/>
      <c r="F7" s="48"/>
      <c r="AK7" s="8"/>
    </row>
    <row r="8" spans="1:103" ht="15.75" thickBot="1" x14ac:dyDescent="0.3">
      <c r="B8" s="2"/>
      <c r="C8" s="49"/>
      <c r="AH8" s="8"/>
      <c r="AK8"/>
    </row>
    <row r="9" spans="1:103" s="20" customFormat="1" x14ac:dyDescent="0.25">
      <c r="B9" s="33"/>
      <c r="C9" s="43">
        <f t="shared" ref="C9" si="0">D9+1</f>
        <v>101</v>
      </c>
      <c r="D9" s="43">
        <f t="shared" ref="D9:AI9" si="1">E9+1</f>
        <v>100</v>
      </c>
      <c r="E9" s="43">
        <f t="shared" si="1"/>
        <v>99</v>
      </c>
      <c r="F9" s="43">
        <f t="shared" si="1"/>
        <v>98</v>
      </c>
      <c r="G9" s="43">
        <f t="shared" si="1"/>
        <v>97</v>
      </c>
      <c r="H9" s="43">
        <f t="shared" si="1"/>
        <v>96</v>
      </c>
      <c r="I9" s="43">
        <f t="shared" si="1"/>
        <v>95</v>
      </c>
      <c r="J9" s="43">
        <f t="shared" si="1"/>
        <v>94</v>
      </c>
      <c r="K9" s="43">
        <f t="shared" si="1"/>
        <v>93</v>
      </c>
      <c r="L9" s="43">
        <f t="shared" si="1"/>
        <v>92</v>
      </c>
      <c r="M9" s="43">
        <f t="shared" si="1"/>
        <v>91</v>
      </c>
      <c r="N9" s="43">
        <f t="shared" si="1"/>
        <v>90</v>
      </c>
      <c r="O9" s="43">
        <f t="shared" si="1"/>
        <v>89</v>
      </c>
      <c r="P9" s="43">
        <f t="shared" si="1"/>
        <v>88</v>
      </c>
      <c r="Q9" s="43">
        <f t="shared" si="1"/>
        <v>87</v>
      </c>
      <c r="R9" s="43">
        <f t="shared" si="1"/>
        <v>86</v>
      </c>
      <c r="S9" s="43">
        <f t="shared" si="1"/>
        <v>85</v>
      </c>
      <c r="T9" s="43">
        <f t="shared" si="1"/>
        <v>84</v>
      </c>
      <c r="U9" s="43">
        <f t="shared" si="1"/>
        <v>83</v>
      </c>
      <c r="V9" s="43">
        <f t="shared" si="1"/>
        <v>82</v>
      </c>
      <c r="W9" s="43">
        <f t="shared" si="1"/>
        <v>81</v>
      </c>
      <c r="X9" s="43">
        <f t="shared" si="1"/>
        <v>80</v>
      </c>
      <c r="Y9" s="43">
        <f t="shared" si="1"/>
        <v>79</v>
      </c>
      <c r="Z9" s="43">
        <f t="shared" si="1"/>
        <v>78</v>
      </c>
      <c r="AA9" s="43">
        <f t="shared" si="1"/>
        <v>77</v>
      </c>
      <c r="AB9" s="43">
        <f t="shared" si="1"/>
        <v>76</v>
      </c>
      <c r="AC9" s="43">
        <f t="shared" si="1"/>
        <v>75</v>
      </c>
      <c r="AD9" s="43">
        <f t="shared" si="1"/>
        <v>74</v>
      </c>
      <c r="AE9" s="43">
        <f t="shared" si="1"/>
        <v>73</v>
      </c>
      <c r="AF9" s="43">
        <f t="shared" si="1"/>
        <v>72</v>
      </c>
      <c r="AG9" s="43">
        <f t="shared" si="1"/>
        <v>71</v>
      </c>
      <c r="AH9" s="43">
        <f t="shared" si="1"/>
        <v>70</v>
      </c>
      <c r="AI9" s="43">
        <f t="shared" si="1"/>
        <v>69</v>
      </c>
      <c r="AJ9" s="43">
        <f t="shared" ref="AJ9:BD9" si="2">AK9+1</f>
        <v>68</v>
      </c>
      <c r="AK9" s="43">
        <f t="shared" si="2"/>
        <v>67</v>
      </c>
      <c r="AL9" s="43">
        <f t="shared" si="2"/>
        <v>66</v>
      </c>
      <c r="AM9" s="43">
        <f t="shared" si="2"/>
        <v>65</v>
      </c>
      <c r="AN9" s="43">
        <f t="shared" si="2"/>
        <v>64</v>
      </c>
      <c r="AO9" s="43">
        <f t="shared" si="2"/>
        <v>63</v>
      </c>
      <c r="AP9" s="43">
        <f t="shared" si="2"/>
        <v>62</v>
      </c>
      <c r="AQ9" s="43">
        <f t="shared" si="2"/>
        <v>61</v>
      </c>
      <c r="AR9" s="43">
        <f t="shared" si="2"/>
        <v>60</v>
      </c>
      <c r="AS9" s="43">
        <f t="shared" si="2"/>
        <v>59</v>
      </c>
      <c r="AT9" s="43">
        <f t="shared" si="2"/>
        <v>58</v>
      </c>
      <c r="AU9" s="43">
        <f t="shared" si="2"/>
        <v>57</v>
      </c>
      <c r="AV9" s="43">
        <f t="shared" si="2"/>
        <v>56</v>
      </c>
      <c r="AW9" s="43">
        <f t="shared" si="2"/>
        <v>55</v>
      </c>
      <c r="AX9" s="43">
        <f t="shared" si="2"/>
        <v>54</v>
      </c>
      <c r="AY9" s="43">
        <f t="shared" si="2"/>
        <v>53</v>
      </c>
      <c r="AZ9" s="43">
        <f t="shared" si="2"/>
        <v>52</v>
      </c>
      <c r="BA9" s="43">
        <f t="shared" si="2"/>
        <v>51</v>
      </c>
      <c r="BB9" s="43">
        <f t="shared" si="2"/>
        <v>50</v>
      </c>
      <c r="BC9" s="43">
        <f t="shared" si="2"/>
        <v>49</v>
      </c>
      <c r="BD9" s="43">
        <f t="shared" si="2"/>
        <v>48</v>
      </c>
      <c r="BE9" s="43">
        <f t="shared" ref="BE9:BJ9" si="3">BF9+1</f>
        <v>47</v>
      </c>
      <c r="BF9" s="43">
        <f t="shared" si="3"/>
        <v>46</v>
      </c>
      <c r="BG9" s="43">
        <f t="shared" si="3"/>
        <v>45</v>
      </c>
      <c r="BH9" s="43">
        <f t="shared" si="3"/>
        <v>44</v>
      </c>
      <c r="BI9" s="43">
        <f t="shared" si="3"/>
        <v>43</v>
      </c>
      <c r="BJ9" s="43">
        <f t="shared" si="3"/>
        <v>42</v>
      </c>
      <c r="BK9" s="43">
        <f t="shared" ref="BK9:BT9" si="4">BL9+1</f>
        <v>41</v>
      </c>
      <c r="BL9" s="43">
        <f t="shared" si="4"/>
        <v>40</v>
      </c>
      <c r="BM9" s="43">
        <f t="shared" si="4"/>
        <v>39</v>
      </c>
      <c r="BN9" s="43">
        <f t="shared" si="4"/>
        <v>38</v>
      </c>
      <c r="BO9" s="43">
        <f t="shared" si="4"/>
        <v>37</v>
      </c>
      <c r="BP9" s="43">
        <f t="shared" si="4"/>
        <v>36</v>
      </c>
      <c r="BQ9" s="43">
        <f t="shared" si="4"/>
        <v>35</v>
      </c>
      <c r="BR9" s="43">
        <f t="shared" si="4"/>
        <v>34</v>
      </c>
      <c r="BS9" s="43">
        <f t="shared" si="4"/>
        <v>33</v>
      </c>
      <c r="BT9" s="43">
        <f t="shared" si="4"/>
        <v>32</v>
      </c>
      <c r="BU9" s="43">
        <f t="shared" ref="BU9:CW9" si="5">BV9+1</f>
        <v>31</v>
      </c>
      <c r="BV9" s="43">
        <f t="shared" si="5"/>
        <v>30</v>
      </c>
      <c r="BW9" s="43">
        <f t="shared" si="5"/>
        <v>29</v>
      </c>
      <c r="BX9" s="43">
        <f t="shared" si="5"/>
        <v>28</v>
      </c>
      <c r="BY9" s="43">
        <f t="shared" si="5"/>
        <v>27</v>
      </c>
      <c r="BZ9" s="43">
        <f t="shared" si="5"/>
        <v>26</v>
      </c>
      <c r="CA9" s="43">
        <f t="shared" si="5"/>
        <v>25</v>
      </c>
      <c r="CB9" s="43">
        <f t="shared" si="5"/>
        <v>24</v>
      </c>
      <c r="CC9" s="43">
        <f t="shared" si="5"/>
        <v>23</v>
      </c>
      <c r="CD9" s="43">
        <f t="shared" si="5"/>
        <v>22</v>
      </c>
      <c r="CE9" s="43">
        <f t="shared" si="5"/>
        <v>21</v>
      </c>
      <c r="CF9" s="43">
        <f t="shared" si="5"/>
        <v>20</v>
      </c>
      <c r="CG9" s="43">
        <f t="shared" si="5"/>
        <v>19</v>
      </c>
      <c r="CH9" s="43">
        <f t="shared" si="5"/>
        <v>18</v>
      </c>
      <c r="CI9" s="43">
        <f t="shared" si="5"/>
        <v>17</v>
      </c>
      <c r="CJ9" s="43">
        <f t="shared" si="5"/>
        <v>16</v>
      </c>
      <c r="CK9" s="43">
        <f t="shared" si="5"/>
        <v>15</v>
      </c>
      <c r="CL9" s="43">
        <f t="shared" si="5"/>
        <v>14</v>
      </c>
      <c r="CM9" s="43">
        <f t="shared" si="5"/>
        <v>13</v>
      </c>
      <c r="CN9" s="43">
        <f t="shared" si="5"/>
        <v>12</v>
      </c>
      <c r="CO9" s="43">
        <f t="shared" si="5"/>
        <v>11</v>
      </c>
      <c r="CP9" s="43">
        <f t="shared" si="5"/>
        <v>10</v>
      </c>
      <c r="CQ9" s="43">
        <f t="shared" si="5"/>
        <v>9</v>
      </c>
      <c r="CR9" s="43">
        <f t="shared" si="5"/>
        <v>8</v>
      </c>
      <c r="CS9" s="43">
        <f t="shared" si="5"/>
        <v>7</v>
      </c>
      <c r="CT9" s="43">
        <f t="shared" si="5"/>
        <v>6</v>
      </c>
      <c r="CU9" s="43">
        <f t="shared" si="5"/>
        <v>5</v>
      </c>
      <c r="CV9" s="43">
        <f t="shared" si="5"/>
        <v>4</v>
      </c>
      <c r="CW9" s="43">
        <f t="shared" si="5"/>
        <v>3</v>
      </c>
      <c r="CX9" s="43">
        <f>CY9+1</f>
        <v>2</v>
      </c>
      <c r="CY9" s="44">
        <v>1</v>
      </c>
    </row>
    <row r="10" spans="1:103" x14ac:dyDescent="0.25">
      <c r="B10" s="34"/>
      <c r="C10" s="41">
        <f t="shared" ref="C10:AH10" si="6">D10-$D$5</f>
        <v>-3990.0000000000064</v>
      </c>
      <c r="D10" s="41">
        <f t="shared" si="6"/>
        <v>-3950.8500000000063</v>
      </c>
      <c r="E10" s="41">
        <f t="shared" si="6"/>
        <v>-3911.7000000000062</v>
      </c>
      <c r="F10" s="41">
        <f t="shared" si="6"/>
        <v>-3872.5500000000061</v>
      </c>
      <c r="G10" s="41">
        <f t="shared" si="6"/>
        <v>-3833.400000000006</v>
      </c>
      <c r="H10" s="41">
        <f t="shared" si="6"/>
        <v>-3794.2500000000059</v>
      </c>
      <c r="I10" s="41">
        <f t="shared" si="6"/>
        <v>-3755.1000000000058</v>
      </c>
      <c r="J10" s="41">
        <f t="shared" si="6"/>
        <v>-3715.9500000000057</v>
      </c>
      <c r="K10" s="41">
        <f t="shared" si="6"/>
        <v>-3676.8000000000056</v>
      </c>
      <c r="L10" s="41">
        <f t="shared" si="6"/>
        <v>-3637.6500000000055</v>
      </c>
      <c r="M10" s="41">
        <f t="shared" si="6"/>
        <v>-3598.5000000000055</v>
      </c>
      <c r="N10" s="41">
        <f t="shared" si="6"/>
        <v>-3559.3500000000054</v>
      </c>
      <c r="O10" s="41">
        <f t="shared" si="6"/>
        <v>-3520.2000000000053</v>
      </c>
      <c r="P10" s="41">
        <f t="shared" si="6"/>
        <v>-3481.0500000000052</v>
      </c>
      <c r="Q10" s="41">
        <f t="shared" si="6"/>
        <v>-3441.9000000000051</v>
      </c>
      <c r="R10" s="41">
        <f t="shared" si="6"/>
        <v>-3402.750000000005</v>
      </c>
      <c r="S10" s="41">
        <f t="shared" si="6"/>
        <v>-3363.6000000000049</v>
      </c>
      <c r="T10" s="41">
        <f t="shared" si="6"/>
        <v>-3324.4500000000048</v>
      </c>
      <c r="U10" s="41">
        <f t="shared" si="6"/>
        <v>-3285.3000000000047</v>
      </c>
      <c r="V10" s="41">
        <f t="shared" si="6"/>
        <v>-3246.1500000000046</v>
      </c>
      <c r="W10" s="41">
        <f t="shared" si="6"/>
        <v>-3207.0000000000045</v>
      </c>
      <c r="X10" s="41">
        <f t="shared" si="6"/>
        <v>-3167.8500000000045</v>
      </c>
      <c r="Y10" s="41">
        <f t="shared" si="6"/>
        <v>-3128.7000000000044</v>
      </c>
      <c r="Z10" s="41">
        <f t="shared" si="6"/>
        <v>-3089.5500000000043</v>
      </c>
      <c r="AA10" s="41">
        <f t="shared" si="6"/>
        <v>-3050.4000000000042</v>
      </c>
      <c r="AB10" s="41">
        <f t="shared" si="6"/>
        <v>-3011.2500000000041</v>
      </c>
      <c r="AC10" s="41">
        <f t="shared" si="6"/>
        <v>-2972.100000000004</v>
      </c>
      <c r="AD10" s="41">
        <f t="shared" si="6"/>
        <v>-2932.9500000000039</v>
      </c>
      <c r="AE10" s="41">
        <f t="shared" si="6"/>
        <v>-2893.8000000000038</v>
      </c>
      <c r="AF10" s="41">
        <f t="shared" si="6"/>
        <v>-2854.6500000000037</v>
      </c>
      <c r="AG10" s="41">
        <f t="shared" si="6"/>
        <v>-2815.5000000000036</v>
      </c>
      <c r="AH10" s="41">
        <f t="shared" si="6"/>
        <v>-2776.3500000000035</v>
      </c>
      <c r="AI10" s="41">
        <f t="shared" ref="AI10:BN10" si="7">AJ10-$D$5</f>
        <v>-2737.2000000000035</v>
      </c>
      <c r="AJ10" s="41">
        <f t="shared" si="7"/>
        <v>-2698.0500000000034</v>
      </c>
      <c r="AK10" s="41">
        <f t="shared" si="7"/>
        <v>-2658.9000000000033</v>
      </c>
      <c r="AL10" s="41">
        <f t="shared" si="7"/>
        <v>-2619.7500000000032</v>
      </c>
      <c r="AM10" s="41">
        <f t="shared" si="7"/>
        <v>-2580.6000000000031</v>
      </c>
      <c r="AN10" s="41">
        <f t="shared" si="7"/>
        <v>-2541.450000000003</v>
      </c>
      <c r="AO10" s="41">
        <f t="shared" si="7"/>
        <v>-2502.3000000000029</v>
      </c>
      <c r="AP10" s="41">
        <f t="shared" si="7"/>
        <v>-2463.1500000000028</v>
      </c>
      <c r="AQ10" s="41">
        <f t="shared" si="7"/>
        <v>-2424.0000000000027</v>
      </c>
      <c r="AR10" s="41">
        <f t="shared" si="7"/>
        <v>-2384.8500000000026</v>
      </c>
      <c r="AS10" s="41">
        <f t="shared" si="7"/>
        <v>-2345.7000000000025</v>
      </c>
      <c r="AT10" s="41">
        <f t="shared" si="7"/>
        <v>-2306.5500000000025</v>
      </c>
      <c r="AU10" s="41">
        <f t="shared" si="7"/>
        <v>-2267.4000000000024</v>
      </c>
      <c r="AV10" s="41">
        <f t="shared" si="7"/>
        <v>-2228.2500000000023</v>
      </c>
      <c r="AW10" s="41">
        <f t="shared" si="7"/>
        <v>-2189.1000000000022</v>
      </c>
      <c r="AX10" s="41">
        <f t="shared" si="7"/>
        <v>-2149.9500000000021</v>
      </c>
      <c r="AY10" s="41">
        <f t="shared" si="7"/>
        <v>-2110.800000000002</v>
      </c>
      <c r="AZ10" s="41">
        <f t="shared" si="7"/>
        <v>-2071.6500000000019</v>
      </c>
      <c r="BA10" s="41">
        <f t="shared" si="7"/>
        <v>-2032.5000000000018</v>
      </c>
      <c r="BB10" s="41">
        <f t="shared" si="7"/>
        <v>-1993.3500000000017</v>
      </c>
      <c r="BC10" s="41">
        <f t="shared" si="7"/>
        <v>-1954.2000000000016</v>
      </c>
      <c r="BD10" s="41">
        <f t="shared" si="7"/>
        <v>-1915.0500000000015</v>
      </c>
      <c r="BE10" s="41">
        <f t="shared" si="7"/>
        <v>-1875.9000000000015</v>
      </c>
      <c r="BF10" s="41">
        <f t="shared" si="7"/>
        <v>-1836.7500000000014</v>
      </c>
      <c r="BG10" s="41">
        <f t="shared" si="7"/>
        <v>-1797.6000000000013</v>
      </c>
      <c r="BH10" s="41">
        <f t="shared" si="7"/>
        <v>-1758.4500000000012</v>
      </c>
      <c r="BI10" s="41">
        <f t="shared" si="7"/>
        <v>-1719.3000000000011</v>
      </c>
      <c r="BJ10" s="41">
        <f t="shared" si="7"/>
        <v>-1680.150000000001</v>
      </c>
      <c r="BK10" s="41">
        <f t="shared" si="7"/>
        <v>-1641.0000000000009</v>
      </c>
      <c r="BL10" s="41">
        <f t="shared" si="7"/>
        <v>-1601.8500000000008</v>
      </c>
      <c r="BM10" s="41">
        <f t="shared" si="7"/>
        <v>-1562.7000000000007</v>
      </c>
      <c r="BN10" s="41">
        <f t="shared" si="7"/>
        <v>-1523.5500000000006</v>
      </c>
      <c r="BO10" s="41">
        <f t="shared" ref="BO10:CX10" si="8">BP10-$D$5</f>
        <v>-1484.4000000000005</v>
      </c>
      <c r="BP10" s="41">
        <f t="shared" si="8"/>
        <v>-1445.2500000000005</v>
      </c>
      <c r="BQ10" s="41">
        <f t="shared" si="8"/>
        <v>-1406.1000000000004</v>
      </c>
      <c r="BR10" s="41">
        <f t="shared" si="8"/>
        <v>-1366.9500000000003</v>
      </c>
      <c r="BS10" s="41">
        <f t="shared" si="8"/>
        <v>-1327.8000000000002</v>
      </c>
      <c r="BT10" s="41">
        <f t="shared" si="8"/>
        <v>-1288.6500000000001</v>
      </c>
      <c r="BU10" s="41">
        <f t="shared" si="8"/>
        <v>-1249.5</v>
      </c>
      <c r="BV10" s="41">
        <f t="shared" si="8"/>
        <v>-1210.3499999999999</v>
      </c>
      <c r="BW10" s="41">
        <f t="shared" si="8"/>
        <v>-1171.1999999999998</v>
      </c>
      <c r="BX10" s="41">
        <f t="shared" si="8"/>
        <v>-1132.0499999999997</v>
      </c>
      <c r="BY10" s="41">
        <f t="shared" si="8"/>
        <v>-1092.8999999999996</v>
      </c>
      <c r="BZ10" s="41">
        <f t="shared" si="8"/>
        <v>-1053.7499999999995</v>
      </c>
      <c r="CA10" s="41">
        <f t="shared" si="8"/>
        <v>-1014.5999999999996</v>
      </c>
      <c r="CB10" s="41">
        <f t="shared" si="8"/>
        <v>-975.44999999999959</v>
      </c>
      <c r="CC10" s="41">
        <f t="shared" si="8"/>
        <v>-936.29999999999961</v>
      </c>
      <c r="CD10" s="41">
        <f t="shared" si="8"/>
        <v>-897.14999999999964</v>
      </c>
      <c r="CE10" s="41">
        <f t="shared" si="8"/>
        <v>-857.99999999999966</v>
      </c>
      <c r="CF10" s="41">
        <f t="shared" si="8"/>
        <v>-818.84999999999968</v>
      </c>
      <c r="CG10" s="41">
        <f t="shared" si="8"/>
        <v>-779.6999999999997</v>
      </c>
      <c r="CH10" s="41">
        <f t="shared" si="8"/>
        <v>-740.54999999999973</v>
      </c>
      <c r="CI10" s="41">
        <f t="shared" si="8"/>
        <v>-701.39999999999975</v>
      </c>
      <c r="CJ10" s="41">
        <f t="shared" si="8"/>
        <v>-662.24999999999977</v>
      </c>
      <c r="CK10" s="41">
        <f t="shared" si="8"/>
        <v>-623.0999999999998</v>
      </c>
      <c r="CL10" s="41">
        <f t="shared" si="8"/>
        <v>-583.94999999999982</v>
      </c>
      <c r="CM10" s="41">
        <f t="shared" si="8"/>
        <v>-544.79999999999984</v>
      </c>
      <c r="CN10" s="41">
        <f t="shared" si="8"/>
        <v>-505.64999999999986</v>
      </c>
      <c r="CO10" s="41">
        <f t="shared" si="8"/>
        <v>-466.49999999999989</v>
      </c>
      <c r="CP10" s="41">
        <f t="shared" si="8"/>
        <v>-427.34999999999991</v>
      </c>
      <c r="CQ10" s="41">
        <f t="shared" si="8"/>
        <v>-388.19999999999993</v>
      </c>
      <c r="CR10" s="41">
        <f t="shared" si="8"/>
        <v>-349.04999999999995</v>
      </c>
      <c r="CS10" s="41">
        <f t="shared" si="8"/>
        <v>-309.89999999999998</v>
      </c>
      <c r="CT10" s="41">
        <f t="shared" si="8"/>
        <v>-270.75</v>
      </c>
      <c r="CU10" s="41">
        <f t="shared" si="8"/>
        <v>-231.60000000000002</v>
      </c>
      <c r="CV10" s="41">
        <f t="shared" si="8"/>
        <v>-192.45000000000002</v>
      </c>
      <c r="CW10" s="41">
        <f t="shared" si="8"/>
        <v>-153.30000000000001</v>
      </c>
      <c r="CX10" s="41">
        <f t="shared" si="8"/>
        <v>-114.15</v>
      </c>
      <c r="CY10" s="42">
        <v>-75</v>
      </c>
    </row>
    <row r="11" spans="1:103" s="47" customFormat="1" x14ac:dyDescent="0.25">
      <c r="A11" s="72">
        <f t="shared" ref="A11:A33" si="9">A13+1</f>
        <v>58</v>
      </c>
      <c r="B11" s="69">
        <f>B13+$D$6</f>
        <v>2241</v>
      </c>
      <c r="C11" s="39"/>
      <c r="D11" s="61"/>
      <c r="E11" s="61"/>
      <c r="F11" s="61"/>
      <c r="G11" s="61"/>
      <c r="H11" s="61"/>
      <c r="I11" s="61"/>
      <c r="J11" s="61"/>
      <c r="K11" s="61"/>
      <c r="L11" s="61"/>
      <c r="M11" s="61"/>
      <c r="N11" s="61"/>
      <c r="O11" s="61"/>
      <c r="P11" s="61"/>
      <c r="Q11" s="61"/>
      <c r="R11" s="61"/>
      <c r="S11" s="61"/>
      <c r="T11" s="61"/>
      <c r="U11" s="61"/>
      <c r="V11" s="61"/>
      <c r="W11" s="61"/>
      <c r="X11" s="61"/>
      <c r="Y11" s="61"/>
      <c r="Z11" s="61"/>
      <c r="AA11" s="61"/>
      <c r="AB11" s="61"/>
      <c r="AC11" s="61"/>
      <c r="AD11" s="61"/>
      <c r="AE11" s="61"/>
      <c r="AF11" s="61"/>
      <c r="AG11" s="61"/>
      <c r="AH11" s="61"/>
      <c r="AI11" s="61"/>
      <c r="AJ11" s="61"/>
      <c r="AK11" s="61"/>
      <c r="AL11" s="61"/>
      <c r="AM11" s="61"/>
      <c r="AN11" s="61"/>
      <c r="AO11" s="61"/>
      <c r="AP11" s="61"/>
      <c r="AQ11" s="61"/>
      <c r="AR11" s="61"/>
      <c r="AS11" s="61"/>
      <c r="AT11" s="61"/>
      <c r="AU11" s="61"/>
      <c r="AV11" s="61"/>
      <c r="AW11" s="61"/>
      <c r="AX11" s="61"/>
      <c r="AY11" s="61" t="s">
        <v>67</v>
      </c>
      <c r="AZ11" s="61"/>
      <c r="BA11" s="61"/>
      <c r="BB11" s="61"/>
      <c r="BC11" s="61"/>
      <c r="BD11" s="61"/>
      <c r="BE11" s="61"/>
      <c r="BF11" s="61"/>
      <c r="BG11" s="61"/>
      <c r="BH11" s="61"/>
      <c r="BI11" s="61"/>
      <c r="BJ11" s="61"/>
      <c r="BK11" s="61"/>
      <c r="BL11" s="61"/>
      <c r="BM11" s="61"/>
      <c r="BN11" s="61"/>
      <c r="BO11" s="61"/>
      <c r="BP11" s="61"/>
      <c r="BQ11" s="61"/>
      <c r="BR11" s="61"/>
      <c r="BS11" s="61"/>
      <c r="BT11" s="61"/>
      <c r="BU11" s="61"/>
      <c r="BV11" s="61"/>
      <c r="BW11" s="61"/>
      <c r="BX11" s="61"/>
      <c r="BY11" s="61"/>
      <c r="BZ11" s="61"/>
      <c r="CA11" s="61"/>
      <c r="CB11" s="61"/>
      <c r="CC11" s="61"/>
      <c r="CD11" s="61"/>
      <c r="CE11" s="61"/>
      <c r="CF11" s="61"/>
      <c r="CG11" s="61"/>
      <c r="CH11" s="61"/>
      <c r="CI11" s="61"/>
      <c r="CJ11" s="61"/>
      <c r="CK11" s="61"/>
      <c r="CL11" s="61"/>
      <c r="CM11" s="61"/>
      <c r="CN11" s="61"/>
      <c r="CO11" s="61"/>
      <c r="CP11" s="61"/>
      <c r="CQ11" s="61"/>
      <c r="CR11" s="61"/>
      <c r="CS11" s="61"/>
      <c r="CT11" s="61"/>
      <c r="CU11" s="61"/>
      <c r="CV11" s="61"/>
      <c r="CW11" s="61"/>
      <c r="CX11" s="61"/>
      <c r="CY11" s="35"/>
    </row>
    <row r="12" spans="1:103" s="47" customFormat="1" x14ac:dyDescent="0.25">
      <c r="A12" s="72"/>
      <c r="B12" s="70"/>
      <c r="C12" s="40"/>
      <c r="D12" s="62" t="str">
        <f>IF(D11="","",VLOOKUP(D11,'Tech Tree Node Parameters'!$A$3:$B$218,2,FALSE))</f>
        <v/>
      </c>
      <c r="E12" s="62" t="str">
        <f>IF(E11="","",VLOOKUP(E11,'Tech Tree Node Parameters'!$A$3:$B$218,2,FALSE))</f>
        <v/>
      </c>
      <c r="F12" s="62" t="str">
        <f>IF(F11="","",VLOOKUP(F11,'Tech Tree Node Parameters'!$A$3:$B$218,2,FALSE))</f>
        <v/>
      </c>
      <c r="G12" s="62" t="str">
        <f>IF(G11="","",VLOOKUP(G11,'Tech Tree Node Parameters'!$A$3:$B$218,2,FALSE))</f>
        <v/>
      </c>
      <c r="H12" s="62" t="str">
        <f>IF(H11="","",VLOOKUP(H11,'Tech Tree Node Parameters'!$A$3:$B$218,2,FALSE))</f>
        <v/>
      </c>
      <c r="I12" s="62" t="str">
        <f>IF(I11="","",VLOOKUP(I11,'Tech Tree Node Parameters'!$A$3:$B$218,2,FALSE))</f>
        <v/>
      </c>
      <c r="J12" s="62" t="str">
        <f>IF(J11="","",VLOOKUP(J11,'Tech Tree Node Parameters'!$A$3:$B$218,2,FALSE))</f>
        <v/>
      </c>
      <c r="K12" s="62" t="str">
        <f>IF(K11="","",VLOOKUP(K11,'Tech Tree Node Parameters'!$A$3:$B$218,2,FALSE))</f>
        <v/>
      </c>
      <c r="L12" s="62" t="str">
        <f>IF(L11="","",VLOOKUP(L11,'Tech Tree Node Parameters'!$A$3:$B$218,2,FALSE))</f>
        <v/>
      </c>
      <c r="M12" s="62" t="str">
        <f>IF(M11="","",VLOOKUP(M11,'Tech Tree Node Parameters'!$A$3:$B$218,2,FALSE))</f>
        <v/>
      </c>
      <c r="N12" s="62" t="str">
        <f>IF(N11="","",VLOOKUP(N11,'Tech Tree Node Parameters'!$A$3:$B$218,2,FALSE))</f>
        <v/>
      </c>
      <c r="O12" s="62" t="str">
        <f>IF(O11="","",VLOOKUP(O11,'Tech Tree Node Parameters'!$A$3:$B$218,2,FALSE))</f>
        <v/>
      </c>
      <c r="P12" s="62" t="str">
        <f>IF(P11="","",VLOOKUP(P11,'Tech Tree Node Parameters'!$A$3:$B$218,2,FALSE))</f>
        <v/>
      </c>
      <c r="Q12" s="62" t="str">
        <f>IF(Q11="","",VLOOKUP(Q11,'Tech Tree Node Parameters'!$A$3:$B$218,2,FALSE))</f>
        <v/>
      </c>
      <c r="R12" s="62" t="str">
        <f>IF(R11="","",VLOOKUP(R11,'Tech Tree Node Parameters'!$A$3:$B$218,2,FALSE))</f>
        <v/>
      </c>
      <c r="S12" s="62" t="str">
        <f>IF(S11="","",VLOOKUP(S11,'Tech Tree Node Parameters'!$A$3:$B$218,2,FALSE))</f>
        <v/>
      </c>
      <c r="T12" s="62" t="str">
        <f>IF(T11="","",VLOOKUP(T11,'Tech Tree Node Parameters'!$A$3:$B$218,2,FALSE))</f>
        <v/>
      </c>
      <c r="U12" s="62" t="str">
        <f>IF(U11="","",VLOOKUP(U11,'Tech Tree Node Parameters'!$A$3:$B$218,2,FALSE))</f>
        <v/>
      </c>
      <c r="V12" s="62" t="str">
        <f>IF(V11="","",VLOOKUP(V11,'Tech Tree Node Parameters'!$A$3:$B$218,2,FALSE))</f>
        <v/>
      </c>
      <c r="W12" s="62" t="str">
        <f>IF(W11="","",VLOOKUP(W11,'Tech Tree Node Parameters'!$A$3:$B$218,2,FALSE))</f>
        <v/>
      </c>
      <c r="X12" s="62" t="str">
        <f>IF(X11="","",VLOOKUP(X11,'Tech Tree Node Parameters'!$A$3:$B$218,2,FALSE))</f>
        <v/>
      </c>
      <c r="Y12" s="62" t="str">
        <f>IF(Y11="","",VLOOKUP(Y11,'Tech Tree Node Parameters'!$A$3:$B$218,2,FALSE))</f>
        <v/>
      </c>
      <c r="Z12" s="62" t="str">
        <f>IF(Z11="","",VLOOKUP(Z11,'Tech Tree Node Parameters'!$A$3:$B$218,2,FALSE))</f>
        <v/>
      </c>
      <c r="AA12" s="62" t="str">
        <f>IF(AA11="","",VLOOKUP(AA11,'Tech Tree Node Parameters'!$A$3:$B$218,2,FALSE))</f>
        <v/>
      </c>
      <c r="AB12" s="62" t="str">
        <f>IF(AB11="","",VLOOKUP(AB11,'Tech Tree Node Parameters'!$A$3:$B$218,2,FALSE))</f>
        <v/>
      </c>
      <c r="AC12" s="62" t="str">
        <f>IF(AC11="","",VLOOKUP(AC11,'Tech Tree Node Parameters'!$A$3:$B$218,2,FALSE))</f>
        <v/>
      </c>
      <c r="AD12" s="62" t="str">
        <f>IF(AD11="","",VLOOKUP(AD11,'Tech Tree Node Parameters'!$A$3:$B$218,2,FALSE))</f>
        <v/>
      </c>
      <c r="AE12" s="62" t="str">
        <f>IF(AE11="","",VLOOKUP(AE11,'Tech Tree Node Parameters'!$A$3:$B$218,2,FALSE))</f>
        <v/>
      </c>
      <c r="AF12" s="62" t="str">
        <f>IF(AF11="","",VLOOKUP(AF11,'Tech Tree Node Parameters'!$A$3:$B$218,2,FALSE))</f>
        <v/>
      </c>
      <c r="AG12" s="62" t="str">
        <f>IF(AG11="","",VLOOKUP(AG11,'Tech Tree Node Parameters'!$A$3:$B$218,2,FALSE))</f>
        <v/>
      </c>
      <c r="AH12" s="62" t="str">
        <f>IF(AH11="","",VLOOKUP(AH11,'Tech Tree Node Parameters'!$A$3:$B$218,2,FALSE))</f>
        <v/>
      </c>
      <c r="AI12" s="62" t="str">
        <f>IF(AI11="","",VLOOKUP(AI11,'Tech Tree Node Parameters'!$A$3:$B$218,2,FALSE))</f>
        <v/>
      </c>
      <c r="AJ12" s="62" t="str">
        <f>IF(AJ11="","",VLOOKUP(AJ11,'Tech Tree Node Parameters'!$A$3:$B$218,2,FALSE))</f>
        <v/>
      </c>
      <c r="AK12" s="62" t="str">
        <f>IF(AK11="","",VLOOKUP(AK11,'Tech Tree Node Parameters'!$A$3:$B$218,2,FALSE))</f>
        <v/>
      </c>
      <c r="AL12" s="62" t="str">
        <f>IF(AL11="","",VLOOKUP(AL11,'Tech Tree Node Parameters'!$A$3:$B$218,2,FALSE))</f>
        <v/>
      </c>
      <c r="AM12" s="62" t="str">
        <f>IF(AM11="","",VLOOKUP(AM11,'Tech Tree Node Parameters'!$A$3:$B$218,2,FALSE))</f>
        <v/>
      </c>
      <c r="AN12" s="62" t="str">
        <f>IF(AN11="","",VLOOKUP(AN11,'Tech Tree Node Parameters'!$A$3:$B$218,2,FALSE))</f>
        <v/>
      </c>
      <c r="AO12" s="62" t="str">
        <f>IF(AO11="","",VLOOKUP(AO11,'Tech Tree Node Parameters'!$A$3:$B$218,2,FALSE))</f>
        <v/>
      </c>
      <c r="AP12" s="62" t="str">
        <f>IF(AP11="","",VLOOKUP(AP11,'Tech Tree Node Parameters'!$A$3:$B$218,2,FALSE))</f>
        <v/>
      </c>
      <c r="AQ12" s="62" t="str">
        <f>IF(AQ11="","",VLOOKUP(AQ11,'Tech Tree Node Parameters'!$A$3:$B$218,2,FALSE))</f>
        <v/>
      </c>
      <c r="AR12" s="62" t="str">
        <f>IF(AR11="","",VLOOKUP(AR11,'Tech Tree Node Parameters'!$A$3:$B$218,2,FALSE))</f>
        <v/>
      </c>
      <c r="AS12" s="62" t="str">
        <f>IF(AS11="","",VLOOKUP(AS11,'Tech Tree Node Parameters'!$A$3:$B$218,2,FALSE))</f>
        <v/>
      </c>
      <c r="AT12" s="62" t="str">
        <f>IF(AT11="","",VLOOKUP(AT11,'Tech Tree Node Parameters'!$A$3:$B$218,2,FALSE))</f>
        <v/>
      </c>
      <c r="AU12" s="62" t="str">
        <f>IF(AU11="","",VLOOKUP(AU11,'Tech Tree Node Parameters'!$A$3:$B$218,2,FALSE))</f>
        <v/>
      </c>
      <c r="AV12" s="62" t="str">
        <f>IF(AV11="","",VLOOKUP(AV11,'Tech Tree Node Parameters'!$A$3:$B$218,2,FALSE))</f>
        <v/>
      </c>
      <c r="AW12" s="62" t="str">
        <f>IF(AW11="","",VLOOKUP(AW11,'Tech Tree Node Parameters'!$A$3:$B$218,2,FALSE))</f>
        <v/>
      </c>
      <c r="AX12" s="62" t="str">
        <f>IF(AX11="","",VLOOKUP(AX11,'Tech Tree Node Parameters'!$A$3:$B$218,2,FALSE))</f>
        <v/>
      </c>
      <c r="AY12" s="62" t="str">
        <f>IF(AY11="","",VLOOKUP(AY11,'Tech Tree Node Parameters'!$A$3:$B$218,2,FALSE))</f>
        <v>Specialized Flight Systems</v>
      </c>
      <c r="AZ12" s="62" t="str">
        <f>IF(AZ11="","",VLOOKUP(AZ11,'Tech Tree Node Parameters'!$A$3:$B$218,2,FALSE))</f>
        <v/>
      </c>
      <c r="BA12" s="62" t="str">
        <f>IF(BA11="","",VLOOKUP(BA11,'Tech Tree Node Parameters'!$A$3:$B$218,2,FALSE))</f>
        <v/>
      </c>
      <c r="BB12" s="62" t="str">
        <f>IF(BB11="","",VLOOKUP(BB11,'Tech Tree Node Parameters'!$A$3:$B$218,2,FALSE))</f>
        <v/>
      </c>
      <c r="BC12" s="62" t="str">
        <f>IF(BC11="","",VLOOKUP(BC11,'Tech Tree Node Parameters'!$A$3:$B$218,2,FALSE))</f>
        <v/>
      </c>
      <c r="BD12" s="62" t="str">
        <f>IF(BD11="","",VLOOKUP(BD11,'Tech Tree Node Parameters'!$A$3:$B$218,2,FALSE))</f>
        <v/>
      </c>
      <c r="BE12" s="62" t="str">
        <f>IF(BE11="","",VLOOKUP(BE11,'Tech Tree Node Parameters'!$A$3:$B$218,2,FALSE))</f>
        <v/>
      </c>
      <c r="BF12" s="62" t="str">
        <f>IF(BF11="","",VLOOKUP(BF11,'Tech Tree Node Parameters'!$A$3:$B$218,2,FALSE))</f>
        <v/>
      </c>
      <c r="BG12" s="62" t="str">
        <f>IF(BG11="","",VLOOKUP(BG11,'Tech Tree Node Parameters'!$A$3:$B$218,2,FALSE))</f>
        <v/>
      </c>
      <c r="BH12" s="62" t="str">
        <f>IF(BH11="","",VLOOKUP(BH11,'Tech Tree Node Parameters'!$A$3:$B$218,2,FALSE))</f>
        <v/>
      </c>
      <c r="BI12" s="62" t="str">
        <f>IF(BI11="","",VLOOKUP(BI11,'Tech Tree Node Parameters'!$A$3:$B$218,2,FALSE))</f>
        <v/>
      </c>
      <c r="BJ12" s="62" t="str">
        <f>IF(BJ11="","",VLOOKUP(BJ11,'Tech Tree Node Parameters'!$A$3:$B$218,2,FALSE))</f>
        <v/>
      </c>
      <c r="BK12" s="62" t="str">
        <f>IF(BK11="","",VLOOKUP(BK11,'Tech Tree Node Parameters'!$A$3:$B$218,2,FALSE))</f>
        <v/>
      </c>
      <c r="BL12" s="62" t="str">
        <f>IF(BL11="","",VLOOKUP(BL11,'Tech Tree Node Parameters'!$A$3:$B$218,2,FALSE))</f>
        <v/>
      </c>
      <c r="BM12" s="62" t="str">
        <f>IF(BM11="","",VLOOKUP(BM11,'Tech Tree Node Parameters'!$A$3:$B$218,2,FALSE))</f>
        <v/>
      </c>
      <c r="BN12" s="62" t="str">
        <f>IF(BN11="","",VLOOKUP(BN11,'Tech Tree Node Parameters'!$A$3:$B$218,2,FALSE))</f>
        <v/>
      </c>
      <c r="BO12" s="62" t="str">
        <f>IF(BO11="","",VLOOKUP(BO11,'Tech Tree Node Parameters'!$A$3:$B$218,2,FALSE))</f>
        <v/>
      </c>
      <c r="BP12" s="62" t="str">
        <f>IF(BP11="","",VLOOKUP(BP11,'Tech Tree Node Parameters'!$A$3:$B$218,2,FALSE))</f>
        <v/>
      </c>
      <c r="BQ12" s="62" t="str">
        <f>IF(BQ11="","",VLOOKUP(BQ11,'Tech Tree Node Parameters'!$A$3:$B$218,2,FALSE))</f>
        <v/>
      </c>
      <c r="BR12" s="62" t="str">
        <f>IF(BR11="","",VLOOKUP(BR11,'Tech Tree Node Parameters'!$A$3:$B$218,2,FALSE))</f>
        <v/>
      </c>
      <c r="BS12" s="62" t="str">
        <f>IF(BS11="","",VLOOKUP(BS11,'Tech Tree Node Parameters'!$A$3:$B$218,2,FALSE))</f>
        <v/>
      </c>
      <c r="BT12" s="62" t="str">
        <f>IF(BT11="","",VLOOKUP(BT11,'Tech Tree Node Parameters'!$A$3:$B$218,2,FALSE))</f>
        <v/>
      </c>
      <c r="BU12" s="62" t="str">
        <f>IF(BU11="","",VLOOKUP(BU11,'Tech Tree Node Parameters'!$A$3:$B$218,2,FALSE))</f>
        <v/>
      </c>
      <c r="BV12" s="62" t="str">
        <f>IF(BV11="","",VLOOKUP(BV11,'Tech Tree Node Parameters'!$A$3:$B$218,2,FALSE))</f>
        <v/>
      </c>
      <c r="BW12" s="62" t="str">
        <f>IF(BW11="","",VLOOKUP(BW11,'Tech Tree Node Parameters'!$A$3:$B$218,2,FALSE))</f>
        <v/>
      </c>
      <c r="BX12" s="62" t="str">
        <f>IF(BX11="","",VLOOKUP(BX11,'Tech Tree Node Parameters'!$A$3:$B$218,2,FALSE))</f>
        <v/>
      </c>
      <c r="BY12" s="62" t="str">
        <f>IF(BY11="","",VLOOKUP(BY11,'Tech Tree Node Parameters'!$A$3:$B$218,2,FALSE))</f>
        <v/>
      </c>
      <c r="BZ12" s="62" t="str">
        <f>IF(BZ11="","",VLOOKUP(BZ11,'Tech Tree Node Parameters'!$A$3:$B$218,2,FALSE))</f>
        <v/>
      </c>
      <c r="CA12" s="62" t="str">
        <f>IF(CA11="","",VLOOKUP(CA11,'Tech Tree Node Parameters'!$A$3:$B$218,2,FALSE))</f>
        <v/>
      </c>
      <c r="CB12" s="62" t="str">
        <f>IF(CB11="","",VLOOKUP(CB11,'Tech Tree Node Parameters'!$A$3:$B$218,2,FALSE))</f>
        <v/>
      </c>
      <c r="CC12" s="62" t="str">
        <f>IF(CC11="","",VLOOKUP(CC11,'Tech Tree Node Parameters'!$A$3:$B$218,2,FALSE))</f>
        <v/>
      </c>
      <c r="CD12" s="62" t="str">
        <f>IF(CD11="","",VLOOKUP(CD11,'Tech Tree Node Parameters'!$A$3:$B$218,2,FALSE))</f>
        <v/>
      </c>
      <c r="CE12" s="62" t="str">
        <f>IF(CE11="","",VLOOKUP(CE11,'Tech Tree Node Parameters'!$A$3:$B$218,2,FALSE))</f>
        <v/>
      </c>
      <c r="CF12" s="62" t="str">
        <f>IF(CF11="","",VLOOKUP(CF11,'Tech Tree Node Parameters'!$A$3:$B$218,2,FALSE))</f>
        <v/>
      </c>
      <c r="CG12" s="62" t="str">
        <f>IF(CG11="","",VLOOKUP(CG11,'Tech Tree Node Parameters'!$A$3:$B$218,2,FALSE))</f>
        <v/>
      </c>
      <c r="CH12" s="62" t="str">
        <f>IF(CH11="","",VLOOKUP(CH11,'Tech Tree Node Parameters'!$A$3:$B$218,2,FALSE))</f>
        <v/>
      </c>
      <c r="CI12" s="62" t="str">
        <f>IF(CI11="","",VLOOKUP(CI11,'Tech Tree Node Parameters'!$A$3:$B$218,2,FALSE))</f>
        <v/>
      </c>
      <c r="CJ12" s="62" t="str">
        <f>IF(CJ11="","",VLOOKUP(CJ11,'Tech Tree Node Parameters'!$A$3:$B$218,2,FALSE))</f>
        <v/>
      </c>
      <c r="CK12" s="62" t="str">
        <f>IF(CK11="","",VLOOKUP(CK11,'Tech Tree Node Parameters'!$A$3:$B$218,2,FALSE))</f>
        <v/>
      </c>
      <c r="CL12" s="62" t="str">
        <f>IF(CL11="","",VLOOKUP(CL11,'Tech Tree Node Parameters'!$A$3:$B$218,2,FALSE))</f>
        <v/>
      </c>
      <c r="CM12" s="62" t="str">
        <f>IF(CM11="","",VLOOKUP(CM11,'Tech Tree Node Parameters'!$A$3:$B$218,2,FALSE))</f>
        <v/>
      </c>
      <c r="CN12" s="62" t="str">
        <f>IF(CN11="","",VLOOKUP(CN11,'Tech Tree Node Parameters'!$A$3:$B$218,2,FALSE))</f>
        <v/>
      </c>
      <c r="CO12" s="62" t="str">
        <f>IF(CO11="","",VLOOKUP(CO11,'Tech Tree Node Parameters'!$A$3:$B$218,2,FALSE))</f>
        <v/>
      </c>
      <c r="CP12" s="62" t="str">
        <f>IF(CP11="","",VLOOKUP(CP11,'Tech Tree Node Parameters'!$A$3:$B$218,2,FALSE))</f>
        <v/>
      </c>
      <c r="CQ12" s="62" t="str">
        <f>IF(CQ11="","",VLOOKUP(CQ11,'Tech Tree Node Parameters'!$A$3:$B$218,2,FALSE))</f>
        <v/>
      </c>
      <c r="CR12" s="62" t="str">
        <f>IF(CR11="","",VLOOKUP(CR11,'Tech Tree Node Parameters'!$A$3:$B$218,2,FALSE))</f>
        <v/>
      </c>
      <c r="CS12" s="62" t="str">
        <f>IF(CS11="","",VLOOKUP(CS11,'Tech Tree Node Parameters'!$A$3:$B$218,2,FALSE))</f>
        <v/>
      </c>
      <c r="CT12" s="62" t="str">
        <f>IF(CT11="","",VLOOKUP(CT11,'Tech Tree Node Parameters'!$A$3:$B$218,2,FALSE))</f>
        <v/>
      </c>
      <c r="CU12" s="62" t="str">
        <f>IF(CU11="","",VLOOKUP(CU11,'Tech Tree Node Parameters'!$A$3:$B$218,2,FALSE))</f>
        <v/>
      </c>
      <c r="CV12" s="62" t="str">
        <f>IF(CV11="","",VLOOKUP(CV11,'Tech Tree Node Parameters'!$A$3:$B$218,2,FALSE))</f>
        <v/>
      </c>
      <c r="CW12" s="62" t="str">
        <f>IF(CW11="","",VLOOKUP(CW11,'Tech Tree Node Parameters'!$A$3:$B$218,2,FALSE))</f>
        <v/>
      </c>
      <c r="CX12" s="62" t="str">
        <f>IF(CX11="","",VLOOKUP(CX11,'Tech Tree Node Parameters'!$A$3:$B$218,2,FALSE))</f>
        <v/>
      </c>
      <c r="CY12" s="36" t="str">
        <f>IF(CY11="","",VLOOKUP(CY11,'Tech Tree Node Parameters'!$A$3:$B$218,2,FALSE))</f>
        <v/>
      </c>
    </row>
    <row r="13" spans="1:103" s="47" customFormat="1" x14ac:dyDescent="0.25">
      <c r="A13" s="72">
        <f t="shared" si="9"/>
        <v>57</v>
      </c>
      <c r="B13" s="69">
        <f>B15+$D$6</f>
        <v>2203</v>
      </c>
      <c r="C13" s="39"/>
      <c r="D13" s="61"/>
      <c r="E13" s="61"/>
      <c r="F13" s="61"/>
      <c r="G13" s="61"/>
      <c r="H13" s="61"/>
      <c r="I13" s="61"/>
      <c r="J13" s="61"/>
      <c r="K13" s="61"/>
      <c r="L13" s="61"/>
      <c r="M13" s="61"/>
      <c r="N13" s="61"/>
      <c r="O13" s="61"/>
      <c r="P13" s="61"/>
      <c r="Q13" s="61"/>
      <c r="R13" s="61"/>
      <c r="S13" s="61"/>
      <c r="T13" s="61"/>
      <c r="U13" s="61"/>
      <c r="V13" s="61"/>
      <c r="W13" s="61"/>
      <c r="X13" s="61"/>
      <c r="Y13" s="61"/>
      <c r="Z13" s="61"/>
      <c r="AA13" s="61"/>
      <c r="AB13" s="61"/>
      <c r="AC13" s="61"/>
      <c r="AD13" s="61"/>
      <c r="AE13" s="61"/>
      <c r="AF13" s="61"/>
      <c r="AG13" s="61"/>
      <c r="AH13" s="61"/>
      <c r="AI13" s="61"/>
      <c r="AJ13" s="61"/>
      <c r="AK13" s="61"/>
      <c r="AL13" s="61"/>
      <c r="AM13" s="61"/>
      <c r="AN13" s="61"/>
      <c r="AO13" s="61"/>
      <c r="AP13" s="61"/>
      <c r="AQ13" s="61"/>
      <c r="AR13" s="61"/>
      <c r="AS13" s="61"/>
      <c r="AT13" s="61"/>
      <c r="AU13" s="61"/>
      <c r="AV13" s="61"/>
      <c r="AW13" s="61"/>
      <c r="AX13" s="61"/>
      <c r="AY13" s="61"/>
      <c r="AZ13" s="61"/>
      <c r="BA13" s="61"/>
      <c r="BB13" s="61"/>
      <c r="BC13" s="61"/>
      <c r="BD13" s="61"/>
      <c r="BE13" s="61"/>
      <c r="BF13" s="61"/>
      <c r="BG13" s="61"/>
      <c r="BH13" s="61"/>
      <c r="BI13" s="61"/>
      <c r="BJ13" s="61"/>
      <c r="BK13" s="61"/>
      <c r="BL13" s="61"/>
      <c r="BM13" s="61"/>
      <c r="BN13" s="61"/>
      <c r="BO13" s="61"/>
      <c r="BP13" s="61"/>
      <c r="BQ13" s="61"/>
      <c r="BR13" s="61"/>
      <c r="BS13" s="61"/>
      <c r="BT13" s="61"/>
      <c r="BU13" s="61"/>
      <c r="BV13" s="61"/>
      <c r="BW13" s="61"/>
      <c r="BX13" s="61"/>
      <c r="BY13" s="61"/>
      <c r="BZ13" s="61"/>
      <c r="CA13" s="61"/>
      <c r="CB13" s="61"/>
      <c r="CC13" s="61"/>
      <c r="CD13" s="61"/>
      <c r="CE13" s="61"/>
      <c r="CF13" s="61"/>
      <c r="CG13" s="61"/>
      <c r="CH13" s="61"/>
      <c r="CI13" s="61"/>
      <c r="CJ13" s="61"/>
      <c r="CK13" s="61"/>
      <c r="CL13" s="61"/>
      <c r="CM13" s="61"/>
      <c r="CN13" s="61"/>
      <c r="CO13" s="61"/>
      <c r="CP13" s="61"/>
      <c r="CQ13" s="61"/>
      <c r="CR13" s="61"/>
      <c r="CS13" s="61"/>
      <c r="CT13" s="61"/>
      <c r="CU13" s="61"/>
      <c r="CV13" s="61"/>
      <c r="CW13" s="61"/>
      <c r="CX13" s="61"/>
      <c r="CY13" s="35"/>
    </row>
    <row r="14" spans="1:103" s="47" customFormat="1" x14ac:dyDescent="0.25">
      <c r="A14" s="72"/>
      <c r="B14" s="70"/>
      <c r="C14" s="40"/>
      <c r="D14" s="62" t="str">
        <f>IF(D13="","",VLOOKUP(D13,'Tech Tree Node Parameters'!$A$3:$B$218,2,FALSE))</f>
        <v/>
      </c>
      <c r="E14" s="62" t="str">
        <f>IF(E13="","",VLOOKUP(E13,'Tech Tree Node Parameters'!$A$3:$B$218,2,FALSE))</f>
        <v/>
      </c>
      <c r="F14" s="62" t="str">
        <f>IF(F13="","",VLOOKUP(F13,'Tech Tree Node Parameters'!$A$3:$B$218,2,FALSE))</f>
        <v/>
      </c>
      <c r="G14" s="62" t="str">
        <f>IF(G13="","",VLOOKUP(G13,'Tech Tree Node Parameters'!$A$3:$B$218,2,FALSE))</f>
        <v/>
      </c>
      <c r="H14" s="62" t="str">
        <f>IF(H13="","",VLOOKUP(H13,'Tech Tree Node Parameters'!$A$3:$B$218,2,FALSE))</f>
        <v/>
      </c>
      <c r="I14" s="62" t="str">
        <f>IF(I13="","",VLOOKUP(I13,'Tech Tree Node Parameters'!$A$3:$B$218,2,FALSE))</f>
        <v/>
      </c>
      <c r="J14" s="62" t="str">
        <f>IF(J13="","",VLOOKUP(J13,'Tech Tree Node Parameters'!$A$3:$B$218,2,FALSE))</f>
        <v/>
      </c>
      <c r="K14" s="62" t="str">
        <f>IF(K13="","",VLOOKUP(K13,'Tech Tree Node Parameters'!$A$3:$B$218,2,FALSE))</f>
        <v/>
      </c>
      <c r="L14" s="62" t="str">
        <f>IF(L13="","",VLOOKUP(L13,'Tech Tree Node Parameters'!$A$3:$B$218,2,FALSE))</f>
        <v/>
      </c>
      <c r="M14" s="62" t="str">
        <f>IF(M13="","",VLOOKUP(M13,'Tech Tree Node Parameters'!$A$3:$B$218,2,FALSE))</f>
        <v/>
      </c>
      <c r="N14" s="62" t="str">
        <f>IF(N13="","",VLOOKUP(N13,'Tech Tree Node Parameters'!$A$3:$B$218,2,FALSE))</f>
        <v/>
      </c>
      <c r="O14" s="62" t="str">
        <f>IF(O13="","",VLOOKUP(O13,'Tech Tree Node Parameters'!$A$3:$B$218,2,FALSE))</f>
        <v/>
      </c>
      <c r="P14" s="62" t="str">
        <f>IF(P13="","",VLOOKUP(P13,'Tech Tree Node Parameters'!$A$3:$B$218,2,FALSE))</f>
        <v/>
      </c>
      <c r="Q14" s="62" t="str">
        <f>IF(Q13="","",VLOOKUP(Q13,'Tech Tree Node Parameters'!$A$3:$B$218,2,FALSE))</f>
        <v/>
      </c>
      <c r="R14" s="62" t="str">
        <f>IF(R13="","",VLOOKUP(R13,'Tech Tree Node Parameters'!$A$3:$B$218,2,FALSE))</f>
        <v/>
      </c>
      <c r="S14" s="62" t="str">
        <f>IF(S13="","",VLOOKUP(S13,'Tech Tree Node Parameters'!$A$3:$B$218,2,FALSE))</f>
        <v/>
      </c>
      <c r="T14" s="62" t="str">
        <f>IF(T13="","",VLOOKUP(T13,'Tech Tree Node Parameters'!$A$3:$B$218,2,FALSE))</f>
        <v/>
      </c>
      <c r="U14" s="62" t="str">
        <f>IF(U13="","",VLOOKUP(U13,'Tech Tree Node Parameters'!$A$3:$B$218,2,FALSE))</f>
        <v/>
      </c>
      <c r="V14" s="62" t="str">
        <f>IF(V13="","",VLOOKUP(V13,'Tech Tree Node Parameters'!$A$3:$B$218,2,FALSE))</f>
        <v/>
      </c>
      <c r="W14" s="62" t="str">
        <f>IF(W13="","",VLOOKUP(W13,'Tech Tree Node Parameters'!$A$3:$B$218,2,FALSE))</f>
        <v/>
      </c>
      <c r="X14" s="62" t="str">
        <f>IF(X13="","",VLOOKUP(X13,'Tech Tree Node Parameters'!$A$3:$B$218,2,FALSE))</f>
        <v/>
      </c>
      <c r="Y14" s="62" t="str">
        <f>IF(Y13="","",VLOOKUP(Y13,'Tech Tree Node Parameters'!$A$3:$B$218,2,FALSE))</f>
        <v/>
      </c>
      <c r="Z14" s="62" t="str">
        <f>IF(Z13="","",VLOOKUP(Z13,'Tech Tree Node Parameters'!$A$3:$B$218,2,FALSE))</f>
        <v/>
      </c>
      <c r="AA14" s="62" t="str">
        <f>IF(AA13="","",VLOOKUP(AA13,'Tech Tree Node Parameters'!$A$3:$B$218,2,FALSE))</f>
        <v/>
      </c>
      <c r="AB14" s="62" t="str">
        <f>IF(AB13="","",VLOOKUP(AB13,'Tech Tree Node Parameters'!$A$3:$B$218,2,FALSE))</f>
        <v/>
      </c>
      <c r="AC14" s="62" t="str">
        <f>IF(AC13="","",VLOOKUP(AC13,'Tech Tree Node Parameters'!$A$3:$B$218,2,FALSE))</f>
        <v/>
      </c>
      <c r="AD14" s="62" t="str">
        <f>IF(AD13="","",VLOOKUP(AD13,'Tech Tree Node Parameters'!$A$3:$B$218,2,FALSE))</f>
        <v/>
      </c>
      <c r="AE14" s="62" t="str">
        <f>IF(AE13="","",VLOOKUP(AE13,'Tech Tree Node Parameters'!$A$3:$B$218,2,FALSE))</f>
        <v/>
      </c>
      <c r="AF14" s="62" t="str">
        <f>IF(AF13="","",VLOOKUP(AF13,'Tech Tree Node Parameters'!$A$3:$B$218,2,FALSE))</f>
        <v/>
      </c>
      <c r="AG14" s="62" t="str">
        <f>IF(AG13="","",VLOOKUP(AG13,'Tech Tree Node Parameters'!$A$3:$B$218,2,FALSE))</f>
        <v/>
      </c>
      <c r="AH14" s="62" t="str">
        <f>IF(AH13="","",VLOOKUP(AH13,'Tech Tree Node Parameters'!$A$3:$B$218,2,FALSE))</f>
        <v/>
      </c>
      <c r="AI14" s="62" t="str">
        <f>IF(AI13="","",VLOOKUP(AI13,'Tech Tree Node Parameters'!$A$3:$B$218,2,FALSE))</f>
        <v/>
      </c>
      <c r="AJ14" s="62" t="str">
        <f>IF(AJ13="","",VLOOKUP(AJ13,'Tech Tree Node Parameters'!$A$3:$B$218,2,FALSE))</f>
        <v/>
      </c>
      <c r="AK14" s="62" t="str">
        <f>IF(AK13="","",VLOOKUP(AK13,'Tech Tree Node Parameters'!$A$3:$B$218,2,FALSE))</f>
        <v/>
      </c>
      <c r="AL14" s="62" t="str">
        <f>IF(AL13="","",VLOOKUP(AL13,'Tech Tree Node Parameters'!$A$3:$B$218,2,FALSE))</f>
        <v/>
      </c>
      <c r="AM14" s="62" t="str">
        <f>IF(AM13="","",VLOOKUP(AM13,'Tech Tree Node Parameters'!$A$3:$B$218,2,FALSE))</f>
        <v/>
      </c>
      <c r="AN14" s="62" t="str">
        <f>IF(AN13="","",VLOOKUP(AN13,'Tech Tree Node Parameters'!$A$3:$B$218,2,FALSE))</f>
        <v/>
      </c>
      <c r="AO14" s="62" t="str">
        <f>IF(AO13="","",VLOOKUP(AO13,'Tech Tree Node Parameters'!$A$3:$B$218,2,FALSE))</f>
        <v/>
      </c>
      <c r="AP14" s="62" t="str">
        <f>IF(AP13="","",VLOOKUP(AP13,'Tech Tree Node Parameters'!$A$3:$B$218,2,FALSE))</f>
        <v/>
      </c>
      <c r="AQ14" s="62" t="str">
        <f>IF(AQ13="","",VLOOKUP(AQ13,'Tech Tree Node Parameters'!$A$3:$B$218,2,FALSE))</f>
        <v/>
      </c>
      <c r="AR14" s="62" t="str">
        <f>IF(AR13="","",VLOOKUP(AR13,'Tech Tree Node Parameters'!$A$3:$B$218,2,FALSE))</f>
        <v/>
      </c>
      <c r="AS14" s="62" t="str">
        <f>IF(AS13="","",VLOOKUP(AS13,'Tech Tree Node Parameters'!$A$3:$B$218,2,FALSE))</f>
        <v/>
      </c>
      <c r="AT14" s="62" t="str">
        <f>IF(AT13="","",VLOOKUP(AT13,'Tech Tree Node Parameters'!$A$3:$B$218,2,FALSE))</f>
        <v/>
      </c>
      <c r="AU14" s="62" t="str">
        <f>IF(AU13="","",VLOOKUP(AU13,'Tech Tree Node Parameters'!$A$3:$B$218,2,FALSE))</f>
        <v/>
      </c>
      <c r="AV14" s="62" t="str">
        <f>IF(AV13="","",VLOOKUP(AV13,'Tech Tree Node Parameters'!$A$3:$B$218,2,FALSE))</f>
        <v/>
      </c>
      <c r="AW14" s="62" t="str">
        <f>IF(AW13="","",VLOOKUP(AW13,'Tech Tree Node Parameters'!$A$3:$B$218,2,FALSE))</f>
        <v/>
      </c>
      <c r="AX14" s="62" t="str">
        <f>IF(AX13="","",VLOOKUP(AX13,'Tech Tree Node Parameters'!$A$3:$B$218,2,FALSE))</f>
        <v/>
      </c>
      <c r="AY14" s="62" t="str">
        <f>IF(AY13="","",VLOOKUP(AY13,'Tech Tree Node Parameters'!$A$3:$B$218,2,FALSE))</f>
        <v/>
      </c>
      <c r="AZ14" s="62" t="str">
        <f>IF(AZ13="","",VLOOKUP(AZ13,'Tech Tree Node Parameters'!$A$3:$B$218,2,FALSE))</f>
        <v/>
      </c>
      <c r="BA14" s="62" t="str">
        <f>IF(BA13="","",VLOOKUP(BA13,'Tech Tree Node Parameters'!$A$3:$B$218,2,FALSE))</f>
        <v/>
      </c>
      <c r="BB14" s="62" t="str">
        <f>IF(BB13="","",VLOOKUP(BB13,'Tech Tree Node Parameters'!$A$3:$B$218,2,FALSE))</f>
        <v/>
      </c>
      <c r="BC14" s="62" t="str">
        <f>IF(BC13="","",VLOOKUP(BC13,'Tech Tree Node Parameters'!$A$3:$B$218,2,FALSE))</f>
        <v/>
      </c>
      <c r="BD14" s="62" t="str">
        <f>IF(BD13="","",VLOOKUP(BD13,'Tech Tree Node Parameters'!$A$3:$B$218,2,FALSE))</f>
        <v/>
      </c>
      <c r="BE14" s="62" t="str">
        <f>IF(BE13="","",VLOOKUP(BE13,'Tech Tree Node Parameters'!$A$3:$B$218,2,FALSE))</f>
        <v/>
      </c>
      <c r="BF14" s="62" t="str">
        <f>IF(BF13="","",VLOOKUP(BF13,'Tech Tree Node Parameters'!$A$3:$B$218,2,FALSE))</f>
        <v/>
      </c>
      <c r="BG14" s="62" t="str">
        <f>IF(BG13="","",VLOOKUP(BG13,'Tech Tree Node Parameters'!$A$3:$B$218,2,FALSE))</f>
        <v/>
      </c>
      <c r="BH14" s="62" t="str">
        <f>IF(BH13="","",VLOOKUP(BH13,'Tech Tree Node Parameters'!$A$3:$B$218,2,FALSE))</f>
        <v/>
      </c>
      <c r="BI14" s="62" t="str">
        <f>IF(BI13="","",VLOOKUP(BI13,'Tech Tree Node Parameters'!$A$3:$B$218,2,FALSE))</f>
        <v/>
      </c>
      <c r="BJ14" s="62" t="str">
        <f>IF(BJ13="","",VLOOKUP(BJ13,'Tech Tree Node Parameters'!$A$3:$B$218,2,FALSE))</f>
        <v/>
      </c>
      <c r="BK14" s="62" t="str">
        <f>IF(BK13="","",VLOOKUP(BK13,'Tech Tree Node Parameters'!$A$3:$B$218,2,FALSE))</f>
        <v/>
      </c>
      <c r="BL14" s="62" t="str">
        <f>IF(BL13="","",VLOOKUP(BL13,'Tech Tree Node Parameters'!$A$3:$B$218,2,FALSE))</f>
        <v/>
      </c>
      <c r="BM14" s="62" t="str">
        <f>IF(BM13="","",VLOOKUP(BM13,'Tech Tree Node Parameters'!$A$3:$B$218,2,FALSE))</f>
        <v/>
      </c>
      <c r="BN14" s="62" t="str">
        <f>IF(BN13="","",VLOOKUP(BN13,'Tech Tree Node Parameters'!$A$3:$B$218,2,FALSE))</f>
        <v/>
      </c>
      <c r="BO14" s="62" t="str">
        <f>IF(BO13="","",VLOOKUP(BO13,'Tech Tree Node Parameters'!$A$3:$B$218,2,FALSE))</f>
        <v/>
      </c>
      <c r="BP14" s="62" t="str">
        <f>IF(BP13="","",VLOOKUP(BP13,'Tech Tree Node Parameters'!$A$3:$B$218,2,FALSE))</f>
        <v/>
      </c>
      <c r="BQ14" s="62" t="str">
        <f>IF(BQ13="","",VLOOKUP(BQ13,'Tech Tree Node Parameters'!$A$3:$B$218,2,FALSE))</f>
        <v/>
      </c>
      <c r="BR14" s="62" t="str">
        <f>IF(BR13="","",VLOOKUP(BR13,'Tech Tree Node Parameters'!$A$3:$B$218,2,FALSE))</f>
        <v/>
      </c>
      <c r="BS14" s="62" t="str">
        <f>IF(BS13="","",VLOOKUP(BS13,'Tech Tree Node Parameters'!$A$3:$B$218,2,FALSE))</f>
        <v/>
      </c>
      <c r="BT14" s="62" t="str">
        <f>IF(BT13="","",VLOOKUP(BT13,'Tech Tree Node Parameters'!$A$3:$B$218,2,FALSE))</f>
        <v/>
      </c>
      <c r="BU14" s="62" t="str">
        <f>IF(BU13="","",VLOOKUP(BU13,'Tech Tree Node Parameters'!$A$3:$B$218,2,FALSE))</f>
        <v/>
      </c>
      <c r="BV14" s="62" t="str">
        <f>IF(BV13="","",VLOOKUP(BV13,'Tech Tree Node Parameters'!$A$3:$B$218,2,FALSE))</f>
        <v/>
      </c>
      <c r="BW14" s="62" t="str">
        <f>IF(BW13="","",VLOOKUP(BW13,'Tech Tree Node Parameters'!$A$3:$B$218,2,FALSE))</f>
        <v/>
      </c>
      <c r="BX14" s="62" t="str">
        <f>IF(BX13="","",VLOOKUP(BX13,'Tech Tree Node Parameters'!$A$3:$B$218,2,FALSE))</f>
        <v/>
      </c>
      <c r="BY14" s="62" t="str">
        <f>IF(BY13="","",VLOOKUP(BY13,'Tech Tree Node Parameters'!$A$3:$B$218,2,FALSE))</f>
        <v/>
      </c>
      <c r="BZ14" s="62" t="str">
        <f>IF(BZ13="","",VLOOKUP(BZ13,'Tech Tree Node Parameters'!$A$3:$B$218,2,FALSE))</f>
        <v/>
      </c>
      <c r="CA14" s="62" t="str">
        <f>IF(CA13="","",VLOOKUP(CA13,'Tech Tree Node Parameters'!$A$3:$B$218,2,FALSE))</f>
        <v/>
      </c>
      <c r="CB14" s="62" t="str">
        <f>IF(CB13="","",VLOOKUP(CB13,'Tech Tree Node Parameters'!$A$3:$B$218,2,FALSE))</f>
        <v/>
      </c>
      <c r="CC14" s="62" t="str">
        <f>IF(CC13="","",VLOOKUP(CC13,'Tech Tree Node Parameters'!$A$3:$B$218,2,FALSE))</f>
        <v/>
      </c>
      <c r="CD14" s="62" t="str">
        <f>IF(CD13="","",VLOOKUP(CD13,'Tech Tree Node Parameters'!$A$3:$B$218,2,FALSE))</f>
        <v/>
      </c>
      <c r="CE14" s="62" t="str">
        <f>IF(CE13="","",VLOOKUP(CE13,'Tech Tree Node Parameters'!$A$3:$B$218,2,FALSE))</f>
        <v/>
      </c>
      <c r="CF14" s="62" t="str">
        <f>IF(CF13="","",VLOOKUP(CF13,'Tech Tree Node Parameters'!$A$3:$B$218,2,FALSE))</f>
        <v/>
      </c>
      <c r="CG14" s="62" t="str">
        <f>IF(CG13="","",VLOOKUP(CG13,'Tech Tree Node Parameters'!$A$3:$B$218,2,FALSE))</f>
        <v/>
      </c>
      <c r="CH14" s="62" t="str">
        <f>IF(CH13="","",VLOOKUP(CH13,'Tech Tree Node Parameters'!$A$3:$B$218,2,FALSE))</f>
        <v/>
      </c>
      <c r="CI14" s="62" t="str">
        <f>IF(CI13="","",VLOOKUP(CI13,'Tech Tree Node Parameters'!$A$3:$B$218,2,FALSE))</f>
        <v/>
      </c>
      <c r="CJ14" s="62" t="str">
        <f>IF(CJ13="","",VLOOKUP(CJ13,'Tech Tree Node Parameters'!$A$3:$B$218,2,FALSE))</f>
        <v/>
      </c>
      <c r="CK14" s="62" t="str">
        <f>IF(CK13="","",VLOOKUP(CK13,'Tech Tree Node Parameters'!$A$3:$B$218,2,FALSE))</f>
        <v/>
      </c>
      <c r="CL14" s="62" t="str">
        <f>IF(CL13="","",VLOOKUP(CL13,'Tech Tree Node Parameters'!$A$3:$B$218,2,FALSE))</f>
        <v/>
      </c>
      <c r="CM14" s="62" t="str">
        <f>IF(CM13="","",VLOOKUP(CM13,'Tech Tree Node Parameters'!$A$3:$B$218,2,FALSE))</f>
        <v/>
      </c>
      <c r="CN14" s="62" t="str">
        <f>IF(CN13="","",VLOOKUP(CN13,'Tech Tree Node Parameters'!$A$3:$B$218,2,FALSE))</f>
        <v/>
      </c>
      <c r="CO14" s="62" t="str">
        <f>IF(CO13="","",VLOOKUP(CO13,'Tech Tree Node Parameters'!$A$3:$B$218,2,FALSE))</f>
        <v/>
      </c>
      <c r="CP14" s="62" t="str">
        <f>IF(CP13="","",VLOOKUP(CP13,'Tech Tree Node Parameters'!$A$3:$B$218,2,FALSE))</f>
        <v/>
      </c>
      <c r="CQ14" s="62" t="str">
        <f>IF(CQ13="","",VLOOKUP(CQ13,'Tech Tree Node Parameters'!$A$3:$B$218,2,FALSE))</f>
        <v/>
      </c>
      <c r="CR14" s="62" t="str">
        <f>IF(CR13="","",VLOOKUP(CR13,'Tech Tree Node Parameters'!$A$3:$B$218,2,FALSE))</f>
        <v/>
      </c>
      <c r="CS14" s="62" t="str">
        <f>IF(CS13="","",VLOOKUP(CS13,'Tech Tree Node Parameters'!$A$3:$B$218,2,FALSE))</f>
        <v/>
      </c>
      <c r="CT14" s="62" t="str">
        <f>IF(CT13="","",VLOOKUP(CT13,'Tech Tree Node Parameters'!$A$3:$B$218,2,FALSE))</f>
        <v/>
      </c>
      <c r="CU14" s="62" t="str">
        <f>IF(CU13="","",VLOOKUP(CU13,'Tech Tree Node Parameters'!$A$3:$B$218,2,FALSE))</f>
        <v/>
      </c>
      <c r="CV14" s="62" t="str">
        <f>IF(CV13="","",VLOOKUP(CV13,'Tech Tree Node Parameters'!$A$3:$B$218,2,FALSE))</f>
        <v/>
      </c>
      <c r="CW14" s="62" t="str">
        <f>IF(CW13="","",VLOOKUP(CW13,'Tech Tree Node Parameters'!$A$3:$B$218,2,FALSE))</f>
        <v/>
      </c>
      <c r="CX14" s="62" t="str">
        <f>IF(CX13="","",VLOOKUP(CX13,'Tech Tree Node Parameters'!$A$3:$B$218,2,FALSE))</f>
        <v/>
      </c>
      <c r="CY14" s="36" t="str">
        <f>IF(CY13="","",VLOOKUP(CY13,'Tech Tree Node Parameters'!$A$3:$B$218,2,FALSE))</f>
        <v/>
      </c>
    </row>
    <row r="15" spans="1:103" s="47" customFormat="1" x14ac:dyDescent="0.25">
      <c r="A15" s="72">
        <f t="shared" si="9"/>
        <v>56</v>
      </c>
      <c r="B15" s="69">
        <f>B17+$D$6</f>
        <v>2165</v>
      </c>
      <c r="C15" s="39"/>
      <c r="D15" s="61"/>
      <c r="E15" s="61"/>
      <c r="F15" s="61"/>
      <c r="G15" s="61"/>
      <c r="H15" s="61"/>
      <c r="I15" s="61"/>
      <c r="J15" s="61"/>
      <c r="K15" s="61"/>
      <c r="L15" s="61"/>
      <c r="M15" s="61"/>
      <c r="N15" s="61"/>
      <c r="O15" s="61"/>
      <c r="P15" s="61"/>
      <c r="Q15" s="61"/>
      <c r="R15" s="61"/>
      <c r="S15" s="61"/>
      <c r="T15" s="61"/>
      <c r="U15" s="61"/>
      <c r="V15" s="61"/>
      <c r="W15" s="61"/>
      <c r="X15" s="61"/>
      <c r="Y15" s="61"/>
      <c r="Z15" s="61"/>
      <c r="AA15" s="61"/>
      <c r="AB15" s="61"/>
      <c r="AC15" s="61"/>
      <c r="AD15" s="61"/>
      <c r="AE15" s="61"/>
      <c r="AF15" s="61"/>
      <c r="AG15" s="61"/>
      <c r="AH15" s="61"/>
      <c r="AI15" s="61"/>
      <c r="AJ15" s="61"/>
      <c r="AK15" s="61" t="s">
        <v>444</v>
      </c>
      <c r="AL15" s="61"/>
      <c r="AM15" s="61" t="s">
        <v>204</v>
      </c>
      <c r="AN15" s="61"/>
      <c r="AO15" s="61"/>
      <c r="AP15" s="61"/>
      <c r="AQ15" s="61"/>
      <c r="AR15" s="61"/>
      <c r="AS15" s="61"/>
      <c r="AT15" s="61"/>
      <c r="AU15" s="61"/>
      <c r="AV15" s="61"/>
      <c r="AW15" s="61"/>
      <c r="AX15" s="61"/>
      <c r="AY15" s="61" t="s">
        <v>508</v>
      </c>
      <c r="AZ15" s="61"/>
      <c r="BA15" s="61" t="s">
        <v>124</v>
      </c>
      <c r="BB15" s="61"/>
      <c r="BC15" s="61"/>
      <c r="BD15" s="61"/>
      <c r="BE15" s="61"/>
      <c r="BF15" s="61"/>
      <c r="BG15" s="61"/>
      <c r="BH15" s="61"/>
      <c r="BI15" s="61"/>
      <c r="BJ15" s="61"/>
      <c r="BK15" s="61"/>
      <c r="BL15" s="61"/>
      <c r="BM15" s="61"/>
      <c r="BN15" s="61"/>
      <c r="BO15" s="61"/>
      <c r="BP15" s="61"/>
      <c r="BQ15" s="61"/>
      <c r="BR15" s="61"/>
      <c r="BS15" s="61"/>
      <c r="BT15" s="61"/>
      <c r="BU15" s="61"/>
      <c r="BV15" s="61"/>
      <c r="BW15" s="61"/>
      <c r="BX15" s="61"/>
      <c r="BY15" s="61"/>
      <c r="BZ15" s="61"/>
      <c r="CA15" s="61"/>
      <c r="CB15" s="61"/>
      <c r="CC15" s="61"/>
      <c r="CD15" s="61"/>
      <c r="CE15" s="61"/>
      <c r="CF15" s="61"/>
      <c r="CG15" s="61"/>
      <c r="CH15" s="61"/>
      <c r="CI15" s="61"/>
      <c r="CJ15" s="61"/>
      <c r="CK15" s="61"/>
      <c r="CL15" s="61"/>
      <c r="CM15" s="61"/>
      <c r="CN15" s="61"/>
      <c r="CO15" s="61"/>
      <c r="CP15" s="61"/>
      <c r="CQ15" s="61"/>
      <c r="CR15" s="61"/>
      <c r="CS15" s="61"/>
      <c r="CT15" s="61"/>
      <c r="CU15" s="61"/>
      <c r="CV15" s="61"/>
      <c r="CW15" s="61"/>
      <c r="CX15" s="61"/>
      <c r="CY15" s="35"/>
    </row>
    <row r="16" spans="1:103" s="47" customFormat="1" x14ac:dyDescent="0.25">
      <c r="A16" s="72"/>
      <c r="B16" s="70"/>
      <c r="C16" s="40"/>
      <c r="D16" s="62" t="str">
        <f>IF(D15="","",VLOOKUP(D15,'Tech Tree Node Parameters'!$A$3:$B$218,2,FALSE))</f>
        <v/>
      </c>
      <c r="E16" s="62" t="str">
        <f>IF(E15="","",VLOOKUP(E15,'Tech Tree Node Parameters'!$A$3:$B$218,2,FALSE))</f>
        <v/>
      </c>
      <c r="F16" s="62" t="str">
        <f>IF(F15="","",VLOOKUP(F15,'Tech Tree Node Parameters'!$A$3:$B$218,2,FALSE))</f>
        <v/>
      </c>
      <c r="G16" s="62" t="str">
        <f>IF(G15="","",VLOOKUP(G15,'Tech Tree Node Parameters'!$A$3:$B$218,2,FALSE))</f>
        <v/>
      </c>
      <c r="H16" s="62" t="str">
        <f>IF(H15="","",VLOOKUP(H15,'Tech Tree Node Parameters'!$A$3:$B$218,2,FALSE))</f>
        <v/>
      </c>
      <c r="I16" s="62" t="str">
        <f>IF(I15="","",VLOOKUP(I15,'Tech Tree Node Parameters'!$A$3:$B$218,2,FALSE))</f>
        <v/>
      </c>
      <c r="J16" s="62" t="str">
        <f>IF(J15="","",VLOOKUP(J15,'Tech Tree Node Parameters'!$A$3:$B$218,2,FALSE))</f>
        <v/>
      </c>
      <c r="K16" s="62" t="str">
        <f>IF(K15="","",VLOOKUP(K15,'Tech Tree Node Parameters'!$A$3:$B$218,2,FALSE))</f>
        <v/>
      </c>
      <c r="L16" s="62" t="str">
        <f>IF(L15="","",VLOOKUP(L15,'Tech Tree Node Parameters'!$A$3:$B$218,2,FALSE))</f>
        <v/>
      </c>
      <c r="M16" s="62" t="str">
        <f>IF(M15="","",VLOOKUP(M15,'Tech Tree Node Parameters'!$A$3:$B$218,2,FALSE))</f>
        <v/>
      </c>
      <c r="N16" s="62" t="str">
        <f>IF(N15="","",VLOOKUP(N15,'Tech Tree Node Parameters'!$A$3:$B$218,2,FALSE))</f>
        <v/>
      </c>
      <c r="O16" s="62" t="str">
        <f>IF(O15="","",VLOOKUP(O15,'Tech Tree Node Parameters'!$A$3:$B$218,2,FALSE))</f>
        <v/>
      </c>
      <c r="P16" s="62" t="str">
        <f>IF(P15="","",VLOOKUP(P15,'Tech Tree Node Parameters'!$A$3:$B$218,2,FALSE))</f>
        <v/>
      </c>
      <c r="Q16" s="62" t="str">
        <f>IF(Q15="","",VLOOKUP(Q15,'Tech Tree Node Parameters'!$A$3:$B$218,2,FALSE))</f>
        <v/>
      </c>
      <c r="R16" s="62" t="str">
        <f>IF(R15="","",VLOOKUP(R15,'Tech Tree Node Parameters'!$A$3:$B$218,2,FALSE))</f>
        <v/>
      </c>
      <c r="S16" s="62" t="str">
        <f>IF(S15="","",VLOOKUP(S15,'Tech Tree Node Parameters'!$A$3:$B$218,2,FALSE))</f>
        <v/>
      </c>
      <c r="T16" s="62" t="str">
        <f>IF(T15="","",VLOOKUP(T15,'Tech Tree Node Parameters'!$A$3:$B$218,2,FALSE))</f>
        <v/>
      </c>
      <c r="U16" s="62" t="str">
        <f>IF(U15="","",VLOOKUP(U15,'Tech Tree Node Parameters'!$A$3:$B$218,2,FALSE))</f>
        <v/>
      </c>
      <c r="V16" s="62" t="str">
        <f>IF(V15="","",VLOOKUP(V15,'Tech Tree Node Parameters'!$A$3:$B$218,2,FALSE))</f>
        <v/>
      </c>
      <c r="W16" s="62" t="str">
        <f>IF(W15="","",VLOOKUP(W15,'Tech Tree Node Parameters'!$A$3:$B$218,2,FALSE))</f>
        <v/>
      </c>
      <c r="X16" s="62" t="str">
        <f>IF(X15="","",VLOOKUP(X15,'Tech Tree Node Parameters'!$A$3:$B$218,2,FALSE))</f>
        <v/>
      </c>
      <c r="Y16" s="62" t="str">
        <f>IF(Y15="","",VLOOKUP(Y15,'Tech Tree Node Parameters'!$A$3:$B$218,2,FALSE))</f>
        <v/>
      </c>
      <c r="Z16" s="62" t="str">
        <f>IF(Z15="","",VLOOKUP(Z15,'Tech Tree Node Parameters'!$A$3:$B$218,2,FALSE))</f>
        <v/>
      </c>
      <c r="AA16" s="62" t="str">
        <f>IF(AA15="","",VLOOKUP(AA15,'Tech Tree Node Parameters'!$A$3:$B$218,2,FALSE))</f>
        <v/>
      </c>
      <c r="AB16" s="62" t="str">
        <f>IF(AB15="","",VLOOKUP(AB15,'Tech Tree Node Parameters'!$A$3:$B$218,2,FALSE))</f>
        <v/>
      </c>
      <c r="AC16" s="62" t="str">
        <f>IF(AC15="","",VLOOKUP(AC15,'Tech Tree Node Parameters'!$A$3:$B$218,2,FALSE))</f>
        <v/>
      </c>
      <c r="AD16" s="62" t="str">
        <f>IF(AD15="","",VLOOKUP(AD15,'Tech Tree Node Parameters'!$A$3:$B$218,2,FALSE))</f>
        <v/>
      </c>
      <c r="AE16" s="62" t="str">
        <f>IF(AE15="","",VLOOKUP(AE15,'Tech Tree Node Parameters'!$A$3:$B$218,2,FALSE))</f>
        <v/>
      </c>
      <c r="AF16" s="62" t="str">
        <f>IF(AF15="","",VLOOKUP(AF15,'Tech Tree Node Parameters'!$A$3:$B$218,2,FALSE))</f>
        <v/>
      </c>
      <c r="AG16" s="62" t="str">
        <f>IF(AG15="","",VLOOKUP(AG15,'Tech Tree Node Parameters'!$A$3:$B$218,2,FALSE))</f>
        <v/>
      </c>
      <c r="AH16" s="62" t="str">
        <f>IF(AH15="","",VLOOKUP(AH15,'Tech Tree Node Parameters'!$A$3:$B$218,2,FALSE))</f>
        <v/>
      </c>
      <c r="AI16" s="62" t="str">
        <f>IF(AI15="","",VLOOKUP(AI15,'Tech Tree Node Parameters'!$A$3:$B$218,2,FALSE))</f>
        <v/>
      </c>
      <c r="AJ16" s="62" t="str">
        <f>IF(AJ15="","",VLOOKUP(AJ15,'Tech Tree Node Parameters'!$A$3:$B$218,2,FALSE))</f>
        <v/>
      </c>
      <c r="AK16" s="62" t="str">
        <f>IF(AK15="","",VLOOKUP(AK15,'Tech Tree Node Parameters'!$A$3:$B$218,2,FALSE))</f>
        <v>High-density Fusion Reactions</v>
      </c>
      <c r="AL16" s="62" t="str">
        <f>IF(AL15="","",VLOOKUP(AL15,'Tech Tree Node Parameters'!$A$3:$B$218,2,FALSE))</f>
        <v/>
      </c>
      <c r="AM16" s="62" t="str">
        <f>IF(AM15="","",VLOOKUP(AM15,'Tech Tree Node Parameters'!$A$3:$B$218,2,FALSE))</f>
        <v>Antimatter Reactors</v>
      </c>
      <c r="AN16" s="62" t="str">
        <f>IF(AN15="","",VLOOKUP(AN15,'Tech Tree Node Parameters'!$A$3:$B$218,2,FALSE))</f>
        <v/>
      </c>
      <c r="AO16" s="62" t="str">
        <f>IF(AO15="","",VLOOKUP(AO15,'Tech Tree Node Parameters'!$A$3:$B$218,2,FALSE))</f>
        <v/>
      </c>
      <c r="AP16" s="62" t="str">
        <f>IF(AP15="","",VLOOKUP(AP15,'Tech Tree Node Parameters'!$A$3:$B$218,2,FALSE))</f>
        <v/>
      </c>
      <c r="AQ16" s="62" t="str">
        <f>IF(AQ15="","",VLOOKUP(AQ15,'Tech Tree Node Parameters'!$A$3:$B$218,2,FALSE))</f>
        <v/>
      </c>
      <c r="AR16" s="62" t="str">
        <f>IF(AR15="","",VLOOKUP(AR15,'Tech Tree Node Parameters'!$A$3:$B$218,2,FALSE))</f>
        <v/>
      </c>
      <c r="AS16" s="62" t="str">
        <f>IF(AS15="","",VLOOKUP(AS15,'Tech Tree Node Parameters'!$A$3:$B$218,2,FALSE))</f>
        <v/>
      </c>
      <c r="AT16" s="62" t="str">
        <f>IF(AT15="","",VLOOKUP(AT15,'Tech Tree Node Parameters'!$A$3:$B$218,2,FALSE))</f>
        <v/>
      </c>
      <c r="AU16" s="62" t="str">
        <f>IF(AU15="","",VLOOKUP(AU15,'Tech Tree Node Parameters'!$A$3:$B$218,2,FALSE))</f>
        <v/>
      </c>
      <c r="AV16" s="62" t="str">
        <f>IF(AV15="","",VLOOKUP(AV15,'Tech Tree Node Parameters'!$A$3:$B$218,2,FALSE))</f>
        <v/>
      </c>
      <c r="AW16" s="62" t="str">
        <f>IF(AW15="","",VLOOKUP(AW15,'Tech Tree Node Parameters'!$A$3:$B$218,2,FALSE))</f>
        <v/>
      </c>
      <c r="AX16" s="62" t="str">
        <f>IF(AX15="","",VLOOKUP(AX15,'Tech Tree Node Parameters'!$A$3:$B$218,2,FALSE))</f>
        <v/>
      </c>
      <c r="AY16" s="62" t="str">
        <f>IF(AY15="","",VLOOKUP(AY15,'Tech Tree Node Parameters'!$A$3:$B$218,2,FALSE))</f>
        <v>Experimental Flight Controls</v>
      </c>
      <c r="AZ16" s="62" t="str">
        <f>IF(AZ15="","",VLOOKUP(AZ15,'Tech Tree Node Parameters'!$A$3:$B$218,2,FALSE))</f>
        <v/>
      </c>
      <c r="BA16" s="62" t="str">
        <f>IF(BA15="","",VLOOKUP(BA15,'Tech Tree Node Parameters'!$A$3:$B$218,2,FALSE))</f>
        <v>Advanced Aerospace Engineering</v>
      </c>
      <c r="BB16" s="62" t="str">
        <f>IF(BB15="","",VLOOKUP(BB15,'Tech Tree Node Parameters'!$A$3:$B$218,2,FALSE))</f>
        <v/>
      </c>
      <c r="BC16" s="62" t="str">
        <f>IF(BC15="","",VLOOKUP(BC15,'Tech Tree Node Parameters'!$A$3:$B$218,2,FALSE))</f>
        <v/>
      </c>
      <c r="BD16" s="62" t="str">
        <f>IF(BD15="","",VLOOKUP(BD15,'Tech Tree Node Parameters'!$A$3:$B$218,2,FALSE))</f>
        <v/>
      </c>
      <c r="BE16" s="62" t="str">
        <f>IF(BE15="","",VLOOKUP(BE15,'Tech Tree Node Parameters'!$A$3:$B$218,2,FALSE))</f>
        <v/>
      </c>
      <c r="BF16" s="62" t="str">
        <f>IF(BF15="","",VLOOKUP(BF15,'Tech Tree Node Parameters'!$A$3:$B$218,2,FALSE))</f>
        <v/>
      </c>
      <c r="BG16" s="62" t="str">
        <f>IF(BG15="","",VLOOKUP(BG15,'Tech Tree Node Parameters'!$A$3:$B$218,2,FALSE))</f>
        <v/>
      </c>
      <c r="BH16" s="62" t="str">
        <f>IF(BH15="","",VLOOKUP(BH15,'Tech Tree Node Parameters'!$A$3:$B$218,2,FALSE))</f>
        <v/>
      </c>
      <c r="BI16" s="62" t="str">
        <f>IF(BI15="","",VLOOKUP(BI15,'Tech Tree Node Parameters'!$A$3:$B$218,2,FALSE))</f>
        <v/>
      </c>
      <c r="BJ16" s="62" t="str">
        <f>IF(BJ15="","",VLOOKUP(BJ15,'Tech Tree Node Parameters'!$A$3:$B$218,2,FALSE))</f>
        <v/>
      </c>
      <c r="BK16" s="62" t="str">
        <f>IF(BK15="","",VLOOKUP(BK15,'Tech Tree Node Parameters'!$A$3:$B$218,2,FALSE))</f>
        <v/>
      </c>
      <c r="BL16" s="62" t="str">
        <f>IF(BL15="","",VLOOKUP(BL15,'Tech Tree Node Parameters'!$A$3:$B$218,2,FALSE))</f>
        <v/>
      </c>
      <c r="BM16" s="62" t="str">
        <f>IF(BM15="","",VLOOKUP(BM15,'Tech Tree Node Parameters'!$A$3:$B$218,2,FALSE))</f>
        <v/>
      </c>
      <c r="BN16" s="62" t="str">
        <f>IF(BN15="","",VLOOKUP(BN15,'Tech Tree Node Parameters'!$A$3:$B$218,2,FALSE))</f>
        <v/>
      </c>
      <c r="BO16" s="62" t="str">
        <f>IF(BO15="","",VLOOKUP(BO15,'Tech Tree Node Parameters'!$A$3:$B$218,2,FALSE))</f>
        <v/>
      </c>
      <c r="BP16" s="62" t="str">
        <f>IF(BP15="","",VLOOKUP(BP15,'Tech Tree Node Parameters'!$A$3:$B$218,2,FALSE))</f>
        <v/>
      </c>
      <c r="BQ16" s="62" t="str">
        <f>IF(BQ15="","",VLOOKUP(BQ15,'Tech Tree Node Parameters'!$A$3:$B$218,2,FALSE))</f>
        <v/>
      </c>
      <c r="BR16" s="62" t="str">
        <f>IF(BR15="","",VLOOKUP(BR15,'Tech Tree Node Parameters'!$A$3:$B$218,2,FALSE))</f>
        <v/>
      </c>
      <c r="BS16" s="62" t="str">
        <f>IF(BS15="","",VLOOKUP(BS15,'Tech Tree Node Parameters'!$A$3:$B$218,2,FALSE))</f>
        <v/>
      </c>
      <c r="BT16" s="62" t="str">
        <f>IF(BT15="","",VLOOKUP(BT15,'Tech Tree Node Parameters'!$A$3:$B$218,2,FALSE))</f>
        <v/>
      </c>
      <c r="BU16" s="62" t="str">
        <f>IF(BU15="","",VLOOKUP(BU15,'Tech Tree Node Parameters'!$A$3:$B$218,2,FALSE))</f>
        <v/>
      </c>
      <c r="BV16" s="62" t="str">
        <f>IF(BV15="","",VLOOKUP(BV15,'Tech Tree Node Parameters'!$A$3:$B$218,2,FALSE))</f>
        <v/>
      </c>
      <c r="BW16" s="62" t="str">
        <f>IF(BW15="","",VLOOKUP(BW15,'Tech Tree Node Parameters'!$A$3:$B$218,2,FALSE))</f>
        <v/>
      </c>
      <c r="BX16" s="62" t="str">
        <f>IF(BX15="","",VLOOKUP(BX15,'Tech Tree Node Parameters'!$A$3:$B$218,2,FALSE))</f>
        <v/>
      </c>
      <c r="BY16" s="62" t="str">
        <f>IF(BY15="","",VLOOKUP(BY15,'Tech Tree Node Parameters'!$A$3:$B$218,2,FALSE))</f>
        <v/>
      </c>
      <c r="BZ16" s="62" t="str">
        <f>IF(BZ15="","",VLOOKUP(BZ15,'Tech Tree Node Parameters'!$A$3:$B$218,2,FALSE))</f>
        <v/>
      </c>
      <c r="CA16" s="62" t="str">
        <f>IF(CA15="","",VLOOKUP(CA15,'Tech Tree Node Parameters'!$A$3:$B$218,2,FALSE))</f>
        <v/>
      </c>
      <c r="CB16" s="62" t="str">
        <f>IF(CB15="","",VLOOKUP(CB15,'Tech Tree Node Parameters'!$A$3:$B$218,2,FALSE))</f>
        <v/>
      </c>
      <c r="CC16" s="62" t="str">
        <f>IF(CC15="","",VLOOKUP(CC15,'Tech Tree Node Parameters'!$A$3:$B$218,2,FALSE))</f>
        <v/>
      </c>
      <c r="CD16" s="62" t="str">
        <f>IF(CD15="","",VLOOKUP(CD15,'Tech Tree Node Parameters'!$A$3:$B$218,2,FALSE))</f>
        <v/>
      </c>
      <c r="CE16" s="62" t="str">
        <f>IF(CE15="","",VLOOKUP(CE15,'Tech Tree Node Parameters'!$A$3:$B$218,2,FALSE))</f>
        <v/>
      </c>
      <c r="CF16" s="62" t="str">
        <f>IF(CF15="","",VLOOKUP(CF15,'Tech Tree Node Parameters'!$A$3:$B$218,2,FALSE))</f>
        <v/>
      </c>
      <c r="CG16" s="62" t="str">
        <f>IF(CG15="","",VLOOKUP(CG15,'Tech Tree Node Parameters'!$A$3:$B$218,2,FALSE))</f>
        <v/>
      </c>
      <c r="CH16" s="62" t="str">
        <f>IF(CH15="","",VLOOKUP(CH15,'Tech Tree Node Parameters'!$A$3:$B$218,2,FALSE))</f>
        <v/>
      </c>
      <c r="CI16" s="62" t="str">
        <f>IF(CI15="","",VLOOKUP(CI15,'Tech Tree Node Parameters'!$A$3:$B$218,2,FALSE))</f>
        <v/>
      </c>
      <c r="CJ16" s="62" t="str">
        <f>IF(CJ15="","",VLOOKUP(CJ15,'Tech Tree Node Parameters'!$A$3:$B$218,2,FALSE))</f>
        <v/>
      </c>
      <c r="CK16" s="62" t="str">
        <f>IF(CK15="","",VLOOKUP(CK15,'Tech Tree Node Parameters'!$A$3:$B$218,2,FALSE))</f>
        <v/>
      </c>
      <c r="CL16" s="62" t="str">
        <f>IF(CL15="","",VLOOKUP(CL15,'Tech Tree Node Parameters'!$A$3:$B$218,2,FALSE))</f>
        <v/>
      </c>
      <c r="CM16" s="62" t="str">
        <f>IF(CM15="","",VLOOKUP(CM15,'Tech Tree Node Parameters'!$A$3:$B$218,2,FALSE))</f>
        <v/>
      </c>
      <c r="CN16" s="62" t="str">
        <f>IF(CN15="","",VLOOKUP(CN15,'Tech Tree Node Parameters'!$A$3:$B$218,2,FALSE))</f>
        <v/>
      </c>
      <c r="CO16" s="62" t="str">
        <f>IF(CO15="","",VLOOKUP(CO15,'Tech Tree Node Parameters'!$A$3:$B$218,2,FALSE))</f>
        <v/>
      </c>
      <c r="CP16" s="62" t="str">
        <f>IF(CP15="","",VLOOKUP(CP15,'Tech Tree Node Parameters'!$A$3:$B$218,2,FALSE))</f>
        <v/>
      </c>
      <c r="CQ16" s="62" t="str">
        <f>IF(CQ15="","",VLOOKUP(CQ15,'Tech Tree Node Parameters'!$A$3:$B$218,2,FALSE))</f>
        <v/>
      </c>
      <c r="CR16" s="62" t="str">
        <f>IF(CR15="","",VLOOKUP(CR15,'Tech Tree Node Parameters'!$A$3:$B$218,2,FALSE))</f>
        <v/>
      </c>
      <c r="CS16" s="62" t="str">
        <f>IF(CS15="","",VLOOKUP(CS15,'Tech Tree Node Parameters'!$A$3:$B$218,2,FALSE))</f>
        <v/>
      </c>
      <c r="CT16" s="62" t="str">
        <f>IF(CT15="","",VLOOKUP(CT15,'Tech Tree Node Parameters'!$A$3:$B$218,2,FALSE))</f>
        <v/>
      </c>
      <c r="CU16" s="62" t="str">
        <f>IF(CU15="","",VLOOKUP(CU15,'Tech Tree Node Parameters'!$A$3:$B$218,2,FALSE))</f>
        <v/>
      </c>
      <c r="CV16" s="62" t="str">
        <f>IF(CV15="","",VLOOKUP(CV15,'Tech Tree Node Parameters'!$A$3:$B$218,2,FALSE))</f>
        <v/>
      </c>
      <c r="CW16" s="62" t="str">
        <f>IF(CW15="","",VLOOKUP(CW15,'Tech Tree Node Parameters'!$A$3:$B$218,2,FALSE))</f>
        <v/>
      </c>
      <c r="CX16" s="62" t="str">
        <f>IF(CX15="","",VLOOKUP(CX15,'Tech Tree Node Parameters'!$A$3:$B$218,2,FALSE))</f>
        <v/>
      </c>
      <c r="CY16" s="36" t="str">
        <f>IF(CY15="","",VLOOKUP(CY15,'Tech Tree Node Parameters'!$A$3:$B$218,2,FALSE))</f>
        <v/>
      </c>
    </row>
    <row r="17" spans="1:103" s="49" customFormat="1" x14ac:dyDescent="0.25">
      <c r="A17" s="72">
        <f t="shared" si="9"/>
        <v>55</v>
      </c>
      <c r="B17" s="69">
        <f>B19+$D$6</f>
        <v>2127</v>
      </c>
      <c r="C17" s="39"/>
      <c r="D17" s="61"/>
      <c r="E17" s="61"/>
      <c r="F17" s="61"/>
      <c r="G17" s="61"/>
      <c r="H17" s="61"/>
      <c r="I17" s="61"/>
      <c r="J17" s="61"/>
      <c r="K17" s="61"/>
      <c r="L17" s="61"/>
      <c r="M17" s="61"/>
      <c r="N17" s="61"/>
      <c r="O17" s="61"/>
      <c r="P17" s="61"/>
      <c r="Q17" s="61"/>
      <c r="R17" s="61"/>
      <c r="S17" s="61"/>
      <c r="T17" s="61"/>
      <c r="U17" s="61"/>
      <c r="V17" s="61"/>
      <c r="W17" s="61"/>
      <c r="X17" s="61"/>
      <c r="Y17" s="61"/>
      <c r="Z17" s="61"/>
      <c r="AA17" s="61"/>
      <c r="AB17" s="61"/>
      <c r="AC17" s="61"/>
      <c r="AD17" s="61"/>
      <c r="AE17" s="61"/>
      <c r="AF17" s="61"/>
      <c r="AG17" s="61"/>
      <c r="AH17" s="61"/>
      <c r="AI17" s="61"/>
      <c r="AJ17" s="61"/>
      <c r="AK17" s="61"/>
      <c r="AL17" s="61"/>
      <c r="AM17" s="61"/>
      <c r="AN17" s="61"/>
      <c r="AO17" s="61"/>
      <c r="AP17" s="61"/>
      <c r="AQ17" s="61"/>
      <c r="AR17" s="61"/>
      <c r="AS17" s="61"/>
      <c r="AT17" s="61"/>
      <c r="AU17" s="61"/>
      <c r="AV17" s="61"/>
      <c r="AW17" s="61"/>
      <c r="AX17" s="61"/>
      <c r="AY17" s="61"/>
      <c r="AZ17" s="61"/>
      <c r="BA17" s="61"/>
      <c r="BB17" s="61"/>
      <c r="BC17" s="61"/>
      <c r="BD17" s="61"/>
      <c r="BE17" s="61"/>
      <c r="BF17" s="61"/>
      <c r="BG17" s="61"/>
      <c r="BH17" s="61"/>
      <c r="BI17" s="61"/>
      <c r="BJ17" s="61"/>
      <c r="BK17" s="61"/>
      <c r="BL17" s="61"/>
      <c r="BM17" s="61"/>
      <c r="BN17" s="61"/>
      <c r="BO17" s="61"/>
      <c r="BP17" s="61"/>
      <c r="BQ17" s="61"/>
      <c r="BR17" s="61"/>
      <c r="BS17" s="61"/>
      <c r="BT17" s="61"/>
      <c r="BU17" s="61"/>
      <c r="BV17" s="61"/>
      <c r="BW17" s="61"/>
      <c r="BX17" s="61"/>
      <c r="BY17" s="61"/>
      <c r="BZ17" s="61"/>
      <c r="CA17" s="61"/>
      <c r="CB17" s="61"/>
      <c r="CC17" s="61"/>
      <c r="CD17" s="61"/>
      <c r="CE17" s="61"/>
      <c r="CF17" s="61"/>
      <c r="CG17" s="61"/>
      <c r="CH17" s="61"/>
      <c r="CI17" s="61"/>
      <c r="CJ17" s="61"/>
      <c r="CK17" s="61"/>
      <c r="CL17" s="61"/>
      <c r="CM17" s="61"/>
      <c r="CN17" s="61"/>
      <c r="CO17" s="61"/>
      <c r="CP17" s="61"/>
      <c r="CQ17" s="61"/>
      <c r="CR17" s="61"/>
      <c r="CS17" s="61"/>
      <c r="CT17" s="61"/>
      <c r="CU17" s="61"/>
      <c r="CV17" s="61"/>
      <c r="CW17" s="61"/>
      <c r="CX17" s="61"/>
      <c r="CY17" s="35"/>
    </row>
    <row r="18" spans="1:103" s="49" customFormat="1" x14ac:dyDescent="0.25">
      <c r="A18" s="72"/>
      <c r="B18" s="70"/>
      <c r="C18" s="40"/>
      <c r="D18" s="62" t="str">
        <f>IF(D17="","",VLOOKUP(D17,'Tech Tree Node Parameters'!$A$3:$B$218,2,FALSE))</f>
        <v/>
      </c>
      <c r="E18" s="62" t="str">
        <f>IF(E17="","",VLOOKUP(E17,'Tech Tree Node Parameters'!$A$3:$B$218,2,FALSE))</f>
        <v/>
      </c>
      <c r="F18" s="62" t="str">
        <f>IF(F17="","",VLOOKUP(F17,'Tech Tree Node Parameters'!$A$3:$B$218,2,FALSE))</f>
        <v/>
      </c>
      <c r="G18" s="62" t="str">
        <f>IF(G17="","",VLOOKUP(G17,'Tech Tree Node Parameters'!$A$3:$B$218,2,FALSE))</f>
        <v/>
      </c>
      <c r="H18" s="62" t="str">
        <f>IF(H17="","",VLOOKUP(H17,'Tech Tree Node Parameters'!$A$3:$B$218,2,FALSE))</f>
        <v/>
      </c>
      <c r="I18" s="62" t="str">
        <f>IF(I17="","",VLOOKUP(I17,'Tech Tree Node Parameters'!$A$3:$B$218,2,FALSE))</f>
        <v/>
      </c>
      <c r="J18" s="62" t="str">
        <f>IF(J17="","",VLOOKUP(J17,'Tech Tree Node Parameters'!$A$3:$B$218,2,FALSE))</f>
        <v/>
      </c>
      <c r="K18" s="62" t="str">
        <f>IF(K17="","",VLOOKUP(K17,'Tech Tree Node Parameters'!$A$3:$B$218,2,FALSE))</f>
        <v/>
      </c>
      <c r="L18" s="62" t="str">
        <f>IF(L17="","",VLOOKUP(L17,'Tech Tree Node Parameters'!$A$3:$B$218,2,FALSE))</f>
        <v/>
      </c>
      <c r="M18" s="62" t="str">
        <f>IF(M17="","",VLOOKUP(M17,'Tech Tree Node Parameters'!$A$3:$B$218,2,FALSE))</f>
        <v/>
      </c>
      <c r="N18" s="62" t="str">
        <f>IF(N17="","",VLOOKUP(N17,'Tech Tree Node Parameters'!$A$3:$B$218,2,FALSE))</f>
        <v/>
      </c>
      <c r="O18" s="62" t="str">
        <f>IF(O17="","",VLOOKUP(O17,'Tech Tree Node Parameters'!$A$3:$B$218,2,FALSE))</f>
        <v/>
      </c>
      <c r="P18" s="62" t="str">
        <f>IF(P17="","",VLOOKUP(P17,'Tech Tree Node Parameters'!$A$3:$B$218,2,FALSE))</f>
        <v/>
      </c>
      <c r="Q18" s="62" t="str">
        <f>IF(Q17="","",VLOOKUP(Q17,'Tech Tree Node Parameters'!$A$3:$B$218,2,FALSE))</f>
        <v/>
      </c>
      <c r="R18" s="62" t="str">
        <f>IF(R17="","",VLOOKUP(R17,'Tech Tree Node Parameters'!$A$3:$B$218,2,FALSE))</f>
        <v/>
      </c>
      <c r="S18" s="62" t="str">
        <f>IF(S17="","",VLOOKUP(S17,'Tech Tree Node Parameters'!$A$3:$B$218,2,FALSE))</f>
        <v/>
      </c>
      <c r="T18" s="62" t="str">
        <f>IF(T17="","",VLOOKUP(T17,'Tech Tree Node Parameters'!$A$3:$B$218,2,FALSE))</f>
        <v/>
      </c>
      <c r="U18" s="62" t="str">
        <f>IF(U17="","",VLOOKUP(U17,'Tech Tree Node Parameters'!$A$3:$B$218,2,FALSE))</f>
        <v/>
      </c>
      <c r="V18" s="62" t="str">
        <f>IF(V17="","",VLOOKUP(V17,'Tech Tree Node Parameters'!$A$3:$B$218,2,FALSE))</f>
        <v/>
      </c>
      <c r="W18" s="62" t="str">
        <f>IF(W17="","",VLOOKUP(W17,'Tech Tree Node Parameters'!$A$3:$B$218,2,FALSE))</f>
        <v/>
      </c>
      <c r="X18" s="62" t="str">
        <f>IF(X17="","",VLOOKUP(X17,'Tech Tree Node Parameters'!$A$3:$B$218,2,FALSE))</f>
        <v/>
      </c>
      <c r="Y18" s="62" t="str">
        <f>IF(Y17="","",VLOOKUP(Y17,'Tech Tree Node Parameters'!$A$3:$B$218,2,FALSE))</f>
        <v/>
      </c>
      <c r="Z18" s="62" t="str">
        <f>IF(Z17="","",VLOOKUP(Z17,'Tech Tree Node Parameters'!$A$3:$B$218,2,FALSE))</f>
        <v/>
      </c>
      <c r="AA18" s="62" t="str">
        <f>IF(AA17="","",VLOOKUP(AA17,'Tech Tree Node Parameters'!$A$3:$B$218,2,FALSE))</f>
        <v/>
      </c>
      <c r="AB18" s="62" t="str">
        <f>IF(AB17="","",VLOOKUP(AB17,'Tech Tree Node Parameters'!$A$3:$B$218,2,FALSE))</f>
        <v/>
      </c>
      <c r="AC18" s="62" t="str">
        <f>IF(AC17="","",VLOOKUP(AC17,'Tech Tree Node Parameters'!$A$3:$B$218,2,FALSE))</f>
        <v/>
      </c>
      <c r="AD18" s="62" t="str">
        <f>IF(AD17="","",VLOOKUP(AD17,'Tech Tree Node Parameters'!$A$3:$B$218,2,FALSE))</f>
        <v/>
      </c>
      <c r="AE18" s="62" t="str">
        <f>IF(AE17="","",VLOOKUP(AE17,'Tech Tree Node Parameters'!$A$3:$B$218,2,FALSE))</f>
        <v/>
      </c>
      <c r="AF18" s="62" t="str">
        <f>IF(AF17="","",VLOOKUP(AF17,'Tech Tree Node Parameters'!$A$3:$B$218,2,FALSE))</f>
        <v/>
      </c>
      <c r="AG18" s="62" t="str">
        <f>IF(AG17="","",VLOOKUP(AG17,'Tech Tree Node Parameters'!$A$3:$B$218,2,FALSE))</f>
        <v/>
      </c>
      <c r="AH18" s="62" t="str">
        <f>IF(AH17="","",VLOOKUP(AH17,'Tech Tree Node Parameters'!$A$3:$B$218,2,FALSE))</f>
        <v/>
      </c>
      <c r="AI18" s="62" t="str">
        <f>IF(AI17="","",VLOOKUP(AI17,'Tech Tree Node Parameters'!$A$3:$B$218,2,FALSE))</f>
        <v/>
      </c>
      <c r="AJ18" s="62" t="str">
        <f>IF(AJ17="","",VLOOKUP(AJ17,'Tech Tree Node Parameters'!$A$3:$B$218,2,FALSE))</f>
        <v/>
      </c>
      <c r="AK18" s="62" t="str">
        <f>IF(AK17="","",VLOOKUP(AK17,'Tech Tree Node Parameters'!$A$3:$B$218,2,FALSE))</f>
        <v/>
      </c>
      <c r="AL18" s="62" t="str">
        <f>IF(AL17="","",VLOOKUP(AL17,'Tech Tree Node Parameters'!$A$3:$B$218,2,FALSE))</f>
        <v/>
      </c>
      <c r="AM18" s="62" t="str">
        <f>IF(AM17="","",VLOOKUP(AM17,'Tech Tree Node Parameters'!$A$3:$B$218,2,FALSE))</f>
        <v/>
      </c>
      <c r="AN18" s="62" t="str">
        <f>IF(AN17="","",VLOOKUP(AN17,'Tech Tree Node Parameters'!$A$3:$B$218,2,FALSE))</f>
        <v/>
      </c>
      <c r="AO18" s="62" t="str">
        <f>IF(AO17="","",VLOOKUP(AO17,'Tech Tree Node Parameters'!$A$3:$B$218,2,FALSE))</f>
        <v/>
      </c>
      <c r="AP18" s="62" t="str">
        <f>IF(AP17="","",VLOOKUP(AP17,'Tech Tree Node Parameters'!$A$3:$B$218,2,FALSE))</f>
        <v/>
      </c>
      <c r="AQ18" s="62" t="str">
        <f>IF(AQ17="","",VLOOKUP(AQ17,'Tech Tree Node Parameters'!$A$3:$B$218,2,FALSE))</f>
        <v/>
      </c>
      <c r="AR18" s="62" t="str">
        <f>IF(AR17="","",VLOOKUP(AR17,'Tech Tree Node Parameters'!$A$3:$B$218,2,FALSE))</f>
        <v/>
      </c>
      <c r="AS18" s="62" t="str">
        <f>IF(AS17="","",VLOOKUP(AS17,'Tech Tree Node Parameters'!$A$3:$B$218,2,FALSE))</f>
        <v/>
      </c>
      <c r="AT18" s="62" t="str">
        <f>IF(AT17="","",VLOOKUP(AT17,'Tech Tree Node Parameters'!$A$3:$B$218,2,FALSE))</f>
        <v/>
      </c>
      <c r="AU18" s="62" t="str">
        <f>IF(AU17="","",VLOOKUP(AU17,'Tech Tree Node Parameters'!$A$3:$B$218,2,FALSE))</f>
        <v/>
      </c>
      <c r="AV18" s="62" t="str">
        <f>IF(AV17="","",VLOOKUP(AV17,'Tech Tree Node Parameters'!$A$3:$B$218,2,FALSE))</f>
        <v/>
      </c>
      <c r="AW18" s="62" t="str">
        <f>IF(AW17="","",VLOOKUP(AW17,'Tech Tree Node Parameters'!$A$3:$B$218,2,FALSE))</f>
        <v/>
      </c>
      <c r="AX18" s="62" t="str">
        <f>IF(AX17="","",VLOOKUP(AX17,'Tech Tree Node Parameters'!$A$3:$B$218,2,FALSE))</f>
        <v/>
      </c>
      <c r="AY18" s="62" t="str">
        <f>IF(AY17="","",VLOOKUP(AY17,'Tech Tree Node Parameters'!$A$3:$B$218,2,FALSE))</f>
        <v/>
      </c>
      <c r="AZ18" s="62" t="str">
        <f>IF(AZ17="","",VLOOKUP(AZ17,'Tech Tree Node Parameters'!$A$3:$B$218,2,FALSE))</f>
        <v/>
      </c>
      <c r="BA18" s="62" t="str">
        <f>IF(BA17="","",VLOOKUP(BA17,'Tech Tree Node Parameters'!$A$3:$B$218,2,FALSE))</f>
        <v/>
      </c>
      <c r="BB18" s="62" t="str">
        <f>IF(BB17="","",VLOOKUP(BB17,'Tech Tree Node Parameters'!$A$3:$B$218,2,FALSE))</f>
        <v/>
      </c>
      <c r="BC18" s="62" t="str">
        <f>IF(BC17="","",VLOOKUP(BC17,'Tech Tree Node Parameters'!$A$3:$B$218,2,FALSE))</f>
        <v/>
      </c>
      <c r="BD18" s="62" t="str">
        <f>IF(BD17="","",VLOOKUP(BD17,'Tech Tree Node Parameters'!$A$3:$B$218,2,FALSE))</f>
        <v/>
      </c>
      <c r="BE18" s="62" t="str">
        <f>IF(BE17="","",VLOOKUP(BE17,'Tech Tree Node Parameters'!$A$3:$B$218,2,FALSE))</f>
        <v/>
      </c>
      <c r="BF18" s="62" t="str">
        <f>IF(BF17="","",VLOOKUP(BF17,'Tech Tree Node Parameters'!$A$3:$B$218,2,FALSE))</f>
        <v/>
      </c>
      <c r="BG18" s="62" t="str">
        <f>IF(BG17="","",VLOOKUP(BG17,'Tech Tree Node Parameters'!$A$3:$B$218,2,FALSE))</f>
        <v/>
      </c>
      <c r="BH18" s="62" t="str">
        <f>IF(BH17="","",VLOOKUP(BH17,'Tech Tree Node Parameters'!$A$3:$B$218,2,FALSE))</f>
        <v/>
      </c>
      <c r="BI18" s="62" t="str">
        <f>IF(BI17="","",VLOOKUP(BI17,'Tech Tree Node Parameters'!$A$3:$B$218,2,FALSE))</f>
        <v/>
      </c>
      <c r="BJ18" s="62" t="str">
        <f>IF(BJ17="","",VLOOKUP(BJ17,'Tech Tree Node Parameters'!$A$3:$B$218,2,FALSE))</f>
        <v/>
      </c>
      <c r="BK18" s="62" t="str">
        <f>IF(BK17="","",VLOOKUP(BK17,'Tech Tree Node Parameters'!$A$3:$B$218,2,FALSE))</f>
        <v/>
      </c>
      <c r="BL18" s="62" t="str">
        <f>IF(BL17="","",VLOOKUP(BL17,'Tech Tree Node Parameters'!$A$3:$B$218,2,FALSE))</f>
        <v/>
      </c>
      <c r="BM18" s="62" t="str">
        <f>IF(BM17="","",VLOOKUP(BM17,'Tech Tree Node Parameters'!$A$3:$B$218,2,FALSE))</f>
        <v/>
      </c>
      <c r="BN18" s="62" t="str">
        <f>IF(BN17="","",VLOOKUP(BN17,'Tech Tree Node Parameters'!$A$3:$B$218,2,FALSE))</f>
        <v/>
      </c>
      <c r="BO18" s="62" t="str">
        <f>IF(BO17="","",VLOOKUP(BO17,'Tech Tree Node Parameters'!$A$3:$B$218,2,FALSE))</f>
        <v/>
      </c>
      <c r="BP18" s="62" t="str">
        <f>IF(BP17="","",VLOOKUP(BP17,'Tech Tree Node Parameters'!$A$3:$B$218,2,FALSE))</f>
        <v/>
      </c>
      <c r="BQ18" s="62" t="str">
        <f>IF(BQ17="","",VLOOKUP(BQ17,'Tech Tree Node Parameters'!$A$3:$B$218,2,FALSE))</f>
        <v/>
      </c>
      <c r="BR18" s="62" t="str">
        <f>IF(BR17="","",VLOOKUP(BR17,'Tech Tree Node Parameters'!$A$3:$B$218,2,FALSE))</f>
        <v/>
      </c>
      <c r="BS18" s="62" t="str">
        <f>IF(BS17="","",VLOOKUP(BS17,'Tech Tree Node Parameters'!$A$3:$B$218,2,FALSE))</f>
        <v/>
      </c>
      <c r="BT18" s="62" t="str">
        <f>IF(BT17="","",VLOOKUP(BT17,'Tech Tree Node Parameters'!$A$3:$B$218,2,FALSE))</f>
        <v/>
      </c>
      <c r="BU18" s="62" t="str">
        <f>IF(BU17="","",VLOOKUP(BU17,'Tech Tree Node Parameters'!$A$3:$B$218,2,FALSE))</f>
        <v/>
      </c>
      <c r="BV18" s="62" t="str">
        <f>IF(BV17="","",VLOOKUP(BV17,'Tech Tree Node Parameters'!$A$3:$B$218,2,FALSE))</f>
        <v/>
      </c>
      <c r="BW18" s="62" t="str">
        <f>IF(BW17="","",VLOOKUP(BW17,'Tech Tree Node Parameters'!$A$3:$B$218,2,FALSE))</f>
        <v/>
      </c>
      <c r="BX18" s="62" t="str">
        <f>IF(BX17="","",VLOOKUP(BX17,'Tech Tree Node Parameters'!$A$3:$B$218,2,FALSE))</f>
        <v/>
      </c>
      <c r="BY18" s="62" t="str">
        <f>IF(BY17="","",VLOOKUP(BY17,'Tech Tree Node Parameters'!$A$3:$B$218,2,FALSE))</f>
        <v/>
      </c>
      <c r="BZ18" s="62" t="str">
        <f>IF(BZ17="","",VLOOKUP(BZ17,'Tech Tree Node Parameters'!$A$3:$B$218,2,FALSE))</f>
        <v/>
      </c>
      <c r="CA18" s="62" t="str">
        <f>IF(CA17="","",VLOOKUP(CA17,'Tech Tree Node Parameters'!$A$3:$B$218,2,FALSE))</f>
        <v/>
      </c>
      <c r="CB18" s="62" t="str">
        <f>IF(CB17="","",VLOOKUP(CB17,'Tech Tree Node Parameters'!$A$3:$B$218,2,FALSE))</f>
        <v/>
      </c>
      <c r="CC18" s="62" t="str">
        <f>IF(CC17="","",VLOOKUP(CC17,'Tech Tree Node Parameters'!$A$3:$B$218,2,FALSE))</f>
        <v/>
      </c>
      <c r="CD18" s="62" t="str">
        <f>IF(CD17="","",VLOOKUP(CD17,'Tech Tree Node Parameters'!$A$3:$B$218,2,FALSE))</f>
        <v/>
      </c>
      <c r="CE18" s="62" t="str">
        <f>IF(CE17="","",VLOOKUP(CE17,'Tech Tree Node Parameters'!$A$3:$B$218,2,FALSE))</f>
        <v/>
      </c>
      <c r="CF18" s="62" t="str">
        <f>IF(CF17="","",VLOOKUP(CF17,'Tech Tree Node Parameters'!$A$3:$B$218,2,FALSE))</f>
        <v/>
      </c>
      <c r="CG18" s="62" t="str">
        <f>IF(CG17="","",VLOOKUP(CG17,'Tech Tree Node Parameters'!$A$3:$B$218,2,FALSE))</f>
        <v/>
      </c>
      <c r="CH18" s="62" t="str">
        <f>IF(CH17="","",VLOOKUP(CH17,'Tech Tree Node Parameters'!$A$3:$B$218,2,FALSE))</f>
        <v/>
      </c>
      <c r="CI18" s="62" t="str">
        <f>IF(CI17="","",VLOOKUP(CI17,'Tech Tree Node Parameters'!$A$3:$B$218,2,FALSE))</f>
        <v/>
      </c>
      <c r="CJ18" s="62" t="str">
        <f>IF(CJ17="","",VLOOKUP(CJ17,'Tech Tree Node Parameters'!$A$3:$B$218,2,FALSE))</f>
        <v/>
      </c>
      <c r="CK18" s="62" t="str">
        <f>IF(CK17="","",VLOOKUP(CK17,'Tech Tree Node Parameters'!$A$3:$B$218,2,FALSE))</f>
        <v/>
      </c>
      <c r="CL18" s="62" t="str">
        <f>IF(CL17="","",VLOOKUP(CL17,'Tech Tree Node Parameters'!$A$3:$B$218,2,FALSE))</f>
        <v/>
      </c>
      <c r="CM18" s="62" t="str">
        <f>IF(CM17="","",VLOOKUP(CM17,'Tech Tree Node Parameters'!$A$3:$B$218,2,FALSE))</f>
        <v/>
      </c>
      <c r="CN18" s="62" t="str">
        <f>IF(CN17="","",VLOOKUP(CN17,'Tech Tree Node Parameters'!$A$3:$B$218,2,FALSE))</f>
        <v/>
      </c>
      <c r="CO18" s="62" t="str">
        <f>IF(CO17="","",VLOOKUP(CO17,'Tech Tree Node Parameters'!$A$3:$B$218,2,FALSE))</f>
        <v/>
      </c>
      <c r="CP18" s="62" t="str">
        <f>IF(CP17="","",VLOOKUP(CP17,'Tech Tree Node Parameters'!$A$3:$B$218,2,FALSE))</f>
        <v/>
      </c>
      <c r="CQ18" s="62" t="str">
        <f>IF(CQ17="","",VLOOKUP(CQ17,'Tech Tree Node Parameters'!$A$3:$B$218,2,FALSE))</f>
        <v/>
      </c>
      <c r="CR18" s="62" t="str">
        <f>IF(CR17="","",VLOOKUP(CR17,'Tech Tree Node Parameters'!$A$3:$B$218,2,FALSE))</f>
        <v/>
      </c>
      <c r="CS18" s="62" t="str">
        <f>IF(CS17="","",VLOOKUP(CS17,'Tech Tree Node Parameters'!$A$3:$B$218,2,FALSE))</f>
        <v/>
      </c>
      <c r="CT18" s="62" t="str">
        <f>IF(CT17="","",VLOOKUP(CT17,'Tech Tree Node Parameters'!$A$3:$B$218,2,FALSE))</f>
        <v/>
      </c>
      <c r="CU18" s="62" t="str">
        <f>IF(CU17="","",VLOOKUP(CU17,'Tech Tree Node Parameters'!$A$3:$B$218,2,FALSE))</f>
        <v/>
      </c>
      <c r="CV18" s="62" t="str">
        <f>IF(CV17="","",VLOOKUP(CV17,'Tech Tree Node Parameters'!$A$3:$B$218,2,FALSE))</f>
        <v/>
      </c>
      <c r="CW18" s="62" t="str">
        <f>IF(CW17="","",VLOOKUP(CW17,'Tech Tree Node Parameters'!$A$3:$B$218,2,FALSE))</f>
        <v/>
      </c>
      <c r="CX18" s="62" t="str">
        <f>IF(CX17="","",VLOOKUP(CX17,'Tech Tree Node Parameters'!$A$3:$B$218,2,FALSE))</f>
        <v/>
      </c>
      <c r="CY18" s="36" t="str">
        <f>IF(CY17="","",VLOOKUP(CY17,'Tech Tree Node Parameters'!$A$3:$B$218,2,FALSE))</f>
        <v/>
      </c>
    </row>
    <row r="19" spans="1:103" s="49" customFormat="1" x14ac:dyDescent="0.25">
      <c r="A19" s="72">
        <f t="shared" si="9"/>
        <v>54</v>
      </c>
      <c r="B19" s="69">
        <f>B21+$D$6</f>
        <v>2089</v>
      </c>
      <c r="C19" s="39"/>
      <c r="D19" s="61"/>
      <c r="E19" s="61"/>
      <c r="F19" s="61"/>
      <c r="G19" s="61"/>
      <c r="H19" s="61"/>
      <c r="I19" s="61"/>
      <c r="J19" s="61"/>
      <c r="K19" s="61"/>
      <c r="L19" s="61"/>
      <c r="M19" s="61"/>
      <c r="N19" s="61"/>
      <c r="O19" s="61"/>
      <c r="P19" s="61"/>
      <c r="Q19" s="61"/>
      <c r="R19" s="61"/>
      <c r="S19" s="61"/>
      <c r="T19" s="61"/>
      <c r="U19" s="61"/>
      <c r="V19" s="61"/>
      <c r="W19" s="61"/>
      <c r="X19" s="61"/>
      <c r="Y19" s="61"/>
      <c r="Z19" s="61"/>
      <c r="AA19" s="61"/>
      <c r="AB19" s="61"/>
      <c r="AC19" s="61"/>
      <c r="AD19" s="61"/>
      <c r="AE19" s="61"/>
      <c r="AF19" s="61"/>
      <c r="AG19" s="61" t="s">
        <v>206</v>
      </c>
      <c r="AH19" s="61"/>
      <c r="AI19" s="61" t="s">
        <v>207</v>
      </c>
      <c r="AJ19" s="61"/>
      <c r="AK19" s="61" t="s">
        <v>201</v>
      </c>
      <c r="AL19" s="61"/>
      <c r="AM19" s="61" t="s">
        <v>211</v>
      </c>
      <c r="AN19" s="61"/>
      <c r="AO19" s="61"/>
      <c r="AP19" s="61"/>
      <c r="AQ19" s="61"/>
      <c r="AR19" s="61"/>
      <c r="AS19" s="61"/>
      <c r="AT19" s="61"/>
      <c r="AU19" s="61"/>
      <c r="AV19" s="61"/>
      <c r="AW19" s="61"/>
      <c r="AX19" s="61"/>
      <c r="AY19" s="61" t="s">
        <v>391</v>
      </c>
      <c r="AZ19" s="61"/>
      <c r="BA19" s="61" t="s">
        <v>56</v>
      </c>
      <c r="BB19" s="61"/>
      <c r="BC19" s="61" t="s">
        <v>511</v>
      </c>
      <c r="BD19" s="61"/>
      <c r="BE19" s="61"/>
      <c r="BF19" s="61"/>
      <c r="BG19" s="61" t="s">
        <v>69</v>
      </c>
      <c r="BH19" s="61"/>
      <c r="BI19" s="61"/>
      <c r="BJ19" s="61"/>
      <c r="BK19" s="61"/>
      <c r="BL19" s="61"/>
      <c r="BM19" s="61"/>
      <c r="BN19" s="61"/>
      <c r="BO19" s="61"/>
      <c r="BP19" s="61"/>
      <c r="BQ19" s="61"/>
      <c r="BR19" s="61"/>
      <c r="BS19" s="61"/>
      <c r="BT19" s="61"/>
      <c r="BU19" s="61"/>
      <c r="BV19" s="61"/>
      <c r="BW19" s="61"/>
      <c r="BX19" s="61"/>
      <c r="BY19" s="61"/>
      <c r="BZ19" s="61"/>
      <c r="CA19" s="61"/>
      <c r="CB19" s="61"/>
      <c r="CC19" s="61"/>
      <c r="CD19" s="61"/>
      <c r="CE19" s="61"/>
      <c r="CF19" s="61"/>
      <c r="CG19" s="61"/>
      <c r="CH19" s="61"/>
      <c r="CI19" s="61"/>
      <c r="CJ19" s="61"/>
      <c r="CK19" s="61"/>
      <c r="CL19" s="61"/>
      <c r="CM19" s="61"/>
      <c r="CN19" s="61"/>
      <c r="CO19" s="61"/>
      <c r="CP19" s="61"/>
      <c r="CQ19" s="61"/>
      <c r="CR19" s="61"/>
      <c r="CS19" s="61"/>
      <c r="CT19" s="61"/>
      <c r="CU19" s="61"/>
      <c r="CV19" s="61"/>
      <c r="CW19" s="61"/>
      <c r="CX19" s="61"/>
      <c r="CY19" s="35"/>
    </row>
    <row r="20" spans="1:103" s="49" customFormat="1" x14ac:dyDescent="0.25">
      <c r="A20" s="72"/>
      <c r="B20" s="70"/>
      <c r="C20" s="40"/>
      <c r="D20" s="62" t="str">
        <f>IF(D19="","",VLOOKUP(D19,'Tech Tree Node Parameters'!$A$3:$B$218,2,FALSE))</f>
        <v/>
      </c>
      <c r="E20" s="62" t="str">
        <f>IF(E19="","",VLOOKUP(E19,'Tech Tree Node Parameters'!$A$3:$B$218,2,FALSE))</f>
        <v/>
      </c>
      <c r="F20" s="62" t="str">
        <f>IF(F19="","",VLOOKUP(F19,'Tech Tree Node Parameters'!$A$3:$B$218,2,FALSE))</f>
        <v/>
      </c>
      <c r="G20" s="62" t="str">
        <f>IF(G19="","",VLOOKUP(G19,'Tech Tree Node Parameters'!$A$3:$B$218,2,FALSE))</f>
        <v/>
      </c>
      <c r="H20" s="62" t="str">
        <f>IF(H19="","",VLOOKUP(H19,'Tech Tree Node Parameters'!$A$3:$B$218,2,FALSE))</f>
        <v/>
      </c>
      <c r="I20" s="62" t="str">
        <f>IF(I19="","",VLOOKUP(I19,'Tech Tree Node Parameters'!$A$3:$B$218,2,FALSE))</f>
        <v/>
      </c>
      <c r="J20" s="62" t="str">
        <f>IF(J19="","",VLOOKUP(J19,'Tech Tree Node Parameters'!$A$3:$B$218,2,FALSE))</f>
        <v/>
      </c>
      <c r="K20" s="62" t="str">
        <f>IF(K19="","",VLOOKUP(K19,'Tech Tree Node Parameters'!$A$3:$B$218,2,FALSE))</f>
        <v/>
      </c>
      <c r="L20" s="62" t="str">
        <f>IF(L19="","",VLOOKUP(L19,'Tech Tree Node Parameters'!$A$3:$B$218,2,FALSE))</f>
        <v/>
      </c>
      <c r="M20" s="62" t="str">
        <f>IF(M19="","",VLOOKUP(M19,'Tech Tree Node Parameters'!$A$3:$B$218,2,FALSE))</f>
        <v/>
      </c>
      <c r="N20" s="62" t="str">
        <f>IF(N19="","",VLOOKUP(N19,'Tech Tree Node Parameters'!$A$3:$B$218,2,FALSE))</f>
        <v/>
      </c>
      <c r="O20" s="62" t="str">
        <f>IF(O19="","",VLOOKUP(O19,'Tech Tree Node Parameters'!$A$3:$B$218,2,FALSE))</f>
        <v/>
      </c>
      <c r="P20" s="62" t="str">
        <f>IF(P19="","",VLOOKUP(P19,'Tech Tree Node Parameters'!$A$3:$B$218,2,FALSE))</f>
        <v/>
      </c>
      <c r="Q20" s="62" t="str">
        <f>IF(Q19="","",VLOOKUP(Q19,'Tech Tree Node Parameters'!$A$3:$B$218,2,FALSE))</f>
        <v/>
      </c>
      <c r="R20" s="62" t="str">
        <f>IF(R19="","",VLOOKUP(R19,'Tech Tree Node Parameters'!$A$3:$B$218,2,FALSE))</f>
        <v/>
      </c>
      <c r="S20" s="62" t="str">
        <f>IF(S19="","",VLOOKUP(S19,'Tech Tree Node Parameters'!$A$3:$B$218,2,FALSE))</f>
        <v/>
      </c>
      <c r="T20" s="62" t="str">
        <f>IF(T19="","",VLOOKUP(T19,'Tech Tree Node Parameters'!$A$3:$B$218,2,FALSE))</f>
        <v/>
      </c>
      <c r="U20" s="62" t="str">
        <f>IF(U19="","",VLOOKUP(U19,'Tech Tree Node Parameters'!$A$3:$B$218,2,FALSE))</f>
        <v/>
      </c>
      <c r="V20" s="62" t="str">
        <f>IF(V19="","",VLOOKUP(V19,'Tech Tree Node Parameters'!$A$3:$B$218,2,FALSE))</f>
        <v/>
      </c>
      <c r="W20" s="62" t="str">
        <f>IF(W19="","",VLOOKUP(W19,'Tech Tree Node Parameters'!$A$3:$B$218,2,FALSE))</f>
        <v/>
      </c>
      <c r="X20" s="62" t="str">
        <f>IF(X19="","",VLOOKUP(X19,'Tech Tree Node Parameters'!$A$3:$B$218,2,FALSE))</f>
        <v/>
      </c>
      <c r="Y20" s="62" t="str">
        <f>IF(Y19="","",VLOOKUP(Y19,'Tech Tree Node Parameters'!$A$3:$B$218,2,FALSE))</f>
        <v/>
      </c>
      <c r="Z20" s="62" t="str">
        <f>IF(Z19="","",VLOOKUP(Z19,'Tech Tree Node Parameters'!$A$3:$B$218,2,FALSE))</f>
        <v/>
      </c>
      <c r="AA20" s="62" t="str">
        <f>IF(AA19="","",VLOOKUP(AA19,'Tech Tree Node Parameters'!$A$3:$B$218,2,FALSE))</f>
        <v/>
      </c>
      <c r="AB20" s="62" t="str">
        <f>IF(AB19="","",VLOOKUP(AB19,'Tech Tree Node Parameters'!$A$3:$B$218,2,FALSE))</f>
        <v/>
      </c>
      <c r="AC20" s="62" t="str">
        <f>IF(AC19="","",VLOOKUP(AC19,'Tech Tree Node Parameters'!$A$3:$B$218,2,FALSE))</f>
        <v/>
      </c>
      <c r="AD20" s="62" t="str">
        <f>IF(AD19="","",VLOOKUP(AD19,'Tech Tree Node Parameters'!$A$3:$B$218,2,FALSE))</f>
        <v/>
      </c>
      <c r="AE20" s="62" t="str">
        <f>IF(AE19="","",VLOOKUP(AE19,'Tech Tree Node Parameters'!$A$3:$B$218,2,FALSE))</f>
        <v/>
      </c>
      <c r="AF20" s="62" t="str">
        <f>IF(AF19="","",VLOOKUP(AF19,'Tech Tree Node Parameters'!$A$3:$B$218,2,FALSE))</f>
        <v/>
      </c>
      <c r="AG20" s="62" t="str">
        <f>IF(AG19="","",VLOOKUP(AG19,'Tech Tree Node Parameters'!$A$3:$B$218,2,FALSE))</f>
        <v>Ultra High Energy Physics</v>
      </c>
      <c r="AH20" s="62" t="str">
        <f>IF(AH19="","",VLOOKUP(AH19,'Tech Tree Node Parameters'!$A$3:$B$218,2,FALSE))</f>
        <v/>
      </c>
      <c r="AI20" s="62" t="str">
        <f>IF(AI19="","",VLOOKUP(AI19,'Tech Tree Node Parameters'!$A$3:$B$218,2,FALSE))</f>
        <v>Unified Field Theory</v>
      </c>
      <c r="AJ20" s="62" t="str">
        <f>IF(AJ19="","",VLOOKUP(AJ19,'Tech Tree Node Parameters'!$A$3:$B$218,2,FALSE))</f>
        <v/>
      </c>
      <c r="AK20" s="62" t="str">
        <f>IF(AK19="","",VLOOKUP(AK19,'Tech Tree Node Parameters'!$A$3:$B$218,2,FALSE))</f>
        <v>Exotic Fusion Reactors</v>
      </c>
      <c r="AL20" s="62" t="str">
        <f>IF(AL19="","",VLOOKUP(AL19,'Tech Tree Node Parameters'!$A$3:$B$218,2,FALSE))</f>
        <v/>
      </c>
      <c r="AM20" s="62" t="str">
        <f>IF(AM19="","",VLOOKUP(AM19,'Tech Tree Node Parameters'!$A$3:$B$218,2,FALSE))</f>
        <v>Exotic Nuclear Propulsion</v>
      </c>
      <c r="AN20" s="62" t="str">
        <f>IF(AN19="","",VLOOKUP(AN19,'Tech Tree Node Parameters'!$A$3:$B$218,2,FALSE))</f>
        <v/>
      </c>
      <c r="AO20" s="62" t="str">
        <f>IF(AO19="","",VLOOKUP(AO19,'Tech Tree Node Parameters'!$A$3:$B$218,2,FALSE))</f>
        <v/>
      </c>
      <c r="AP20" s="62" t="str">
        <f>IF(AP19="","",VLOOKUP(AP19,'Tech Tree Node Parameters'!$A$3:$B$218,2,FALSE))</f>
        <v/>
      </c>
      <c r="AQ20" s="62" t="str">
        <f>IF(AQ19="","",VLOOKUP(AQ19,'Tech Tree Node Parameters'!$A$3:$B$218,2,FALSE))</f>
        <v/>
      </c>
      <c r="AR20" s="62" t="str">
        <f>IF(AR19="","",VLOOKUP(AR19,'Tech Tree Node Parameters'!$A$3:$B$218,2,FALSE))</f>
        <v/>
      </c>
      <c r="AS20" s="62" t="str">
        <f>IF(AS19="","",VLOOKUP(AS19,'Tech Tree Node Parameters'!$A$3:$B$218,2,FALSE))</f>
        <v/>
      </c>
      <c r="AT20" s="62" t="str">
        <f>IF(AT19="","",VLOOKUP(AT19,'Tech Tree Node Parameters'!$A$3:$B$218,2,FALSE))</f>
        <v/>
      </c>
      <c r="AU20" s="62" t="str">
        <f>IF(AU19="","",VLOOKUP(AU19,'Tech Tree Node Parameters'!$A$3:$B$218,2,FALSE))</f>
        <v/>
      </c>
      <c r="AV20" s="62" t="str">
        <f>IF(AV19="","",VLOOKUP(AV19,'Tech Tree Node Parameters'!$A$3:$B$218,2,FALSE))</f>
        <v/>
      </c>
      <c r="AW20" s="62" t="str">
        <f>IF(AW19="","",VLOOKUP(AW19,'Tech Tree Node Parameters'!$A$3:$B$218,2,FALSE))</f>
        <v/>
      </c>
      <c r="AX20" s="62" t="str">
        <f>IF(AX19="","",VLOOKUP(AX19,'Tech Tree Node Parameters'!$A$3:$B$218,2,FALSE))</f>
        <v/>
      </c>
      <c r="AY20" s="62" t="str">
        <f>IF(AY19="","",VLOOKUP(AY19,'Tech Tree Node Parameters'!$A$3:$B$218,2,FALSE))</f>
        <v>Advanced Control Surfaces</v>
      </c>
      <c r="AZ20" s="62" t="str">
        <f>IF(AZ19="","",VLOOKUP(AZ19,'Tech Tree Node Parameters'!$A$3:$B$218,2,FALSE))</f>
        <v/>
      </c>
      <c r="BA20" s="62" t="str">
        <f>IF(BA19="","",VLOOKUP(BA19,'Tech Tree Node Parameters'!$A$3:$B$218,2,FALSE))</f>
        <v>Experimental Aerodynamics</v>
      </c>
      <c r="BB20" s="62" t="str">
        <f>IF(BB19="","",VLOOKUP(BB19,'Tech Tree Node Parameters'!$A$3:$B$218,2,FALSE))</f>
        <v/>
      </c>
      <c r="BC20" s="62" t="str">
        <f>IF(BC19="","",VLOOKUP(BC19,'Tech Tree Node Parameters'!$A$3:$B$218,2,FALSE))</f>
        <v>Extra-Large Fairings</v>
      </c>
      <c r="BD20" s="62" t="str">
        <f>IF(BD19="","",VLOOKUP(BD19,'Tech Tree Node Parameters'!$A$3:$B$218,2,FALSE))</f>
        <v/>
      </c>
      <c r="BE20" s="62" t="str">
        <f>IF(BE19="","",VLOOKUP(BE19,'Tech Tree Node Parameters'!$A$3:$B$218,2,FALSE))</f>
        <v/>
      </c>
      <c r="BF20" s="62" t="str">
        <f>IF(BF19="","",VLOOKUP(BF19,'Tech Tree Node Parameters'!$A$3:$B$218,2,FALSE))</f>
        <v/>
      </c>
      <c r="BG20" s="62" t="str">
        <f>IF(BG19="","",VLOOKUP(BG19,'Tech Tree Node Parameters'!$A$3:$B$218,2,FALSE))</f>
        <v>Aerospace Composites</v>
      </c>
      <c r="BH20" s="62" t="str">
        <f>IF(BH19="","",VLOOKUP(BH19,'Tech Tree Node Parameters'!$A$3:$B$218,2,FALSE))</f>
        <v/>
      </c>
      <c r="BI20" s="62" t="str">
        <f>IF(BI19="","",VLOOKUP(BI19,'Tech Tree Node Parameters'!$A$3:$B$218,2,FALSE))</f>
        <v/>
      </c>
      <c r="BJ20" s="62" t="str">
        <f>IF(BJ19="","",VLOOKUP(BJ19,'Tech Tree Node Parameters'!$A$3:$B$218,2,FALSE))</f>
        <v/>
      </c>
      <c r="BK20" s="62" t="str">
        <f>IF(BK19="","",VLOOKUP(BK19,'Tech Tree Node Parameters'!$A$3:$B$218,2,FALSE))</f>
        <v/>
      </c>
      <c r="BL20" s="62" t="str">
        <f>IF(BL19="","",VLOOKUP(BL19,'Tech Tree Node Parameters'!$A$3:$B$218,2,FALSE))</f>
        <v/>
      </c>
      <c r="BM20" s="62" t="str">
        <f>IF(BM19="","",VLOOKUP(BM19,'Tech Tree Node Parameters'!$A$3:$B$218,2,FALSE))</f>
        <v/>
      </c>
      <c r="BN20" s="62" t="str">
        <f>IF(BN19="","",VLOOKUP(BN19,'Tech Tree Node Parameters'!$A$3:$B$218,2,FALSE))</f>
        <v/>
      </c>
      <c r="BO20" s="62" t="str">
        <f>IF(BO19="","",VLOOKUP(BO19,'Tech Tree Node Parameters'!$A$3:$B$218,2,FALSE))</f>
        <v/>
      </c>
      <c r="BP20" s="62" t="str">
        <f>IF(BP19="","",VLOOKUP(BP19,'Tech Tree Node Parameters'!$A$3:$B$218,2,FALSE))</f>
        <v/>
      </c>
      <c r="BQ20" s="62" t="str">
        <f>IF(BQ19="","",VLOOKUP(BQ19,'Tech Tree Node Parameters'!$A$3:$B$218,2,FALSE))</f>
        <v/>
      </c>
      <c r="BR20" s="62" t="str">
        <f>IF(BR19="","",VLOOKUP(BR19,'Tech Tree Node Parameters'!$A$3:$B$218,2,FALSE))</f>
        <v/>
      </c>
      <c r="BS20" s="62" t="str">
        <f>IF(BS19="","",VLOOKUP(BS19,'Tech Tree Node Parameters'!$A$3:$B$218,2,FALSE))</f>
        <v/>
      </c>
      <c r="BT20" s="62" t="str">
        <f>IF(BT19="","",VLOOKUP(BT19,'Tech Tree Node Parameters'!$A$3:$B$218,2,FALSE))</f>
        <v/>
      </c>
      <c r="BU20" s="62" t="str">
        <f>IF(BU19="","",VLOOKUP(BU19,'Tech Tree Node Parameters'!$A$3:$B$218,2,FALSE))</f>
        <v/>
      </c>
      <c r="BV20" s="62" t="str">
        <f>IF(BV19="","",VLOOKUP(BV19,'Tech Tree Node Parameters'!$A$3:$B$218,2,FALSE))</f>
        <v/>
      </c>
      <c r="BW20" s="62" t="str">
        <f>IF(BW19="","",VLOOKUP(BW19,'Tech Tree Node Parameters'!$A$3:$B$218,2,FALSE))</f>
        <v/>
      </c>
      <c r="BX20" s="62" t="str">
        <f>IF(BX19="","",VLOOKUP(BX19,'Tech Tree Node Parameters'!$A$3:$B$218,2,FALSE))</f>
        <v/>
      </c>
      <c r="BY20" s="62" t="str">
        <f>IF(BY19="","",VLOOKUP(BY19,'Tech Tree Node Parameters'!$A$3:$B$218,2,FALSE))</f>
        <v/>
      </c>
      <c r="BZ20" s="62" t="str">
        <f>IF(BZ19="","",VLOOKUP(BZ19,'Tech Tree Node Parameters'!$A$3:$B$218,2,FALSE))</f>
        <v/>
      </c>
      <c r="CA20" s="62" t="str">
        <f>IF(CA19="","",VLOOKUP(CA19,'Tech Tree Node Parameters'!$A$3:$B$218,2,FALSE))</f>
        <v/>
      </c>
      <c r="CB20" s="62" t="str">
        <f>IF(CB19="","",VLOOKUP(CB19,'Tech Tree Node Parameters'!$A$3:$B$218,2,FALSE))</f>
        <v/>
      </c>
      <c r="CC20" s="62" t="str">
        <f>IF(CC19="","",VLOOKUP(CC19,'Tech Tree Node Parameters'!$A$3:$B$218,2,FALSE))</f>
        <v/>
      </c>
      <c r="CD20" s="62" t="str">
        <f>IF(CD19="","",VLOOKUP(CD19,'Tech Tree Node Parameters'!$A$3:$B$218,2,FALSE))</f>
        <v/>
      </c>
      <c r="CE20" s="62" t="str">
        <f>IF(CE19="","",VLOOKUP(CE19,'Tech Tree Node Parameters'!$A$3:$B$218,2,FALSE))</f>
        <v/>
      </c>
      <c r="CF20" s="62" t="str">
        <f>IF(CF19="","",VLOOKUP(CF19,'Tech Tree Node Parameters'!$A$3:$B$218,2,FALSE))</f>
        <v/>
      </c>
      <c r="CG20" s="62" t="str">
        <f>IF(CG19="","",VLOOKUP(CG19,'Tech Tree Node Parameters'!$A$3:$B$218,2,FALSE))</f>
        <v/>
      </c>
      <c r="CH20" s="62" t="str">
        <f>IF(CH19="","",VLOOKUP(CH19,'Tech Tree Node Parameters'!$A$3:$B$218,2,FALSE))</f>
        <v/>
      </c>
      <c r="CI20" s="62" t="str">
        <f>IF(CI19="","",VLOOKUP(CI19,'Tech Tree Node Parameters'!$A$3:$B$218,2,FALSE))</f>
        <v/>
      </c>
      <c r="CJ20" s="62" t="str">
        <f>IF(CJ19="","",VLOOKUP(CJ19,'Tech Tree Node Parameters'!$A$3:$B$218,2,FALSE))</f>
        <v/>
      </c>
      <c r="CK20" s="62" t="str">
        <f>IF(CK19="","",VLOOKUP(CK19,'Tech Tree Node Parameters'!$A$3:$B$218,2,FALSE))</f>
        <v/>
      </c>
      <c r="CL20" s="62" t="str">
        <f>IF(CL19="","",VLOOKUP(CL19,'Tech Tree Node Parameters'!$A$3:$B$218,2,FALSE))</f>
        <v/>
      </c>
      <c r="CM20" s="62" t="str">
        <f>IF(CM19="","",VLOOKUP(CM19,'Tech Tree Node Parameters'!$A$3:$B$218,2,FALSE))</f>
        <v/>
      </c>
      <c r="CN20" s="62" t="str">
        <f>IF(CN19="","",VLOOKUP(CN19,'Tech Tree Node Parameters'!$A$3:$B$218,2,FALSE))</f>
        <v/>
      </c>
      <c r="CO20" s="62" t="str">
        <f>IF(CO19="","",VLOOKUP(CO19,'Tech Tree Node Parameters'!$A$3:$B$218,2,FALSE))</f>
        <v/>
      </c>
      <c r="CP20" s="62" t="str">
        <f>IF(CP19="","",VLOOKUP(CP19,'Tech Tree Node Parameters'!$A$3:$B$218,2,FALSE))</f>
        <v/>
      </c>
      <c r="CQ20" s="62" t="str">
        <f>IF(CQ19="","",VLOOKUP(CQ19,'Tech Tree Node Parameters'!$A$3:$B$218,2,FALSE))</f>
        <v/>
      </c>
      <c r="CR20" s="62" t="str">
        <f>IF(CR19="","",VLOOKUP(CR19,'Tech Tree Node Parameters'!$A$3:$B$218,2,FALSE))</f>
        <v/>
      </c>
      <c r="CS20" s="62" t="str">
        <f>IF(CS19="","",VLOOKUP(CS19,'Tech Tree Node Parameters'!$A$3:$B$218,2,FALSE))</f>
        <v/>
      </c>
      <c r="CT20" s="62" t="str">
        <f>IF(CT19="","",VLOOKUP(CT19,'Tech Tree Node Parameters'!$A$3:$B$218,2,FALSE))</f>
        <v/>
      </c>
      <c r="CU20" s="62" t="str">
        <f>IF(CU19="","",VLOOKUP(CU19,'Tech Tree Node Parameters'!$A$3:$B$218,2,FALSE))</f>
        <v/>
      </c>
      <c r="CV20" s="62" t="str">
        <f>IF(CV19="","",VLOOKUP(CV19,'Tech Tree Node Parameters'!$A$3:$B$218,2,FALSE))</f>
        <v/>
      </c>
      <c r="CW20" s="62" t="str">
        <f>IF(CW19="","",VLOOKUP(CW19,'Tech Tree Node Parameters'!$A$3:$B$218,2,FALSE))</f>
        <v/>
      </c>
      <c r="CX20" s="62" t="str">
        <f>IF(CX19="","",VLOOKUP(CX19,'Tech Tree Node Parameters'!$A$3:$B$218,2,FALSE))</f>
        <v/>
      </c>
      <c r="CY20" s="36" t="str">
        <f>IF(CY19="","",VLOOKUP(CY19,'Tech Tree Node Parameters'!$A$3:$B$218,2,FALSE))</f>
        <v/>
      </c>
    </row>
    <row r="21" spans="1:103" s="47" customFormat="1" x14ac:dyDescent="0.25">
      <c r="A21" s="72">
        <f t="shared" si="9"/>
        <v>53</v>
      </c>
      <c r="B21" s="69">
        <f>B23+$D$6</f>
        <v>2051</v>
      </c>
      <c r="C21" s="39"/>
      <c r="D21" s="61"/>
      <c r="E21" s="61"/>
      <c r="F21" s="61"/>
      <c r="G21" s="61"/>
      <c r="H21" s="61"/>
      <c r="I21" s="61"/>
      <c r="J21" s="61"/>
      <c r="K21" s="61"/>
      <c r="L21" s="61"/>
      <c r="M21" s="61"/>
      <c r="N21" s="61"/>
      <c r="O21" s="61"/>
      <c r="P21" s="61"/>
      <c r="Q21" s="61"/>
      <c r="R21" s="61"/>
      <c r="S21" s="61"/>
      <c r="T21" s="61"/>
      <c r="U21" s="61"/>
      <c r="V21" s="61"/>
      <c r="W21" s="61"/>
      <c r="X21" s="61"/>
      <c r="Y21" s="61"/>
      <c r="Z21" s="61"/>
      <c r="AA21" s="61"/>
      <c r="AB21" s="61"/>
      <c r="AC21" s="61"/>
      <c r="AD21" s="61"/>
      <c r="AE21" s="61"/>
      <c r="AF21" s="61"/>
      <c r="AG21" s="61"/>
      <c r="AH21" s="61"/>
      <c r="AI21" s="61"/>
      <c r="AJ21" s="61"/>
      <c r="AK21" s="61"/>
      <c r="AL21" s="61"/>
      <c r="AM21" s="61"/>
      <c r="AN21" s="61"/>
      <c r="AO21" s="61"/>
      <c r="AP21" s="61"/>
      <c r="AQ21" s="61"/>
      <c r="AR21" s="61"/>
      <c r="AS21" s="61"/>
      <c r="AT21" s="61"/>
      <c r="AU21" s="61"/>
      <c r="AV21" s="61"/>
      <c r="AW21" s="61"/>
      <c r="AX21" s="61"/>
      <c r="AY21" s="61"/>
      <c r="AZ21" s="61"/>
      <c r="BA21" s="61"/>
      <c r="BB21" s="61"/>
      <c r="BC21" s="61"/>
      <c r="BD21" s="61"/>
      <c r="BE21" s="61"/>
      <c r="BF21" s="61"/>
      <c r="BG21" s="61"/>
      <c r="BH21" s="61"/>
      <c r="BI21" s="61"/>
      <c r="BJ21" s="61"/>
      <c r="BK21" s="61"/>
      <c r="BL21" s="61"/>
      <c r="BM21" s="61"/>
      <c r="BN21" s="61"/>
      <c r="BO21" s="61"/>
      <c r="BP21" s="61"/>
      <c r="BQ21" s="61"/>
      <c r="BR21" s="61"/>
      <c r="BS21" s="61"/>
      <c r="BT21" s="61"/>
      <c r="BU21" s="61"/>
      <c r="BV21" s="61"/>
      <c r="BW21" s="61"/>
      <c r="BX21" s="61"/>
      <c r="BY21" s="61"/>
      <c r="BZ21" s="61"/>
      <c r="CA21" s="61"/>
      <c r="CB21" s="61"/>
      <c r="CC21" s="61"/>
      <c r="CD21" s="61"/>
      <c r="CE21" s="61"/>
      <c r="CF21" s="61"/>
      <c r="CG21" s="61"/>
      <c r="CH21" s="61"/>
      <c r="CI21" s="61"/>
      <c r="CJ21" s="61"/>
      <c r="CK21" s="61"/>
      <c r="CL21" s="61"/>
      <c r="CM21" s="61"/>
      <c r="CN21" s="61"/>
      <c r="CO21" s="61"/>
      <c r="CP21" s="61"/>
      <c r="CQ21" s="61"/>
      <c r="CR21" s="61"/>
      <c r="CS21" s="61"/>
      <c r="CT21" s="61"/>
      <c r="CU21" s="61"/>
      <c r="CV21" s="61"/>
      <c r="CW21" s="61"/>
      <c r="CX21" s="61"/>
      <c r="CY21" s="35"/>
    </row>
    <row r="22" spans="1:103" s="47" customFormat="1" x14ac:dyDescent="0.25">
      <c r="A22" s="72"/>
      <c r="B22" s="70"/>
      <c r="C22" s="40"/>
      <c r="D22" s="62" t="str">
        <f>IF(D21="","",VLOOKUP(D21,'Tech Tree Node Parameters'!$A$3:$B$218,2,FALSE))</f>
        <v/>
      </c>
      <c r="E22" s="62" t="str">
        <f>IF(E21="","",VLOOKUP(E21,'Tech Tree Node Parameters'!$A$3:$B$218,2,FALSE))</f>
        <v/>
      </c>
      <c r="F22" s="62" t="str">
        <f>IF(F21="","",VLOOKUP(F21,'Tech Tree Node Parameters'!$A$3:$B$218,2,FALSE))</f>
        <v/>
      </c>
      <c r="G22" s="62" t="str">
        <f>IF(G21="","",VLOOKUP(G21,'Tech Tree Node Parameters'!$A$3:$B$218,2,FALSE))</f>
        <v/>
      </c>
      <c r="H22" s="62" t="str">
        <f>IF(H21="","",VLOOKUP(H21,'Tech Tree Node Parameters'!$A$3:$B$218,2,FALSE))</f>
        <v/>
      </c>
      <c r="I22" s="62" t="str">
        <f>IF(I21="","",VLOOKUP(I21,'Tech Tree Node Parameters'!$A$3:$B$218,2,FALSE))</f>
        <v/>
      </c>
      <c r="J22" s="62" t="str">
        <f>IF(J21="","",VLOOKUP(J21,'Tech Tree Node Parameters'!$A$3:$B$218,2,FALSE))</f>
        <v/>
      </c>
      <c r="K22" s="62" t="str">
        <f>IF(K21="","",VLOOKUP(K21,'Tech Tree Node Parameters'!$A$3:$B$218,2,FALSE))</f>
        <v/>
      </c>
      <c r="L22" s="62" t="str">
        <f>IF(L21="","",VLOOKUP(L21,'Tech Tree Node Parameters'!$A$3:$B$218,2,FALSE))</f>
        <v/>
      </c>
      <c r="M22" s="62" t="str">
        <f>IF(M21="","",VLOOKUP(M21,'Tech Tree Node Parameters'!$A$3:$B$218,2,FALSE))</f>
        <v/>
      </c>
      <c r="N22" s="62" t="str">
        <f>IF(N21="","",VLOOKUP(N21,'Tech Tree Node Parameters'!$A$3:$B$218,2,FALSE))</f>
        <v/>
      </c>
      <c r="O22" s="62" t="str">
        <f>IF(O21="","",VLOOKUP(O21,'Tech Tree Node Parameters'!$A$3:$B$218,2,FALSE))</f>
        <v/>
      </c>
      <c r="P22" s="62" t="str">
        <f>IF(P21="","",VLOOKUP(P21,'Tech Tree Node Parameters'!$A$3:$B$218,2,FALSE))</f>
        <v/>
      </c>
      <c r="Q22" s="62" t="str">
        <f>IF(Q21="","",VLOOKUP(Q21,'Tech Tree Node Parameters'!$A$3:$B$218,2,FALSE))</f>
        <v/>
      </c>
      <c r="R22" s="62" t="str">
        <f>IF(R21="","",VLOOKUP(R21,'Tech Tree Node Parameters'!$A$3:$B$218,2,FALSE))</f>
        <v/>
      </c>
      <c r="S22" s="62" t="str">
        <f>IF(S21="","",VLOOKUP(S21,'Tech Tree Node Parameters'!$A$3:$B$218,2,FALSE))</f>
        <v/>
      </c>
      <c r="T22" s="62" t="str">
        <f>IF(T21="","",VLOOKUP(T21,'Tech Tree Node Parameters'!$A$3:$B$218,2,FALSE))</f>
        <v/>
      </c>
      <c r="U22" s="62" t="str">
        <f>IF(U21="","",VLOOKUP(U21,'Tech Tree Node Parameters'!$A$3:$B$218,2,FALSE))</f>
        <v/>
      </c>
      <c r="V22" s="62" t="str">
        <f>IF(V21="","",VLOOKUP(V21,'Tech Tree Node Parameters'!$A$3:$B$218,2,FALSE))</f>
        <v/>
      </c>
      <c r="W22" s="62" t="str">
        <f>IF(W21="","",VLOOKUP(W21,'Tech Tree Node Parameters'!$A$3:$B$218,2,FALSE))</f>
        <v/>
      </c>
      <c r="X22" s="62" t="str">
        <f>IF(X21="","",VLOOKUP(X21,'Tech Tree Node Parameters'!$A$3:$B$218,2,FALSE))</f>
        <v/>
      </c>
      <c r="Y22" s="62" t="str">
        <f>IF(Y21="","",VLOOKUP(Y21,'Tech Tree Node Parameters'!$A$3:$B$218,2,FALSE))</f>
        <v/>
      </c>
      <c r="Z22" s="62" t="str">
        <f>IF(Z21="","",VLOOKUP(Z21,'Tech Tree Node Parameters'!$A$3:$B$218,2,FALSE))</f>
        <v/>
      </c>
      <c r="AA22" s="62" t="str">
        <f>IF(AA21="","",VLOOKUP(AA21,'Tech Tree Node Parameters'!$A$3:$B$218,2,FALSE))</f>
        <v/>
      </c>
      <c r="AB22" s="62" t="str">
        <f>IF(AB21="","",VLOOKUP(AB21,'Tech Tree Node Parameters'!$A$3:$B$218,2,FALSE))</f>
        <v/>
      </c>
      <c r="AC22" s="62" t="str">
        <f>IF(AC21="","",VLOOKUP(AC21,'Tech Tree Node Parameters'!$A$3:$B$218,2,FALSE))</f>
        <v/>
      </c>
      <c r="AD22" s="62" t="str">
        <f>IF(AD21="","",VLOOKUP(AD21,'Tech Tree Node Parameters'!$A$3:$B$218,2,FALSE))</f>
        <v/>
      </c>
      <c r="AE22" s="62" t="str">
        <f>IF(AE21="","",VLOOKUP(AE21,'Tech Tree Node Parameters'!$A$3:$B$218,2,FALSE))</f>
        <v/>
      </c>
      <c r="AF22" s="62" t="str">
        <f>IF(AF21="","",VLOOKUP(AF21,'Tech Tree Node Parameters'!$A$3:$B$218,2,FALSE))</f>
        <v/>
      </c>
      <c r="AG22" s="62" t="str">
        <f>IF(AG21="","",VLOOKUP(AG21,'Tech Tree Node Parameters'!$A$3:$B$218,2,FALSE))</f>
        <v/>
      </c>
      <c r="AH22" s="62" t="str">
        <f>IF(AH21="","",VLOOKUP(AH21,'Tech Tree Node Parameters'!$A$3:$B$218,2,FALSE))</f>
        <v/>
      </c>
      <c r="AI22" s="62" t="str">
        <f>IF(AI21="","",VLOOKUP(AI21,'Tech Tree Node Parameters'!$A$3:$B$218,2,FALSE))</f>
        <v/>
      </c>
      <c r="AJ22" s="62" t="str">
        <f>IF(AJ21="","",VLOOKUP(AJ21,'Tech Tree Node Parameters'!$A$3:$B$218,2,FALSE))</f>
        <v/>
      </c>
      <c r="AK22" s="62" t="str">
        <f>IF(AK21="","",VLOOKUP(AK21,'Tech Tree Node Parameters'!$A$3:$B$218,2,FALSE))</f>
        <v/>
      </c>
      <c r="AL22" s="62" t="str">
        <f>IF(AL21="","",VLOOKUP(AL21,'Tech Tree Node Parameters'!$A$3:$B$218,2,FALSE))</f>
        <v/>
      </c>
      <c r="AM22" s="62" t="str">
        <f>IF(AM21="","",VLOOKUP(AM21,'Tech Tree Node Parameters'!$A$3:$B$218,2,FALSE))</f>
        <v/>
      </c>
      <c r="AN22" s="62" t="str">
        <f>IF(AN21="","",VLOOKUP(AN21,'Tech Tree Node Parameters'!$A$3:$B$218,2,FALSE))</f>
        <v/>
      </c>
      <c r="AO22" s="62" t="str">
        <f>IF(AO21="","",VLOOKUP(AO21,'Tech Tree Node Parameters'!$A$3:$B$218,2,FALSE))</f>
        <v/>
      </c>
      <c r="AP22" s="62" t="str">
        <f>IF(AP21="","",VLOOKUP(AP21,'Tech Tree Node Parameters'!$A$3:$B$218,2,FALSE))</f>
        <v/>
      </c>
      <c r="AQ22" s="62" t="str">
        <f>IF(AQ21="","",VLOOKUP(AQ21,'Tech Tree Node Parameters'!$A$3:$B$218,2,FALSE))</f>
        <v/>
      </c>
      <c r="AR22" s="62" t="str">
        <f>IF(AR21="","",VLOOKUP(AR21,'Tech Tree Node Parameters'!$A$3:$B$218,2,FALSE))</f>
        <v/>
      </c>
      <c r="AS22" s="62" t="str">
        <f>IF(AS21="","",VLOOKUP(AS21,'Tech Tree Node Parameters'!$A$3:$B$218,2,FALSE))</f>
        <v/>
      </c>
      <c r="AT22" s="62" t="str">
        <f>IF(AT21="","",VLOOKUP(AT21,'Tech Tree Node Parameters'!$A$3:$B$218,2,FALSE))</f>
        <v/>
      </c>
      <c r="AU22" s="62" t="str">
        <f>IF(AU21="","",VLOOKUP(AU21,'Tech Tree Node Parameters'!$A$3:$B$218,2,FALSE))</f>
        <v/>
      </c>
      <c r="AV22" s="62" t="str">
        <f>IF(AV21="","",VLOOKUP(AV21,'Tech Tree Node Parameters'!$A$3:$B$218,2,FALSE))</f>
        <v/>
      </c>
      <c r="AW22" s="62" t="str">
        <f>IF(AW21="","",VLOOKUP(AW21,'Tech Tree Node Parameters'!$A$3:$B$218,2,FALSE))</f>
        <v/>
      </c>
      <c r="AX22" s="62" t="str">
        <f>IF(AX21="","",VLOOKUP(AX21,'Tech Tree Node Parameters'!$A$3:$B$218,2,FALSE))</f>
        <v/>
      </c>
      <c r="AY22" s="62" t="str">
        <f>IF(AY21="","",VLOOKUP(AY21,'Tech Tree Node Parameters'!$A$3:$B$218,2,FALSE))</f>
        <v/>
      </c>
      <c r="AZ22" s="62" t="str">
        <f>IF(AZ21="","",VLOOKUP(AZ21,'Tech Tree Node Parameters'!$A$3:$B$218,2,FALSE))</f>
        <v/>
      </c>
      <c r="BA22" s="62" t="str">
        <f>IF(BA21="","",VLOOKUP(BA21,'Tech Tree Node Parameters'!$A$3:$B$218,2,FALSE))</f>
        <v/>
      </c>
      <c r="BB22" s="62" t="str">
        <f>IF(BB21="","",VLOOKUP(BB21,'Tech Tree Node Parameters'!$A$3:$B$218,2,FALSE))</f>
        <v/>
      </c>
      <c r="BC22" s="62" t="str">
        <f>IF(BC21="","",VLOOKUP(BC21,'Tech Tree Node Parameters'!$A$3:$B$218,2,FALSE))</f>
        <v/>
      </c>
      <c r="BD22" s="62" t="str">
        <f>IF(BD21="","",VLOOKUP(BD21,'Tech Tree Node Parameters'!$A$3:$B$218,2,FALSE))</f>
        <v/>
      </c>
      <c r="BE22" s="62" t="str">
        <f>IF(BE21="","",VLOOKUP(BE21,'Tech Tree Node Parameters'!$A$3:$B$218,2,FALSE))</f>
        <v/>
      </c>
      <c r="BF22" s="62" t="str">
        <f>IF(BF21="","",VLOOKUP(BF21,'Tech Tree Node Parameters'!$A$3:$B$218,2,FALSE))</f>
        <v/>
      </c>
      <c r="BG22" s="62" t="str">
        <f>IF(BG21="","",VLOOKUP(BG21,'Tech Tree Node Parameters'!$A$3:$B$218,2,FALSE))</f>
        <v/>
      </c>
      <c r="BH22" s="62" t="str">
        <f>IF(BH21="","",VLOOKUP(BH21,'Tech Tree Node Parameters'!$A$3:$B$218,2,FALSE))</f>
        <v/>
      </c>
      <c r="BI22" s="62" t="str">
        <f>IF(BI21="","",VLOOKUP(BI21,'Tech Tree Node Parameters'!$A$3:$B$218,2,FALSE))</f>
        <v/>
      </c>
      <c r="BJ22" s="62" t="str">
        <f>IF(BJ21="","",VLOOKUP(BJ21,'Tech Tree Node Parameters'!$A$3:$B$218,2,FALSE))</f>
        <v/>
      </c>
      <c r="BK22" s="62" t="str">
        <f>IF(BK21="","",VLOOKUP(BK21,'Tech Tree Node Parameters'!$A$3:$B$218,2,FALSE))</f>
        <v/>
      </c>
      <c r="BL22" s="62" t="str">
        <f>IF(BL21="","",VLOOKUP(BL21,'Tech Tree Node Parameters'!$A$3:$B$218,2,FALSE))</f>
        <v/>
      </c>
      <c r="BM22" s="62" t="str">
        <f>IF(BM21="","",VLOOKUP(BM21,'Tech Tree Node Parameters'!$A$3:$B$218,2,FALSE))</f>
        <v/>
      </c>
      <c r="BN22" s="62" t="str">
        <f>IF(BN21="","",VLOOKUP(BN21,'Tech Tree Node Parameters'!$A$3:$B$218,2,FALSE))</f>
        <v/>
      </c>
      <c r="BO22" s="62" t="str">
        <f>IF(BO21="","",VLOOKUP(BO21,'Tech Tree Node Parameters'!$A$3:$B$218,2,FALSE))</f>
        <v/>
      </c>
      <c r="BP22" s="62" t="str">
        <f>IF(BP21="","",VLOOKUP(BP21,'Tech Tree Node Parameters'!$A$3:$B$218,2,FALSE))</f>
        <v/>
      </c>
      <c r="BQ22" s="62" t="str">
        <f>IF(BQ21="","",VLOOKUP(BQ21,'Tech Tree Node Parameters'!$A$3:$B$218,2,FALSE))</f>
        <v/>
      </c>
      <c r="BR22" s="62" t="str">
        <f>IF(BR21="","",VLOOKUP(BR21,'Tech Tree Node Parameters'!$A$3:$B$218,2,FALSE))</f>
        <v/>
      </c>
      <c r="BS22" s="62" t="str">
        <f>IF(BS21="","",VLOOKUP(BS21,'Tech Tree Node Parameters'!$A$3:$B$218,2,FALSE))</f>
        <v/>
      </c>
      <c r="BT22" s="62" t="str">
        <f>IF(BT21="","",VLOOKUP(BT21,'Tech Tree Node Parameters'!$A$3:$B$218,2,FALSE))</f>
        <v/>
      </c>
      <c r="BU22" s="62" t="str">
        <f>IF(BU21="","",VLOOKUP(BU21,'Tech Tree Node Parameters'!$A$3:$B$218,2,FALSE))</f>
        <v/>
      </c>
      <c r="BV22" s="62" t="str">
        <f>IF(BV21="","",VLOOKUP(BV21,'Tech Tree Node Parameters'!$A$3:$B$218,2,FALSE))</f>
        <v/>
      </c>
      <c r="BW22" s="62" t="str">
        <f>IF(BW21="","",VLOOKUP(BW21,'Tech Tree Node Parameters'!$A$3:$B$218,2,FALSE))</f>
        <v/>
      </c>
      <c r="BX22" s="62" t="str">
        <f>IF(BX21="","",VLOOKUP(BX21,'Tech Tree Node Parameters'!$A$3:$B$218,2,FALSE))</f>
        <v/>
      </c>
      <c r="BY22" s="62" t="str">
        <f>IF(BY21="","",VLOOKUP(BY21,'Tech Tree Node Parameters'!$A$3:$B$218,2,FALSE))</f>
        <v/>
      </c>
      <c r="BZ22" s="62" t="str">
        <f>IF(BZ21="","",VLOOKUP(BZ21,'Tech Tree Node Parameters'!$A$3:$B$218,2,FALSE))</f>
        <v/>
      </c>
      <c r="CA22" s="62" t="str">
        <f>IF(CA21="","",VLOOKUP(CA21,'Tech Tree Node Parameters'!$A$3:$B$218,2,FALSE))</f>
        <v/>
      </c>
      <c r="CB22" s="62" t="str">
        <f>IF(CB21="","",VLOOKUP(CB21,'Tech Tree Node Parameters'!$A$3:$B$218,2,FALSE))</f>
        <v/>
      </c>
      <c r="CC22" s="62" t="str">
        <f>IF(CC21="","",VLOOKUP(CC21,'Tech Tree Node Parameters'!$A$3:$B$218,2,FALSE))</f>
        <v/>
      </c>
      <c r="CD22" s="62" t="str">
        <f>IF(CD21="","",VLOOKUP(CD21,'Tech Tree Node Parameters'!$A$3:$B$218,2,FALSE))</f>
        <v/>
      </c>
      <c r="CE22" s="62" t="str">
        <f>IF(CE21="","",VLOOKUP(CE21,'Tech Tree Node Parameters'!$A$3:$B$218,2,FALSE))</f>
        <v/>
      </c>
      <c r="CF22" s="62" t="str">
        <f>IF(CF21="","",VLOOKUP(CF21,'Tech Tree Node Parameters'!$A$3:$B$218,2,FALSE))</f>
        <v/>
      </c>
      <c r="CG22" s="62" t="str">
        <f>IF(CG21="","",VLOOKUP(CG21,'Tech Tree Node Parameters'!$A$3:$B$218,2,FALSE))</f>
        <v/>
      </c>
      <c r="CH22" s="62" t="str">
        <f>IF(CH21="","",VLOOKUP(CH21,'Tech Tree Node Parameters'!$A$3:$B$218,2,FALSE))</f>
        <v/>
      </c>
      <c r="CI22" s="62" t="str">
        <f>IF(CI21="","",VLOOKUP(CI21,'Tech Tree Node Parameters'!$A$3:$B$218,2,FALSE))</f>
        <v/>
      </c>
      <c r="CJ22" s="62" t="str">
        <f>IF(CJ21="","",VLOOKUP(CJ21,'Tech Tree Node Parameters'!$A$3:$B$218,2,FALSE))</f>
        <v/>
      </c>
      <c r="CK22" s="62" t="str">
        <f>IF(CK21="","",VLOOKUP(CK21,'Tech Tree Node Parameters'!$A$3:$B$218,2,FALSE))</f>
        <v/>
      </c>
      <c r="CL22" s="62" t="str">
        <f>IF(CL21="","",VLOOKUP(CL21,'Tech Tree Node Parameters'!$A$3:$B$218,2,FALSE))</f>
        <v/>
      </c>
      <c r="CM22" s="62" t="str">
        <f>IF(CM21="","",VLOOKUP(CM21,'Tech Tree Node Parameters'!$A$3:$B$218,2,FALSE))</f>
        <v/>
      </c>
      <c r="CN22" s="62" t="str">
        <f>IF(CN21="","",VLOOKUP(CN21,'Tech Tree Node Parameters'!$A$3:$B$218,2,FALSE))</f>
        <v/>
      </c>
      <c r="CO22" s="62" t="str">
        <f>IF(CO21="","",VLOOKUP(CO21,'Tech Tree Node Parameters'!$A$3:$B$218,2,FALSE))</f>
        <v/>
      </c>
      <c r="CP22" s="62" t="str">
        <f>IF(CP21="","",VLOOKUP(CP21,'Tech Tree Node Parameters'!$A$3:$B$218,2,FALSE))</f>
        <v/>
      </c>
      <c r="CQ22" s="62" t="str">
        <f>IF(CQ21="","",VLOOKUP(CQ21,'Tech Tree Node Parameters'!$A$3:$B$218,2,FALSE))</f>
        <v/>
      </c>
      <c r="CR22" s="62" t="str">
        <f>IF(CR21="","",VLOOKUP(CR21,'Tech Tree Node Parameters'!$A$3:$B$218,2,FALSE))</f>
        <v/>
      </c>
      <c r="CS22" s="62" t="str">
        <f>IF(CS21="","",VLOOKUP(CS21,'Tech Tree Node Parameters'!$A$3:$B$218,2,FALSE))</f>
        <v/>
      </c>
      <c r="CT22" s="62" t="str">
        <f>IF(CT21="","",VLOOKUP(CT21,'Tech Tree Node Parameters'!$A$3:$B$218,2,FALSE))</f>
        <v/>
      </c>
      <c r="CU22" s="62" t="str">
        <f>IF(CU21="","",VLOOKUP(CU21,'Tech Tree Node Parameters'!$A$3:$B$218,2,FALSE))</f>
        <v/>
      </c>
      <c r="CV22" s="62" t="str">
        <f>IF(CV21="","",VLOOKUP(CV21,'Tech Tree Node Parameters'!$A$3:$B$218,2,FALSE))</f>
        <v/>
      </c>
      <c r="CW22" s="62" t="str">
        <f>IF(CW21="","",VLOOKUP(CW21,'Tech Tree Node Parameters'!$A$3:$B$218,2,FALSE))</f>
        <v/>
      </c>
      <c r="CX22" s="62" t="str">
        <f>IF(CX21="","",VLOOKUP(CX21,'Tech Tree Node Parameters'!$A$3:$B$218,2,FALSE))</f>
        <v/>
      </c>
      <c r="CY22" s="36" t="str">
        <f>IF(CY21="","",VLOOKUP(CY21,'Tech Tree Node Parameters'!$A$3:$B$218,2,FALSE))</f>
        <v/>
      </c>
    </row>
    <row r="23" spans="1:103" s="47" customFormat="1" x14ac:dyDescent="0.25">
      <c r="A23" s="72">
        <f t="shared" si="9"/>
        <v>52</v>
      </c>
      <c r="B23" s="69">
        <f>B25+$D$6</f>
        <v>2013</v>
      </c>
      <c r="C23" s="39"/>
      <c r="D23" s="61"/>
      <c r="E23" s="61"/>
      <c r="F23" s="61"/>
      <c r="G23" s="61"/>
      <c r="H23" s="61"/>
      <c r="I23" s="61"/>
      <c r="J23" s="61"/>
      <c r="K23" s="61"/>
      <c r="L23" s="61"/>
      <c r="M23" s="61"/>
      <c r="N23" s="61"/>
      <c r="O23" s="61"/>
      <c r="P23" s="61"/>
      <c r="Q23" s="61"/>
      <c r="R23" s="61"/>
      <c r="S23" s="61"/>
      <c r="T23" s="61"/>
      <c r="U23" s="61"/>
      <c r="V23" s="61"/>
      <c r="W23" s="61"/>
      <c r="X23" s="61"/>
      <c r="Y23" s="61"/>
      <c r="Z23" s="61"/>
      <c r="AA23" s="61"/>
      <c r="AB23" s="61"/>
      <c r="AC23" s="61"/>
      <c r="AD23" s="61"/>
      <c r="AE23" s="61"/>
      <c r="AF23" s="61"/>
      <c r="AG23" s="61"/>
      <c r="AH23" s="61"/>
      <c r="AI23" s="61"/>
      <c r="AJ23" s="61"/>
      <c r="AK23" s="61" t="s">
        <v>196</v>
      </c>
      <c r="AL23" s="61"/>
      <c r="AM23" s="61" t="s">
        <v>209</v>
      </c>
      <c r="AN23" s="61"/>
      <c r="AO23" s="61"/>
      <c r="AP23" s="61"/>
      <c r="AQ23" s="61"/>
      <c r="AR23" s="61"/>
      <c r="AS23" s="61"/>
      <c r="AT23" s="61"/>
      <c r="AU23" s="61"/>
      <c r="AV23" s="61"/>
      <c r="AW23" s="61"/>
      <c r="AX23" s="61"/>
      <c r="AY23" s="61" t="s">
        <v>120</v>
      </c>
      <c r="AZ23" s="61"/>
      <c r="BA23" s="61" t="s">
        <v>71</v>
      </c>
      <c r="BB23" s="61"/>
      <c r="BC23" s="61" t="s">
        <v>510</v>
      </c>
      <c r="BD23" s="61"/>
      <c r="BE23" s="61" t="s">
        <v>73</v>
      </c>
      <c r="BF23" s="61"/>
      <c r="BG23" s="61" t="s">
        <v>55</v>
      </c>
      <c r="BH23" s="61"/>
      <c r="BI23" s="61"/>
      <c r="BJ23" s="61"/>
      <c r="BK23" s="61"/>
      <c r="BL23" s="61"/>
      <c r="BM23" s="61"/>
      <c r="BN23" s="61"/>
      <c r="BO23" s="61"/>
      <c r="BP23" s="61"/>
      <c r="BQ23" s="61"/>
      <c r="BR23" s="61"/>
      <c r="BS23" s="61"/>
      <c r="BT23" s="61"/>
      <c r="BU23" s="61"/>
      <c r="BV23" s="61"/>
      <c r="BW23" s="61"/>
      <c r="BX23" s="61"/>
      <c r="BY23" s="61"/>
      <c r="BZ23" s="61"/>
      <c r="CA23" s="61"/>
      <c r="CB23" s="61"/>
      <c r="CC23" s="61"/>
      <c r="CD23" s="61"/>
      <c r="CE23" s="61"/>
      <c r="CF23" s="61"/>
      <c r="CG23" s="61"/>
      <c r="CH23" s="61"/>
      <c r="CI23" s="61"/>
      <c r="CJ23" s="61"/>
      <c r="CK23" s="61"/>
      <c r="CL23" s="61"/>
      <c r="CM23" s="61"/>
      <c r="CN23" s="61"/>
      <c r="CO23" s="61"/>
      <c r="CP23" s="61"/>
      <c r="CQ23" s="61"/>
      <c r="CR23" s="61"/>
      <c r="CS23" s="61"/>
      <c r="CT23" s="61"/>
      <c r="CU23" s="61"/>
      <c r="CV23" s="61"/>
      <c r="CW23" s="61"/>
      <c r="CX23" s="61"/>
      <c r="CY23" s="35"/>
    </row>
    <row r="24" spans="1:103" s="47" customFormat="1" x14ac:dyDescent="0.25">
      <c r="A24" s="72"/>
      <c r="B24" s="70"/>
      <c r="C24" s="40"/>
      <c r="D24" s="62" t="str">
        <f>IF(D23="","",VLOOKUP(D23,'Tech Tree Node Parameters'!$A$3:$B$218,2,FALSE))</f>
        <v/>
      </c>
      <c r="E24" s="62" t="str">
        <f>IF(E23="","",VLOOKUP(E23,'Tech Tree Node Parameters'!$A$3:$B$218,2,FALSE))</f>
        <v/>
      </c>
      <c r="F24" s="62" t="str">
        <f>IF(F23="","",VLOOKUP(F23,'Tech Tree Node Parameters'!$A$3:$B$218,2,FALSE))</f>
        <v/>
      </c>
      <c r="G24" s="62" t="str">
        <f>IF(G23="","",VLOOKUP(G23,'Tech Tree Node Parameters'!$A$3:$B$218,2,FALSE))</f>
        <v/>
      </c>
      <c r="H24" s="62" t="str">
        <f>IF(H23="","",VLOOKUP(H23,'Tech Tree Node Parameters'!$A$3:$B$218,2,FALSE))</f>
        <v/>
      </c>
      <c r="I24" s="62" t="str">
        <f>IF(I23="","",VLOOKUP(I23,'Tech Tree Node Parameters'!$A$3:$B$218,2,FALSE))</f>
        <v/>
      </c>
      <c r="J24" s="62" t="str">
        <f>IF(J23="","",VLOOKUP(J23,'Tech Tree Node Parameters'!$A$3:$B$218,2,FALSE))</f>
        <v/>
      </c>
      <c r="K24" s="62" t="str">
        <f>IF(K23="","",VLOOKUP(K23,'Tech Tree Node Parameters'!$A$3:$B$218,2,FALSE))</f>
        <v/>
      </c>
      <c r="L24" s="62" t="str">
        <f>IF(L23="","",VLOOKUP(L23,'Tech Tree Node Parameters'!$A$3:$B$218,2,FALSE))</f>
        <v/>
      </c>
      <c r="M24" s="62" t="str">
        <f>IF(M23="","",VLOOKUP(M23,'Tech Tree Node Parameters'!$A$3:$B$218,2,FALSE))</f>
        <v/>
      </c>
      <c r="N24" s="62" t="str">
        <f>IF(N23="","",VLOOKUP(N23,'Tech Tree Node Parameters'!$A$3:$B$218,2,FALSE))</f>
        <v/>
      </c>
      <c r="O24" s="62" t="str">
        <f>IF(O23="","",VLOOKUP(O23,'Tech Tree Node Parameters'!$A$3:$B$218,2,FALSE))</f>
        <v/>
      </c>
      <c r="P24" s="62" t="str">
        <f>IF(P23="","",VLOOKUP(P23,'Tech Tree Node Parameters'!$A$3:$B$218,2,FALSE))</f>
        <v/>
      </c>
      <c r="Q24" s="62" t="str">
        <f>IF(Q23="","",VLOOKUP(Q23,'Tech Tree Node Parameters'!$A$3:$B$218,2,FALSE))</f>
        <v/>
      </c>
      <c r="R24" s="62" t="str">
        <f>IF(R23="","",VLOOKUP(R23,'Tech Tree Node Parameters'!$A$3:$B$218,2,FALSE))</f>
        <v/>
      </c>
      <c r="S24" s="62" t="str">
        <f>IF(S23="","",VLOOKUP(S23,'Tech Tree Node Parameters'!$A$3:$B$218,2,FALSE))</f>
        <v/>
      </c>
      <c r="T24" s="62" t="str">
        <f>IF(T23="","",VLOOKUP(T23,'Tech Tree Node Parameters'!$A$3:$B$218,2,FALSE))</f>
        <v/>
      </c>
      <c r="U24" s="62" t="str">
        <f>IF(U23="","",VLOOKUP(U23,'Tech Tree Node Parameters'!$A$3:$B$218,2,FALSE))</f>
        <v/>
      </c>
      <c r="V24" s="62" t="str">
        <f>IF(V23="","",VLOOKUP(V23,'Tech Tree Node Parameters'!$A$3:$B$218,2,FALSE))</f>
        <v/>
      </c>
      <c r="W24" s="62" t="str">
        <f>IF(W23="","",VLOOKUP(W23,'Tech Tree Node Parameters'!$A$3:$B$218,2,FALSE))</f>
        <v/>
      </c>
      <c r="X24" s="62" t="str">
        <f>IF(X23="","",VLOOKUP(X23,'Tech Tree Node Parameters'!$A$3:$B$218,2,FALSE))</f>
        <v/>
      </c>
      <c r="Y24" s="62" t="str">
        <f>IF(Y23="","",VLOOKUP(Y23,'Tech Tree Node Parameters'!$A$3:$B$218,2,FALSE))</f>
        <v/>
      </c>
      <c r="Z24" s="62" t="str">
        <f>IF(Z23="","",VLOOKUP(Z23,'Tech Tree Node Parameters'!$A$3:$B$218,2,FALSE))</f>
        <v/>
      </c>
      <c r="AA24" s="62" t="str">
        <f>IF(AA23="","",VLOOKUP(AA23,'Tech Tree Node Parameters'!$A$3:$B$218,2,FALSE))</f>
        <v/>
      </c>
      <c r="AB24" s="62" t="str">
        <f>IF(AB23="","",VLOOKUP(AB23,'Tech Tree Node Parameters'!$A$3:$B$218,2,FALSE))</f>
        <v/>
      </c>
      <c r="AC24" s="62" t="str">
        <f>IF(AC23="","",VLOOKUP(AC23,'Tech Tree Node Parameters'!$A$3:$B$218,2,FALSE))</f>
        <v/>
      </c>
      <c r="AD24" s="62" t="str">
        <f>IF(AD23="","",VLOOKUP(AD23,'Tech Tree Node Parameters'!$A$3:$B$218,2,FALSE))</f>
        <v/>
      </c>
      <c r="AE24" s="62" t="str">
        <f>IF(AE23="","",VLOOKUP(AE23,'Tech Tree Node Parameters'!$A$3:$B$218,2,FALSE))</f>
        <v/>
      </c>
      <c r="AF24" s="62" t="str">
        <f>IF(AF23="","",VLOOKUP(AF23,'Tech Tree Node Parameters'!$A$3:$B$218,2,FALSE))</f>
        <v/>
      </c>
      <c r="AG24" s="62" t="str">
        <f>IF(AG23="","",VLOOKUP(AG23,'Tech Tree Node Parameters'!$A$3:$B$218,2,FALSE))</f>
        <v/>
      </c>
      <c r="AH24" s="62" t="str">
        <f>IF(AH23="","",VLOOKUP(AH23,'Tech Tree Node Parameters'!$A$3:$B$218,2,FALSE))</f>
        <v/>
      </c>
      <c r="AI24" s="62" t="str">
        <f>IF(AI23="","",VLOOKUP(AI23,'Tech Tree Node Parameters'!$A$3:$B$218,2,FALSE))</f>
        <v/>
      </c>
      <c r="AJ24" s="62" t="str">
        <f>IF(AJ23="","",VLOOKUP(AJ23,'Tech Tree Node Parameters'!$A$3:$B$218,2,FALSE))</f>
        <v/>
      </c>
      <c r="AK24" s="62" t="str">
        <f>IF(AK23="","",VLOOKUP(AK23,'Tech Tree Node Parameters'!$A$3:$B$218,2,FALSE))</f>
        <v>Advanced Fusion Reactors</v>
      </c>
      <c r="AL24" s="62" t="str">
        <f>IF(AL23="","",VLOOKUP(AL23,'Tech Tree Node Parameters'!$A$3:$B$218,2,FALSE))</f>
        <v/>
      </c>
      <c r="AM24" s="62" t="str">
        <f>IF(AM23="","",VLOOKUP(AM23,'Tech Tree Node Parameters'!$A$3:$B$218,2,FALSE))</f>
        <v>Experimental Nuclear Propulsion</v>
      </c>
      <c r="AN24" s="62" t="str">
        <f>IF(AN23="","",VLOOKUP(AN23,'Tech Tree Node Parameters'!$A$3:$B$218,2,FALSE))</f>
        <v/>
      </c>
      <c r="AO24" s="62" t="str">
        <f>IF(AO23="","",VLOOKUP(AO23,'Tech Tree Node Parameters'!$A$3:$B$218,2,FALSE))</f>
        <v/>
      </c>
      <c r="AP24" s="62" t="str">
        <f>IF(AP23="","",VLOOKUP(AP23,'Tech Tree Node Parameters'!$A$3:$B$218,2,FALSE))</f>
        <v/>
      </c>
      <c r="AQ24" s="62" t="str">
        <f>IF(AQ23="","",VLOOKUP(AQ23,'Tech Tree Node Parameters'!$A$3:$B$218,2,FALSE))</f>
        <v/>
      </c>
      <c r="AR24" s="62" t="str">
        <f>IF(AR23="","",VLOOKUP(AR23,'Tech Tree Node Parameters'!$A$3:$B$218,2,FALSE))</f>
        <v/>
      </c>
      <c r="AS24" s="62" t="str">
        <f>IF(AS23="","",VLOOKUP(AS23,'Tech Tree Node Parameters'!$A$3:$B$218,2,FALSE))</f>
        <v/>
      </c>
      <c r="AT24" s="62" t="str">
        <f>IF(AT23="","",VLOOKUP(AT23,'Tech Tree Node Parameters'!$A$3:$B$218,2,FALSE))</f>
        <v/>
      </c>
      <c r="AU24" s="62" t="str">
        <f>IF(AU23="","",VLOOKUP(AU23,'Tech Tree Node Parameters'!$A$3:$B$218,2,FALSE))</f>
        <v/>
      </c>
      <c r="AV24" s="62" t="str">
        <f>IF(AV23="","",VLOOKUP(AV23,'Tech Tree Node Parameters'!$A$3:$B$218,2,FALSE))</f>
        <v/>
      </c>
      <c r="AW24" s="62" t="str">
        <f>IF(AW23="","",VLOOKUP(AW23,'Tech Tree Node Parameters'!$A$3:$B$218,2,FALSE))</f>
        <v/>
      </c>
      <c r="AX24" s="62" t="str">
        <f>IF(AX23="","",VLOOKUP(AX23,'Tech Tree Node Parameters'!$A$3:$B$218,2,FALSE))</f>
        <v/>
      </c>
      <c r="AY24" s="62" t="str">
        <f>IF(AY23="","",VLOOKUP(AY23,'Tech Tree Node Parameters'!$A$3:$B$218,2,FALSE))</f>
        <v>Advanced Flight Control</v>
      </c>
      <c r="AZ24" s="62" t="str">
        <f>IF(AZ23="","",VLOOKUP(AZ23,'Tech Tree Node Parameters'!$A$3:$B$218,2,FALSE))</f>
        <v/>
      </c>
      <c r="BA24" s="62" t="str">
        <f>IF(BA23="","",VLOOKUP(BA23,'Tech Tree Node Parameters'!$A$3:$B$218,2,FALSE))</f>
        <v>Hypersonic Aerodynamics</v>
      </c>
      <c r="BB24" s="62" t="str">
        <f>IF(BB23="","",VLOOKUP(BB23,'Tech Tree Node Parameters'!$A$3:$B$218,2,FALSE))</f>
        <v/>
      </c>
      <c r="BC24" s="62" t="str">
        <f>IF(BC23="","",VLOOKUP(BC23,'Tech Tree Node Parameters'!$A$3:$B$218,2,FALSE))</f>
        <v>Large Fairings</v>
      </c>
      <c r="BD24" s="62" t="str">
        <f>IF(BD23="","",VLOOKUP(BD23,'Tech Tree Node Parameters'!$A$3:$B$218,2,FALSE))</f>
        <v/>
      </c>
      <c r="BE24" s="62" t="str">
        <f>IF(BE23="","",VLOOKUP(BE23,'Tech Tree Node Parameters'!$A$3:$B$218,2,FALSE))</f>
        <v>Heavy Landing Gear</v>
      </c>
      <c r="BF24" s="62" t="str">
        <f>IF(BF23="","",VLOOKUP(BF23,'Tech Tree Node Parameters'!$A$3:$B$218,2,FALSE))</f>
        <v/>
      </c>
      <c r="BG24" s="62" t="str">
        <f>IF(BG23="","",VLOOKUP(BG23,'Tech Tree Node Parameters'!$A$3:$B$218,2,FALSE))</f>
        <v>Heavy Aircraft</v>
      </c>
      <c r="BH24" s="62" t="str">
        <f>IF(BH23="","",VLOOKUP(BH23,'Tech Tree Node Parameters'!$A$3:$B$218,2,FALSE))</f>
        <v/>
      </c>
      <c r="BI24" s="62"/>
      <c r="BJ24" s="62"/>
      <c r="BK24" s="62"/>
      <c r="BL24" s="62"/>
      <c r="BM24" s="62"/>
      <c r="BN24" s="62"/>
      <c r="BO24" s="62"/>
      <c r="BP24" s="62" t="str">
        <f>IF(BP23="","",VLOOKUP(BP23,'Tech Tree Node Parameters'!$A$3:$B$218,2,FALSE))</f>
        <v/>
      </c>
      <c r="BQ24" s="62" t="str">
        <f>IF(BQ23="","",VLOOKUP(BQ23,'Tech Tree Node Parameters'!$A$3:$B$218,2,FALSE))</f>
        <v/>
      </c>
      <c r="BR24" s="62" t="str">
        <f>IF(BR23="","",VLOOKUP(BR23,'Tech Tree Node Parameters'!$A$3:$B$218,2,FALSE))</f>
        <v/>
      </c>
      <c r="BS24" s="62" t="str">
        <f>IF(BS23="","",VLOOKUP(BS23,'Tech Tree Node Parameters'!$A$3:$B$218,2,FALSE))</f>
        <v/>
      </c>
      <c r="BT24" s="62" t="str">
        <f>IF(BT23="","",VLOOKUP(BT23,'Tech Tree Node Parameters'!$A$3:$B$218,2,FALSE))</f>
        <v/>
      </c>
      <c r="BU24" s="62" t="str">
        <f>IF(BU23="","",VLOOKUP(BU23,'Tech Tree Node Parameters'!$A$3:$B$218,2,FALSE))</f>
        <v/>
      </c>
      <c r="BV24" s="62" t="str">
        <f>IF(BV23="","",VLOOKUP(BV23,'Tech Tree Node Parameters'!$A$3:$B$218,2,FALSE))</f>
        <v/>
      </c>
      <c r="BW24" s="62" t="str">
        <f>IF(BW23="","",VLOOKUP(BW23,'Tech Tree Node Parameters'!$A$3:$B$218,2,FALSE))</f>
        <v/>
      </c>
      <c r="BX24" s="62" t="str">
        <f>IF(BX23="","",VLOOKUP(BX23,'Tech Tree Node Parameters'!$A$3:$B$218,2,FALSE))</f>
        <v/>
      </c>
      <c r="BY24" s="62" t="str">
        <f>IF(BY23="","",VLOOKUP(BY23,'Tech Tree Node Parameters'!$A$3:$B$218,2,FALSE))</f>
        <v/>
      </c>
      <c r="BZ24" s="62" t="str">
        <f>IF(BZ23="","",VLOOKUP(BZ23,'Tech Tree Node Parameters'!$A$3:$B$218,2,FALSE))</f>
        <v/>
      </c>
      <c r="CA24" s="62" t="str">
        <f>IF(CA23="","",VLOOKUP(CA23,'Tech Tree Node Parameters'!$A$3:$B$218,2,FALSE))</f>
        <v/>
      </c>
      <c r="CB24" s="62" t="str">
        <f>IF(CB23="","",VLOOKUP(CB23,'Tech Tree Node Parameters'!$A$3:$B$218,2,FALSE))</f>
        <v/>
      </c>
      <c r="CC24" s="62" t="str">
        <f>IF(CC23="","",VLOOKUP(CC23,'Tech Tree Node Parameters'!$A$3:$B$218,2,FALSE))</f>
        <v/>
      </c>
      <c r="CD24" s="62" t="str">
        <f>IF(CD23="","",VLOOKUP(CD23,'Tech Tree Node Parameters'!$A$3:$B$218,2,FALSE))</f>
        <v/>
      </c>
      <c r="CE24" s="62" t="str">
        <f>IF(CE23="","",VLOOKUP(CE23,'Tech Tree Node Parameters'!$A$3:$B$218,2,FALSE))</f>
        <v/>
      </c>
      <c r="CF24" s="62" t="str">
        <f>IF(CF23="","",VLOOKUP(CF23,'Tech Tree Node Parameters'!$A$3:$B$218,2,FALSE))</f>
        <v/>
      </c>
      <c r="CG24" s="62" t="str">
        <f>IF(CG23="","",VLOOKUP(CG23,'Tech Tree Node Parameters'!$A$3:$B$218,2,FALSE))</f>
        <v/>
      </c>
      <c r="CH24" s="62" t="str">
        <f>IF(CH23="","",VLOOKUP(CH23,'Tech Tree Node Parameters'!$A$3:$B$218,2,FALSE))</f>
        <v/>
      </c>
      <c r="CI24" s="62" t="str">
        <f>IF(CI23="","",VLOOKUP(CI23,'Tech Tree Node Parameters'!$A$3:$B$218,2,FALSE))</f>
        <v/>
      </c>
      <c r="CJ24" s="62" t="str">
        <f>IF(CJ23="","",VLOOKUP(CJ23,'Tech Tree Node Parameters'!$A$3:$B$218,2,FALSE))</f>
        <v/>
      </c>
      <c r="CK24" s="62" t="str">
        <f>IF(CK23="","",VLOOKUP(CK23,'Tech Tree Node Parameters'!$A$3:$B$218,2,FALSE))</f>
        <v/>
      </c>
      <c r="CL24" s="62" t="str">
        <f>IF(CL23="","",VLOOKUP(CL23,'Tech Tree Node Parameters'!$A$3:$B$218,2,FALSE))</f>
        <v/>
      </c>
      <c r="CM24" s="62" t="str">
        <f>IF(CM23="","",VLOOKUP(CM23,'Tech Tree Node Parameters'!$A$3:$B$218,2,FALSE))</f>
        <v/>
      </c>
      <c r="CN24" s="62" t="str">
        <f>IF(CN23="","",VLOOKUP(CN23,'Tech Tree Node Parameters'!$A$3:$B$218,2,FALSE))</f>
        <v/>
      </c>
      <c r="CO24" s="62" t="str">
        <f>IF(CO23="","",VLOOKUP(CO23,'Tech Tree Node Parameters'!$A$3:$B$218,2,FALSE))</f>
        <v/>
      </c>
      <c r="CP24" s="62" t="str">
        <f>IF(CP23="","",VLOOKUP(CP23,'Tech Tree Node Parameters'!$A$3:$B$218,2,FALSE))</f>
        <v/>
      </c>
      <c r="CQ24" s="62" t="str">
        <f>IF(CQ23="","",VLOOKUP(CQ23,'Tech Tree Node Parameters'!$A$3:$B$218,2,FALSE))</f>
        <v/>
      </c>
      <c r="CR24" s="62" t="str">
        <f>IF(CR23="","",VLOOKUP(CR23,'Tech Tree Node Parameters'!$A$3:$B$218,2,FALSE))</f>
        <v/>
      </c>
      <c r="CS24" s="62" t="str">
        <f>IF(CS23="","",VLOOKUP(CS23,'Tech Tree Node Parameters'!$A$3:$B$218,2,FALSE))</f>
        <v/>
      </c>
      <c r="CT24" s="62" t="str">
        <f>IF(CT23="","",VLOOKUP(CT23,'Tech Tree Node Parameters'!$A$3:$B$218,2,FALSE))</f>
        <v/>
      </c>
      <c r="CU24" s="62" t="str">
        <f>IF(CU23="","",VLOOKUP(CU23,'Tech Tree Node Parameters'!$A$3:$B$218,2,FALSE))</f>
        <v/>
      </c>
      <c r="CV24" s="62" t="str">
        <f>IF(CV23="","",VLOOKUP(CV23,'Tech Tree Node Parameters'!$A$3:$B$218,2,FALSE))</f>
        <v/>
      </c>
      <c r="CW24" s="62" t="str">
        <f>IF(CW23="","",VLOOKUP(CW23,'Tech Tree Node Parameters'!$A$3:$B$218,2,FALSE))</f>
        <v/>
      </c>
      <c r="CX24" s="62" t="str">
        <f>IF(CX23="","",VLOOKUP(CX23,'Tech Tree Node Parameters'!$A$3:$B$218,2,FALSE))</f>
        <v/>
      </c>
      <c r="CY24" s="36" t="str">
        <f>IF(CY23="","",VLOOKUP(CY23,'Tech Tree Node Parameters'!$A$3:$B$218,2,FALSE))</f>
        <v/>
      </c>
    </row>
    <row r="25" spans="1:103" s="47" customFormat="1" x14ac:dyDescent="0.25">
      <c r="A25" s="72">
        <f t="shared" si="9"/>
        <v>51</v>
      </c>
      <c r="B25" s="69">
        <f>B27+$D$6</f>
        <v>1975</v>
      </c>
      <c r="C25" s="39"/>
      <c r="D25" s="61"/>
      <c r="E25" s="61"/>
      <c r="F25" s="61"/>
      <c r="G25" s="61"/>
      <c r="H25" s="61"/>
      <c r="I25" s="61"/>
      <c r="J25" s="61"/>
      <c r="K25" s="61"/>
      <c r="L25" s="61"/>
      <c r="M25" s="61"/>
      <c r="N25" s="61"/>
      <c r="O25" s="61"/>
      <c r="P25" s="61"/>
      <c r="Q25" s="61"/>
      <c r="R25" s="61"/>
      <c r="S25" s="61"/>
      <c r="T25" s="61"/>
      <c r="U25" s="61"/>
      <c r="V25" s="61"/>
      <c r="W25" s="61"/>
      <c r="X25" s="61"/>
      <c r="Y25" s="61"/>
      <c r="Z25" s="61"/>
      <c r="AA25" s="61"/>
      <c r="AB25" s="61"/>
      <c r="AC25" s="61"/>
      <c r="AD25" s="61"/>
      <c r="AE25" s="61"/>
      <c r="AF25" s="61"/>
      <c r="AG25" s="61"/>
      <c r="AH25" s="61"/>
      <c r="AI25" s="61"/>
      <c r="AJ25" s="61"/>
      <c r="AK25" s="61"/>
      <c r="AL25" s="61"/>
      <c r="AM25" s="61"/>
      <c r="AN25" s="61"/>
      <c r="AO25" s="61"/>
      <c r="AP25" s="61"/>
      <c r="AQ25" s="61"/>
      <c r="AR25" s="61"/>
      <c r="AS25" s="61"/>
      <c r="AT25" s="61"/>
      <c r="AU25" s="61"/>
      <c r="AV25" s="61"/>
      <c r="AW25" s="61"/>
      <c r="AX25" s="61"/>
      <c r="AY25" s="61"/>
      <c r="AZ25" s="61"/>
      <c r="BA25" s="61"/>
      <c r="BB25" s="61"/>
      <c r="BC25" s="61"/>
      <c r="BD25" s="61"/>
      <c r="BE25" s="61"/>
      <c r="BF25" s="61"/>
      <c r="BG25" s="61"/>
      <c r="BH25" s="61"/>
      <c r="BI25" s="61"/>
      <c r="BJ25" s="61"/>
      <c r="BK25" s="61"/>
      <c r="BL25" s="61"/>
      <c r="BM25" s="61"/>
      <c r="BN25" s="61"/>
      <c r="BO25" s="61"/>
      <c r="BP25" s="61"/>
      <c r="BQ25" s="61"/>
      <c r="BR25" s="61"/>
      <c r="BS25" s="61"/>
      <c r="BT25" s="61"/>
      <c r="BU25" s="61"/>
      <c r="BV25" s="61"/>
      <c r="BW25" s="61"/>
      <c r="BX25" s="61"/>
      <c r="BY25" s="61"/>
      <c r="BZ25" s="61"/>
      <c r="CA25" s="61"/>
      <c r="CB25" s="61"/>
      <c r="CC25" s="61"/>
      <c r="CD25" s="61"/>
      <c r="CE25" s="61"/>
      <c r="CF25" s="61"/>
      <c r="CG25" s="61"/>
      <c r="CH25" s="61"/>
      <c r="CI25" s="61"/>
      <c r="CJ25" s="61"/>
      <c r="CK25" s="61"/>
      <c r="CL25" s="61"/>
      <c r="CM25" s="61"/>
      <c r="CN25" s="61"/>
      <c r="CO25" s="61"/>
      <c r="CP25" s="61"/>
      <c r="CQ25" s="61"/>
      <c r="CR25" s="61"/>
      <c r="CS25" s="61"/>
      <c r="CT25" s="61"/>
      <c r="CU25" s="61"/>
      <c r="CV25" s="61"/>
      <c r="CW25" s="61"/>
      <c r="CX25" s="61"/>
      <c r="CY25" s="35"/>
    </row>
    <row r="26" spans="1:103" s="47" customFormat="1" x14ac:dyDescent="0.25">
      <c r="A26" s="72"/>
      <c r="B26" s="70"/>
      <c r="C26" s="40"/>
      <c r="D26" s="62" t="str">
        <f>IF(D25="","",VLOOKUP(D25,'Tech Tree Node Parameters'!$A$3:$B$218,2,FALSE))</f>
        <v/>
      </c>
      <c r="E26" s="62" t="str">
        <f>IF(E25="","",VLOOKUP(E25,'Tech Tree Node Parameters'!$A$3:$B$218,2,FALSE))</f>
        <v/>
      </c>
      <c r="F26" s="62" t="str">
        <f>IF(F25="","",VLOOKUP(F25,'Tech Tree Node Parameters'!$A$3:$B$218,2,FALSE))</f>
        <v/>
      </c>
      <c r="G26" s="62" t="str">
        <f>IF(G25="","",VLOOKUP(G25,'Tech Tree Node Parameters'!$A$3:$B$218,2,FALSE))</f>
        <v/>
      </c>
      <c r="H26" s="62" t="str">
        <f>IF(H25="","",VLOOKUP(H25,'Tech Tree Node Parameters'!$A$3:$B$218,2,FALSE))</f>
        <v/>
      </c>
      <c r="I26" s="62" t="str">
        <f>IF(I25="","",VLOOKUP(I25,'Tech Tree Node Parameters'!$A$3:$B$218,2,FALSE))</f>
        <v/>
      </c>
      <c r="J26" s="62" t="str">
        <f>IF(J25="","",VLOOKUP(J25,'Tech Tree Node Parameters'!$A$3:$B$218,2,FALSE))</f>
        <v/>
      </c>
      <c r="K26" s="62" t="str">
        <f>IF(K25="","",VLOOKUP(K25,'Tech Tree Node Parameters'!$A$3:$B$218,2,FALSE))</f>
        <v/>
      </c>
      <c r="L26" s="62" t="str">
        <f>IF(L25="","",VLOOKUP(L25,'Tech Tree Node Parameters'!$A$3:$B$218,2,FALSE))</f>
        <v/>
      </c>
      <c r="M26" s="62" t="str">
        <f>IF(M25="","",VLOOKUP(M25,'Tech Tree Node Parameters'!$A$3:$B$218,2,FALSE))</f>
        <v/>
      </c>
      <c r="N26" s="62" t="str">
        <f>IF(N25="","",VLOOKUP(N25,'Tech Tree Node Parameters'!$A$3:$B$218,2,FALSE))</f>
        <v/>
      </c>
      <c r="O26" s="62" t="str">
        <f>IF(O25="","",VLOOKUP(O25,'Tech Tree Node Parameters'!$A$3:$B$218,2,FALSE))</f>
        <v/>
      </c>
      <c r="P26" s="62" t="str">
        <f>IF(P25="","",VLOOKUP(P25,'Tech Tree Node Parameters'!$A$3:$B$218,2,FALSE))</f>
        <v/>
      </c>
      <c r="Q26" s="62" t="str">
        <f>IF(Q25="","",VLOOKUP(Q25,'Tech Tree Node Parameters'!$A$3:$B$218,2,FALSE))</f>
        <v/>
      </c>
      <c r="R26" s="62" t="str">
        <f>IF(R25="","",VLOOKUP(R25,'Tech Tree Node Parameters'!$A$3:$B$218,2,FALSE))</f>
        <v/>
      </c>
      <c r="S26" s="62" t="str">
        <f>IF(S25="","",VLOOKUP(S25,'Tech Tree Node Parameters'!$A$3:$B$218,2,FALSE))</f>
        <v/>
      </c>
      <c r="T26" s="62" t="str">
        <f>IF(T25="","",VLOOKUP(T25,'Tech Tree Node Parameters'!$A$3:$B$218,2,FALSE))</f>
        <v/>
      </c>
      <c r="U26" s="62" t="str">
        <f>IF(U25="","",VLOOKUP(U25,'Tech Tree Node Parameters'!$A$3:$B$218,2,FALSE))</f>
        <v/>
      </c>
      <c r="V26" s="62" t="str">
        <f>IF(V25="","",VLOOKUP(V25,'Tech Tree Node Parameters'!$A$3:$B$218,2,FALSE))</f>
        <v/>
      </c>
      <c r="W26" s="62" t="str">
        <f>IF(W25="","",VLOOKUP(W25,'Tech Tree Node Parameters'!$A$3:$B$218,2,FALSE))</f>
        <v/>
      </c>
      <c r="X26" s="62" t="str">
        <f>IF(X25="","",VLOOKUP(X25,'Tech Tree Node Parameters'!$A$3:$B$218,2,FALSE))</f>
        <v/>
      </c>
      <c r="Y26" s="62" t="str">
        <f>IF(Y25="","",VLOOKUP(Y25,'Tech Tree Node Parameters'!$A$3:$B$218,2,FALSE))</f>
        <v/>
      </c>
      <c r="Z26" s="62" t="str">
        <f>IF(Z25="","",VLOOKUP(Z25,'Tech Tree Node Parameters'!$A$3:$B$218,2,FALSE))</f>
        <v/>
      </c>
      <c r="AA26" s="62" t="str">
        <f>IF(AA25="","",VLOOKUP(AA25,'Tech Tree Node Parameters'!$A$3:$B$218,2,FALSE))</f>
        <v/>
      </c>
      <c r="AB26" s="62" t="str">
        <f>IF(AB25="","",VLOOKUP(AB25,'Tech Tree Node Parameters'!$A$3:$B$218,2,FALSE))</f>
        <v/>
      </c>
      <c r="AC26" s="62" t="str">
        <f>IF(AC25="","",VLOOKUP(AC25,'Tech Tree Node Parameters'!$A$3:$B$218,2,FALSE))</f>
        <v/>
      </c>
      <c r="AD26" s="62" t="str">
        <f>IF(AD25="","",VLOOKUP(AD25,'Tech Tree Node Parameters'!$A$3:$B$218,2,FALSE))</f>
        <v/>
      </c>
      <c r="AE26" s="62" t="str">
        <f>IF(AE25="","",VLOOKUP(AE25,'Tech Tree Node Parameters'!$A$3:$B$218,2,FALSE))</f>
        <v/>
      </c>
      <c r="AF26" s="62" t="str">
        <f>IF(AF25="","",VLOOKUP(AF25,'Tech Tree Node Parameters'!$A$3:$B$218,2,FALSE))</f>
        <v/>
      </c>
      <c r="AG26" s="62" t="str">
        <f>IF(AG25="","",VLOOKUP(AG25,'Tech Tree Node Parameters'!$A$3:$B$218,2,FALSE))</f>
        <v/>
      </c>
      <c r="AH26" s="62" t="str">
        <f>IF(AH25="","",VLOOKUP(AH25,'Tech Tree Node Parameters'!$A$3:$B$218,2,FALSE))</f>
        <v/>
      </c>
      <c r="AI26" s="62" t="str">
        <f>IF(AI25="","",VLOOKUP(AI25,'Tech Tree Node Parameters'!$A$3:$B$218,2,FALSE))</f>
        <v/>
      </c>
      <c r="AJ26" s="62" t="str">
        <f>IF(AJ25="","",VLOOKUP(AJ25,'Tech Tree Node Parameters'!$A$3:$B$218,2,FALSE))</f>
        <v/>
      </c>
      <c r="AK26" s="62" t="str">
        <f>IF(AK25="","",VLOOKUP(AK25,'Tech Tree Node Parameters'!$A$3:$B$218,2,FALSE))</f>
        <v/>
      </c>
      <c r="AL26" s="62" t="str">
        <f>IF(AL25="","",VLOOKUP(AL25,'Tech Tree Node Parameters'!$A$3:$B$218,2,FALSE))</f>
        <v/>
      </c>
      <c r="AM26" s="62" t="str">
        <f>IF(AM25="","",VLOOKUP(AM25,'Tech Tree Node Parameters'!$A$3:$B$218,2,FALSE))</f>
        <v/>
      </c>
      <c r="AN26" s="62" t="str">
        <f>IF(AN25="","",VLOOKUP(AN25,'Tech Tree Node Parameters'!$A$3:$B$218,2,FALSE))</f>
        <v/>
      </c>
      <c r="AO26" s="62" t="str">
        <f>IF(AO25="","",VLOOKUP(AO25,'Tech Tree Node Parameters'!$A$3:$B$218,2,FALSE))</f>
        <v/>
      </c>
      <c r="AP26" s="62" t="str">
        <f>IF(AP25="","",VLOOKUP(AP25,'Tech Tree Node Parameters'!$A$3:$B$218,2,FALSE))</f>
        <v/>
      </c>
      <c r="AQ26" s="62" t="str">
        <f>IF(AQ25="","",VLOOKUP(AQ25,'Tech Tree Node Parameters'!$A$3:$B$218,2,FALSE))</f>
        <v/>
      </c>
      <c r="AR26" s="62" t="str">
        <f>IF(AR25="","",VLOOKUP(AR25,'Tech Tree Node Parameters'!$A$3:$B$218,2,FALSE))</f>
        <v/>
      </c>
      <c r="AS26" s="62" t="str">
        <f>IF(AS25="","",VLOOKUP(AS25,'Tech Tree Node Parameters'!$A$3:$B$218,2,FALSE))</f>
        <v/>
      </c>
      <c r="AT26" s="62" t="str">
        <f>IF(AT25="","",VLOOKUP(AT25,'Tech Tree Node Parameters'!$A$3:$B$218,2,FALSE))</f>
        <v/>
      </c>
      <c r="AU26" s="62" t="str">
        <f>IF(AU25="","",VLOOKUP(AU25,'Tech Tree Node Parameters'!$A$3:$B$218,2,FALSE))</f>
        <v/>
      </c>
      <c r="AV26" s="62" t="str">
        <f>IF(AV25="","",VLOOKUP(AV25,'Tech Tree Node Parameters'!$A$3:$B$218,2,FALSE))</f>
        <v/>
      </c>
      <c r="AW26" s="62" t="str">
        <f>IF(AW25="","",VLOOKUP(AW25,'Tech Tree Node Parameters'!$A$3:$B$218,2,FALSE))</f>
        <v/>
      </c>
      <c r="AX26" s="62" t="str">
        <f>IF(AX25="","",VLOOKUP(AX25,'Tech Tree Node Parameters'!$A$3:$B$218,2,FALSE))</f>
        <v/>
      </c>
      <c r="AY26" s="62" t="str">
        <f>IF(AY25="","",VLOOKUP(AY25,'Tech Tree Node Parameters'!$A$3:$B$218,2,FALSE))</f>
        <v/>
      </c>
      <c r="AZ26" s="62" t="str">
        <f>IF(AZ25="","",VLOOKUP(AZ25,'Tech Tree Node Parameters'!$A$3:$B$218,2,FALSE))</f>
        <v/>
      </c>
      <c r="BA26" s="62" t="str">
        <f>IF(BA25="","",VLOOKUP(BA25,'Tech Tree Node Parameters'!$A$3:$B$218,2,FALSE))</f>
        <v/>
      </c>
      <c r="BB26" s="62" t="str">
        <f>IF(BB25="","",VLOOKUP(BB25,'Tech Tree Node Parameters'!$A$3:$B$218,2,FALSE))</f>
        <v/>
      </c>
      <c r="BC26" s="62" t="str">
        <f>IF(BC25="","",VLOOKUP(BC25,'Tech Tree Node Parameters'!$A$3:$B$218,2,FALSE))</f>
        <v/>
      </c>
      <c r="BD26" s="62" t="str">
        <f>IF(BD25="","",VLOOKUP(BD25,'Tech Tree Node Parameters'!$A$3:$B$218,2,FALSE))</f>
        <v/>
      </c>
      <c r="BE26" s="62" t="str">
        <f>IF(BE25="","",VLOOKUP(BE25,'Tech Tree Node Parameters'!$A$3:$B$218,2,FALSE))</f>
        <v/>
      </c>
      <c r="BF26" s="62" t="str">
        <f>IF(BF25="","",VLOOKUP(BF25,'Tech Tree Node Parameters'!$A$3:$B$218,2,FALSE))</f>
        <v/>
      </c>
      <c r="BG26" s="62" t="str">
        <f>IF(BG25="","",VLOOKUP(BG25,'Tech Tree Node Parameters'!$A$3:$B$218,2,FALSE))</f>
        <v/>
      </c>
      <c r="BH26" s="62" t="str">
        <f>IF(BH25="","",VLOOKUP(BH25,'Tech Tree Node Parameters'!$A$3:$B$218,2,FALSE))</f>
        <v/>
      </c>
      <c r="BI26" s="62"/>
      <c r="BJ26" s="62"/>
      <c r="BK26" s="62"/>
      <c r="BL26" s="62"/>
      <c r="BM26" s="62"/>
      <c r="BN26" s="62"/>
      <c r="BO26" s="62"/>
      <c r="BP26" s="62" t="str">
        <f>IF(BP25="","",VLOOKUP(BP25,'Tech Tree Node Parameters'!$A$3:$B$218,2,FALSE))</f>
        <v/>
      </c>
      <c r="BQ26" s="62" t="str">
        <f>IF(BQ25="","",VLOOKUP(BQ25,'Tech Tree Node Parameters'!$A$3:$B$218,2,FALSE))</f>
        <v/>
      </c>
      <c r="BR26" s="62" t="str">
        <f>IF(BR25="","",VLOOKUP(BR25,'Tech Tree Node Parameters'!$A$3:$B$218,2,FALSE))</f>
        <v/>
      </c>
      <c r="BS26" s="62" t="str">
        <f>IF(BS25="","",VLOOKUP(BS25,'Tech Tree Node Parameters'!$A$3:$B$218,2,FALSE))</f>
        <v/>
      </c>
      <c r="BT26" s="62" t="str">
        <f>IF(BT25="","",VLOOKUP(BT25,'Tech Tree Node Parameters'!$A$3:$B$218,2,FALSE))</f>
        <v/>
      </c>
      <c r="BU26" s="62" t="str">
        <f>IF(BU25="","",VLOOKUP(BU25,'Tech Tree Node Parameters'!$A$3:$B$218,2,FALSE))</f>
        <v/>
      </c>
      <c r="BV26" s="62" t="str">
        <f>IF(BV25="","",VLOOKUP(BV25,'Tech Tree Node Parameters'!$A$3:$B$218,2,FALSE))</f>
        <v/>
      </c>
      <c r="BW26" s="62" t="str">
        <f>IF(BW25="","",VLOOKUP(BW25,'Tech Tree Node Parameters'!$A$3:$B$218,2,FALSE))</f>
        <v/>
      </c>
      <c r="BX26" s="62" t="str">
        <f>IF(BX25="","",VLOOKUP(BX25,'Tech Tree Node Parameters'!$A$3:$B$218,2,FALSE))</f>
        <v/>
      </c>
      <c r="BY26" s="62" t="str">
        <f>IF(BY25="","",VLOOKUP(BY25,'Tech Tree Node Parameters'!$A$3:$B$218,2,FALSE))</f>
        <v/>
      </c>
      <c r="BZ26" s="62" t="str">
        <f>IF(BZ25="","",VLOOKUP(BZ25,'Tech Tree Node Parameters'!$A$3:$B$218,2,FALSE))</f>
        <v/>
      </c>
      <c r="CA26" s="62" t="str">
        <f>IF(CA25="","",VLOOKUP(CA25,'Tech Tree Node Parameters'!$A$3:$B$218,2,FALSE))</f>
        <v/>
      </c>
      <c r="CB26" s="62" t="str">
        <f>IF(CB25="","",VLOOKUP(CB25,'Tech Tree Node Parameters'!$A$3:$B$218,2,FALSE))</f>
        <v/>
      </c>
      <c r="CC26" s="62" t="str">
        <f>IF(CC25="","",VLOOKUP(CC25,'Tech Tree Node Parameters'!$A$3:$B$218,2,FALSE))</f>
        <v/>
      </c>
      <c r="CD26" s="62" t="str">
        <f>IF(CD25="","",VLOOKUP(CD25,'Tech Tree Node Parameters'!$A$3:$B$218,2,FALSE))</f>
        <v/>
      </c>
      <c r="CE26" s="62" t="str">
        <f>IF(CE25="","",VLOOKUP(CE25,'Tech Tree Node Parameters'!$A$3:$B$218,2,FALSE))</f>
        <v/>
      </c>
      <c r="CF26" s="62" t="str">
        <f>IF(CF25="","",VLOOKUP(CF25,'Tech Tree Node Parameters'!$A$3:$B$218,2,FALSE))</f>
        <v/>
      </c>
      <c r="CG26" s="62" t="str">
        <f>IF(CG25="","",VLOOKUP(CG25,'Tech Tree Node Parameters'!$A$3:$B$218,2,FALSE))</f>
        <v/>
      </c>
      <c r="CH26" s="62" t="str">
        <f>IF(CH25="","",VLOOKUP(CH25,'Tech Tree Node Parameters'!$A$3:$B$218,2,FALSE))</f>
        <v/>
      </c>
      <c r="CI26" s="62" t="str">
        <f>IF(CI25="","",VLOOKUP(CI25,'Tech Tree Node Parameters'!$A$3:$B$218,2,FALSE))</f>
        <v/>
      </c>
      <c r="CJ26" s="62" t="str">
        <f>IF(CJ25="","",VLOOKUP(CJ25,'Tech Tree Node Parameters'!$A$3:$B$218,2,FALSE))</f>
        <v/>
      </c>
      <c r="CK26" s="62" t="str">
        <f>IF(CK25="","",VLOOKUP(CK25,'Tech Tree Node Parameters'!$A$3:$B$218,2,FALSE))</f>
        <v/>
      </c>
      <c r="CL26" s="62" t="str">
        <f>IF(CL25="","",VLOOKUP(CL25,'Tech Tree Node Parameters'!$A$3:$B$218,2,FALSE))</f>
        <v/>
      </c>
      <c r="CM26" s="62" t="str">
        <f>IF(CM25="","",VLOOKUP(CM25,'Tech Tree Node Parameters'!$A$3:$B$218,2,FALSE))</f>
        <v/>
      </c>
      <c r="CN26" s="62" t="str">
        <f>IF(CN25="","",VLOOKUP(CN25,'Tech Tree Node Parameters'!$A$3:$B$218,2,FALSE))</f>
        <v/>
      </c>
      <c r="CO26" s="62" t="str">
        <f>IF(CO25="","",VLOOKUP(CO25,'Tech Tree Node Parameters'!$A$3:$B$218,2,FALSE))</f>
        <v/>
      </c>
      <c r="CP26" s="62" t="str">
        <f>IF(CP25="","",VLOOKUP(CP25,'Tech Tree Node Parameters'!$A$3:$B$218,2,FALSE))</f>
        <v/>
      </c>
      <c r="CQ26" s="62" t="str">
        <f>IF(CQ25="","",VLOOKUP(CQ25,'Tech Tree Node Parameters'!$A$3:$B$218,2,FALSE))</f>
        <v/>
      </c>
      <c r="CR26" s="62" t="str">
        <f>IF(CR25="","",VLOOKUP(CR25,'Tech Tree Node Parameters'!$A$3:$B$218,2,FALSE))</f>
        <v/>
      </c>
      <c r="CS26" s="62" t="str">
        <f>IF(CS25="","",VLOOKUP(CS25,'Tech Tree Node Parameters'!$A$3:$B$218,2,FALSE))</f>
        <v/>
      </c>
      <c r="CT26" s="62" t="str">
        <f>IF(CT25="","",VLOOKUP(CT25,'Tech Tree Node Parameters'!$A$3:$B$218,2,FALSE))</f>
        <v/>
      </c>
      <c r="CU26" s="62" t="str">
        <f>IF(CU25="","",VLOOKUP(CU25,'Tech Tree Node Parameters'!$A$3:$B$218,2,FALSE))</f>
        <v/>
      </c>
      <c r="CV26" s="62" t="str">
        <f>IF(CV25="","",VLOOKUP(CV25,'Tech Tree Node Parameters'!$A$3:$B$218,2,FALSE))</f>
        <v/>
      </c>
      <c r="CW26" s="62" t="str">
        <f>IF(CW25="","",VLOOKUP(CW25,'Tech Tree Node Parameters'!$A$3:$B$218,2,FALSE))</f>
        <v/>
      </c>
      <c r="CX26" s="62" t="str">
        <f>IF(CX25="","",VLOOKUP(CX25,'Tech Tree Node Parameters'!$A$3:$B$218,2,FALSE))</f>
        <v/>
      </c>
      <c r="CY26" s="36" t="str">
        <f>IF(CY25="","",VLOOKUP(CY25,'Tech Tree Node Parameters'!$A$3:$B$218,2,FALSE))</f>
        <v/>
      </c>
    </row>
    <row r="27" spans="1:103" s="47" customFormat="1" x14ac:dyDescent="0.25">
      <c r="A27" s="72">
        <f t="shared" si="9"/>
        <v>50</v>
      </c>
      <c r="B27" s="69">
        <f>B29+$D$6</f>
        <v>1937</v>
      </c>
      <c r="C27" s="39"/>
      <c r="D27" s="61"/>
      <c r="E27" s="61"/>
      <c r="F27" s="61"/>
      <c r="G27" s="61"/>
      <c r="H27" s="61"/>
      <c r="I27" s="61"/>
      <c r="J27" s="61"/>
      <c r="K27" s="61"/>
      <c r="L27" s="61"/>
      <c r="M27" s="61"/>
      <c r="N27" s="61"/>
      <c r="O27" s="61"/>
      <c r="P27" s="61"/>
      <c r="Q27" s="61"/>
      <c r="R27" s="61"/>
      <c r="S27" s="61"/>
      <c r="T27" s="61"/>
      <c r="U27" s="61"/>
      <c r="V27" s="61"/>
      <c r="W27" s="61"/>
      <c r="X27" s="61"/>
      <c r="Y27" s="61"/>
      <c r="Z27" s="61"/>
      <c r="AA27" s="61"/>
      <c r="AB27" s="61"/>
      <c r="AC27" s="61"/>
      <c r="AD27" s="61"/>
      <c r="AE27" s="61"/>
      <c r="AF27" s="61"/>
      <c r="AG27" s="61"/>
      <c r="AH27" s="61"/>
      <c r="AI27" s="61"/>
      <c r="AJ27" s="61"/>
      <c r="AK27" s="61" t="s">
        <v>35</v>
      </c>
      <c r="AL27" s="61"/>
      <c r="AM27" s="61" t="s">
        <v>466</v>
      </c>
      <c r="AN27" s="61"/>
      <c r="AO27" s="61" t="s">
        <v>373</v>
      </c>
      <c r="AP27" s="61"/>
      <c r="AQ27" s="61"/>
      <c r="AR27" s="61"/>
      <c r="AS27" s="61"/>
      <c r="AT27" s="61"/>
      <c r="AU27" s="61"/>
      <c r="AV27" s="61"/>
      <c r="AW27" s="61"/>
      <c r="AX27" s="61"/>
      <c r="AY27" s="61" t="s">
        <v>105</v>
      </c>
      <c r="AZ27" s="61"/>
      <c r="BA27" s="61" t="s">
        <v>117</v>
      </c>
      <c r="BB27" s="61"/>
      <c r="BC27" s="61" t="s">
        <v>546</v>
      </c>
      <c r="BD27" s="61"/>
      <c r="BE27" s="61" t="s">
        <v>102</v>
      </c>
      <c r="BF27" s="61"/>
      <c r="BG27" s="61" t="s">
        <v>98</v>
      </c>
      <c r="BH27" s="61"/>
      <c r="BI27" s="61"/>
      <c r="BJ27" s="61"/>
      <c r="BK27" s="61"/>
      <c r="BL27" s="61"/>
      <c r="BM27" s="61"/>
      <c r="BN27" s="61"/>
      <c r="BO27" s="61"/>
      <c r="BP27" s="61"/>
      <c r="BQ27" s="61"/>
      <c r="BR27" s="61"/>
      <c r="BS27" s="61"/>
      <c r="BT27" s="61"/>
      <c r="BU27" s="61"/>
      <c r="BV27" s="61"/>
      <c r="BW27" s="61"/>
      <c r="BX27" s="61"/>
      <c r="BY27" s="61"/>
      <c r="BZ27" s="61"/>
      <c r="CA27" s="61"/>
      <c r="CB27" s="61"/>
      <c r="CC27" s="61"/>
      <c r="CD27" s="61"/>
      <c r="CE27" s="61"/>
      <c r="CF27" s="61"/>
      <c r="CG27" s="61"/>
      <c r="CH27" s="61"/>
      <c r="CI27" s="61"/>
      <c r="CJ27" s="61"/>
      <c r="CK27" s="61"/>
      <c r="CL27" s="61"/>
      <c r="CM27" s="61"/>
      <c r="CN27" s="61"/>
      <c r="CO27" s="61"/>
      <c r="CP27" s="61"/>
      <c r="CQ27" s="61"/>
      <c r="CR27" s="61"/>
      <c r="CS27" s="61"/>
      <c r="CT27" s="61"/>
      <c r="CU27" s="61"/>
      <c r="CV27" s="61"/>
      <c r="CW27" s="61"/>
      <c r="CX27" s="61"/>
      <c r="CY27" s="35"/>
    </row>
    <row r="28" spans="1:103" s="47" customFormat="1" x14ac:dyDescent="0.25">
      <c r="A28" s="72"/>
      <c r="B28" s="70"/>
      <c r="C28" s="40"/>
      <c r="D28" s="62" t="str">
        <f>IF(D27="","",VLOOKUP(D27,'Tech Tree Node Parameters'!$A$3:$B$218,2,FALSE))</f>
        <v/>
      </c>
      <c r="E28" s="62" t="str">
        <f>IF(E27="","",VLOOKUP(E27,'Tech Tree Node Parameters'!$A$3:$B$218,2,FALSE))</f>
        <v/>
      </c>
      <c r="F28" s="62" t="str">
        <f>IF(F27="","",VLOOKUP(F27,'Tech Tree Node Parameters'!$A$3:$B$218,2,FALSE))</f>
        <v/>
      </c>
      <c r="G28" s="62" t="str">
        <f>IF(G27="","",VLOOKUP(G27,'Tech Tree Node Parameters'!$A$3:$B$218,2,FALSE))</f>
        <v/>
      </c>
      <c r="H28" s="62" t="str">
        <f>IF(H27="","",VLOOKUP(H27,'Tech Tree Node Parameters'!$A$3:$B$218,2,FALSE))</f>
        <v/>
      </c>
      <c r="I28" s="62" t="str">
        <f>IF(I27="","",VLOOKUP(I27,'Tech Tree Node Parameters'!$A$3:$B$218,2,FALSE))</f>
        <v/>
      </c>
      <c r="J28" s="62" t="str">
        <f>IF(J27="","",VLOOKUP(J27,'Tech Tree Node Parameters'!$A$3:$B$218,2,FALSE))</f>
        <v/>
      </c>
      <c r="K28" s="62" t="str">
        <f>IF(K27="","",VLOOKUP(K27,'Tech Tree Node Parameters'!$A$3:$B$218,2,FALSE))</f>
        <v/>
      </c>
      <c r="L28" s="62" t="str">
        <f>IF(L27="","",VLOOKUP(L27,'Tech Tree Node Parameters'!$A$3:$B$218,2,FALSE))</f>
        <v/>
      </c>
      <c r="M28" s="62" t="str">
        <f>IF(M27="","",VLOOKUP(M27,'Tech Tree Node Parameters'!$A$3:$B$218,2,FALSE))</f>
        <v/>
      </c>
      <c r="N28" s="62" t="str">
        <f>IF(N27="","",VLOOKUP(N27,'Tech Tree Node Parameters'!$A$3:$B$218,2,FALSE))</f>
        <v/>
      </c>
      <c r="O28" s="62" t="str">
        <f>IF(O27="","",VLOOKUP(O27,'Tech Tree Node Parameters'!$A$3:$B$218,2,FALSE))</f>
        <v/>
      </c>
      <c r="P28" s="62" t="str">
        <f>IF(P27="","",VLOOKUP(P27,'Tech Tree Node Parameters'!$A$3:$B$218,2,FALSE))</f>
        <v/>
      </c>
      <c r="Q28" s="62" t="str">
        <f>IF(Q27="","",VLOOKUP(Q27,'Tech Tree Node Parameters'!$A$3:$B$218,2,FALSE))</f>
        <v/>
      </c>
      <c r="R28" s="62" t="str">
        <f>IF(R27="","",VLOOKUP(R27,'Tech Tree Node Parameters'!$A$3:$B$218,2,FALSE))</f>
        <v/>
      </c>
      <c r="S28" s="62" t="str">
        <f>IF(S27="","",VLOOKUP(S27,'Tech Tree Node Parameters'!$A$3:$B$218,2,FALSE))</f>
        <v/>
      </c>
      <c r="T28" s="62" t="str">
        <f>IF(T27="","",VLOOKUP(T27,'Tech Tree Node Parameters'!$A$3:$B$218,2,FALSE))</f>
        <v/>
      </c>
      <c r="U28" s="62" t="str">
        <f>IF(U27="","",VLOOKUP(U27,'Tech Tree Node Parameters'!$A$3:$B$218,2,FALSE))</f>
        <v/>
      </c>
      <c r="V28" s="62" t="str">
        <f>IF(V27="","",VLOOKUP(V27,'Tech Tree Node Parameters'!$A$3:$B$218,2,FALSE))</f>
        <v/>
      </c>
      <c r="W28" s="62" t="str">
        <f>IF(W27="","",VLOOKUP(W27,'Tech Tree Node Parameters'!$A$3:$B$218,2,FALSE))</f>
        <v/>
      </c>
      <c r="X28" s="62" t="str">
        <f>IF(X27="","",VLOOKUP(X27,'Tech Tree Node Parameters'!$A$3:$B$218,2,FALSE))</f>
        <v/>
      </c>
      <c r="Y28" s="62" t="str">
        <f>IF(Y27="","",VLOOKUP(Y27,'Tech Tree Node Parameters'!$A$3:$B$218,2,FALSE))</f>
        <v/>
      </c>
      <c r="Z28" s="62" t="str">
        <f>IF(Z27="","",VLOOKUP(Z27,'Tech Tree Node Parameters'!$A$3:$B$218,2,FALSE))</f>
        <v/>
      </c>
      <c r="AA28" s="62" t="str">
        <f>IF(AA27="","",VLOOKUP(AA27,'Tech Tree Node Parameters'!$A$3:$B$218,2,FALSE))</f>
        <v/>
      </c>
      <c r="AB28" s="62" t="str">
        <f>IF(AB27="","",VLOOKUP(AB27,'Tech Tree Node Parameters'!$A$3:$B$218,2,FALSE))</f>
        <v/>
      </c>
      <c r="AC28" s="62" t="str">
        <f>IF(AC27="","",VLOOKUP(AC27,'Tech Tree Node Parameters'!$A$3:$B$218,2,FALSE))</f>
        <v/>
      </c>
      <c r="AD28" s="62" t="str">
        <f>IF(AD27="","",VLOOKUP(AD27,'Tech Tree Node Parameters'!$A$3:$B$218,2,FALSE))</f>
        <v/>
      </c>
      <c r="AE28" s="62" t="str">
        <f>IF(AE27="","",VLOOKUP(AE27,'Tech Tree Node Parameters'!$A$3:$B$218,2,FALSE))</f>
        <v/>
      </c>
      <c r="AF28" s="62" t="str">
        <f>IF(AF27="","",VLOOKUP(AF27,'Tech Tree Node Parameters'!$A$3:$B$218,2,FALSE))</f>
        <v/>
      </c>
      <c r="AG28" s="62" t="str">
        <f>IF(AG27="","",VLOOKUP(AG27,'Tech Tree Node Parameters'!$A$3:$B$218,2,FALSE))</f>
        <v/>
      </c>
      <c r="AH28" s="62" t="str">
        <f>IF(AH27="","",VLOOKUP(AH27,'Tech Tree Node Parameters'!$A$3:$B$218,2,FALSE))</f>
        <v/>
      </c>
      <c r="AI28" s="62" t="str">
        <f>IF(AI27="","",VLOOKUP(AI27,'Tech Tree Node Parameters'!$A$3:$B$218,2,FALSE))</f>
        <v/>
      </c>
      <c r="AJ28" s="62" t="str">
        <f>IF(AJ27="","",VLOOKUP(AJ27,'Tech Tree Node Parameters'!$A$3:$B$218,2,FALSE))</f>
        <v/>
      </c>
      <c r="AK28" s="62" t="str">
        <f>IF(AK27="","",VLOOKUP(AK27,'Tech Tree Node Parameters'!$A$3:$B$218,2,FALSE))</f>
        <v>Fusion Rockets</v>
      </c>
      <c r="AL28" s="62" t="str">
        <f>IF(AL27="","",VLOOKUP(AL27,'Tech Tree Node Parameters'!$A$3:$B$218,2,FALSE))</f>
        <v/>
      </c>
      <c r="AM28" s="62" t="str">
        <f>IF(AM27="","",VLOOKUP(AM27,'Tech Tree Node Parameters'!$A$3:$B$218,2,FALSE))</f>
        <v>High Efficiency Nuclear Propulsion</v>
      </c>
      <c r="AN28" s="62" t="str">
        <f>IF(AN27="","",VLOOKUP(AN27,'Tech Tree Node Parameters'!$A$3:$B$218,2,FALSE))</f>
        <v/>
      </c>
      <c r="AO28" s="62" t="str">
        <f>IF(AO27="","",VLOOKUP(AO27,'Tech Tree Node Parameters'!$A$3:$B$218,2,FALSE))</f>
        <v>Exotic Nuclear Power</v>
      </c>
      <c r="AP28" s="62" t="str">
        <f>IF(AP27="","",VLOOKUP(AP27,'Tech Tree Node Parameters'!$A$3:$B$218,2,FALSE))</f>
        <v/>
      </c>
      <c r="AQ28" s="62" t="str">
        <f>IF(AQ27="","",VLOOKUP(AQ27,'Tech Tree Node Parameters'!$A$3:$B$218,2,FALSE))</f>
        <v/>
      </c>
      <c r="AR28" s="62" t="str">
        <f>IF(AR27="","",VLOOKUP(AR27,'Tech Tree Node Parameters'!$A$3:$B$218,2,FALSE))</f>
        <v/>
      </c>
      <c r="AS28" s="62" t="str">
        <f>IF(AS27="","",VLOOKUP(AS27,'Tech Tree Node Parameters'!$A$3:$B$218,2,FALSE))</f>
        <v/>
      </c>
      <c r="AT28" s="62" t="str">
        <f>IF(AT27="","",VLOOKUP(AT27,'Tech Tree Node Parameters'!$A$3:$B$218,2,FALSE))</f>
        <v/>
      </c>
      <c r="AU28" s="62" t="str">
        <f>IF(AU27="","",VLOOKUP(AU27,'Tech Tree Node Parameters'!$A$3:$B$218,2,FALSE))</f>
        <v/>
      </c>
      <c r="AV28" s="62" t="str">
        <f>IF(AV27="","",VLOOKUP(AV27,'Tech Tree Node Parameters'!$A$3:$B$218,2,FALSE))</f>
        <v/>
      </c>
      <c r="AW28" s="62" t="str">
        <f>IF(AW27="","",VLOOKUP(AW27,'Tech Tree Node Parameters'!$A$3:$B$218,2,FALSE))</f>
        <v/>
      </c>
      <c r="AX28" s="62" t="str">
        <f>IF(AX27="","",VLOOKUP(AX27,'Tech Tree Node Parameters'!$A$3:$B$218,2,FALSE))</f>
        <v/>
      </c>
      <c r="AY28" s="62" t="str">
        <f>IF(AY27="","",VLOOKUP(AY27,'Tech Tree Node Parameters'!$A$3:$B$218,2,FALSE))</f>
        <v>Flight Mechanics</v>
      </c>
      <c r="AZ28" s="62" t="str">
        <f>IF(AZ27="","",VLOOKUP(AZ27,'Tech Tree Node Parameters'!$A$3:$B$218,2,FALSE))</f>
        <v/>
      </c>
      <c r="BA28" s="62" t="str">
        <f>IF(BA27="","",VLOOKUP(BA27,'Tech Tree Node Parameters'!$A$3:$B$218,2,FALSE))</f>
        <v>Supersonic Aerodynamics</v>
      </c>
      <c r="BB28" s="62" t="str">
        <f>IF(BB27="","",VLOOKUP(BB27,'Tech Tree Node Parameters'!$A$3:$B$218,2,FALSE))</f>
        <v/>
      </c>
      <c r="BC28" s="62" t="str">
        <f>IF(BC27="","",VLOOKUP(BC27,'Tech Tree Node Parameters'!$A$3:$B$218,2,FALSE))</f>
        <v>Medium Fairings</v>
      </c>
      <c r="BD28" s="62" t="str">
        <f>IF(BD27="","",VLOOKUP(BD27,'Tech Tree Node Parameters'!$A$3:$B$218,2,FALSE))</f>
        <v/>
      </c>
      <c r="BE28" s="62" t="str">
        <f>IF(BE27="","",VLOOKUP(BE27,'Tech Tree Node Parameters'!$A$3:$B$218,2,FALSE))</f>
        <v>Advanced Landing Gear</v>
      </c>
      <c r="BF28" s="62" t="str">
        <f>IF(BF27="","",VLOOKUP(BF27,'Tech Tree Node Parameters'!$A$3:$B$218,2,FALSE))</f>
        <v/>
      </c>
      <c r="BG28" s="62" t="str">
        <f>IF(BG27="","",VLOOKUP(BG27,'Tech Tree Node Parameters'!$A$3:$B$218,2,FALSE))</f>
        <v>High Altitude Flight</v>
      </c>
      <c r="BH28" s="62" t="str">
        <f>IF(BH27="","",VLOOKUP(BH27,'Tech Tree Node Parameters'!$A$3:$B$218,2,FALSE))</f>
        <v/>
      </c>
      <c r="BI28" s="62" t="str">
        <f>IF(BI27="","",VLOOKUP(BI27,'Tech Tree Node Parameters'!$A$3:$B$218,2,FALSE))</f>
        <v/>
      </c>
      <c r="BJ28" s="62" t="str">
        <f>IF(BJ27="","",VLOOKUP(BJ27,'Tech Tree Node Parameters'!$A$3:$B$218,2,FALSE))</f>
        <v/>
      </c>
      <c r="BK28" s="62" t="str">
        <f>IF(BK27="","",VLOOKUP(BK27,'Tech Tree Node Parameters'!$A$3:$B$218,2,FALSE))</f>
        <v/>
      </c>
      <c r="BL28" s="62" t="str">
        <f>IF(BL27="","",VLOOKUP(BL27,'Tech Tree Node Parameters'!$A$3:$B$218,2,FALSE))</f>
        <v/>
      </c>
      <c r="BM28" s="62" t="str">
        <f>IF(BM27="","",VLOOKUP(BM27,'Tech Tree Node Parameters'!$A$3:$B$218,2,FALSE))</f>
        <v/>
      </c>
      <c r="BN28" s="62" t="str">
        <f>IF(BN27="","",VLOOKUP(BN27,'Tech Tree Node Parameters'!$A$3:$B$218,2,FALSE))</f>
        <v/>
      </c>
      <c r="BO28" s="62" t="str">
        <f>IF(BO27="","",VLOOKUP(BO27,'Tech Tree Node Parameters'!$A$3:$B$218,2,FALSE))</f>
        <v/>
      </c>
      <c r="BP28" s="62" t="str">
        <f>IF(BP27="","",VLOOKUP(BP27,'Tech Tree Node Parameters'!$A$3:$B$218,2,FALSE))</f>
        <v/>
      </c>
      <c r="BQ28" s="62" t="str">
        <f>IF(BQ27="","",VLOOKUP(BQ27,'Tech Tree Node Parameters'!$A$3:$B$218,2,FALSE))</f>
        <v/>
      </c>
      <c r="BR28" s="62" t="str">
        <f>IF(BR27="","",VLOOKUP(BR27,'Tech Tree Node Parameters'!$A$3:$B$218,2,FALSE))</f>
        <v/>
      </c>
      <c r="BS28" s="62" t="str">
        <f>IF(BS27="","",VLOOKUP(BS27,'Tech Tree Node Parameters'!$A$3:$B$218,2,FALSE))</f>
        <v/>
      </c>
      <c r="BT28" s="62" t="str">
        <f>IF(BT27="","",VLOOKUP(BT27,'Tech Tree Node Parameters'!$A$3:$B$218,2,FALSE))</f>
        <v/>
      </c>
      <c r="BU28" s="62" t="str">
        <f>IF(BU27="","",VLOOKUP(BU27,'Tech Tree Node Parameters'!$A$3:$B$218,2,FALSE))</f>
        <v/>
      </c>
      <c r="BV28" s="62" t="str">
        <f>IF(BV27="","",VLOOKUP(BV27,'Tech Tree Node Parameters'!$A$3:$B$218,2,FALSE))</f>
        <v/>
      </c>
      <c r="BW28" s="62" t="str">
        <f>IF(BW27="","",VLOOKUP(BW27,'Tech Tree Node Parameters'!$A$3:$B$218,2,FALSE))</f>
        <v/>
      </c>
      <c r="BX28" s="62" t="str">
        <f>IF(BX27="","",VLOOKUP(BX27,'Tech Tree Node Parameters'!$A$3:$B$218,2,FALSE))</f>
        <v/>
      </c>
      <c r="BY28" s="62" t="str">
        <f>IF(BY27="","",VLOOKUP(BY27,'Tech Tree Node Parameters'!$A$3:$B$218,2,FALSE))</f>
        <v/>
      </c>
      <c r="BZ28" s="62" t="str">
        <f>IF(BZ27="","",VLOOKUP(BZ27,'Tech Tree Node Parameters'!$A$3:$B$218,2,FALSE))</f>
        <v/>
      </c>
      <c r="CA28" s="62" t="str">
        <f>IF(CA27="","",VLOOKUP(CA27,'Tech Tree Node Parameters'!$A$3:$B$218,2,FALSE))</f>
        <v/>
      </c>
      <c r="CB28" s="62" t="str">
        <f>IF(CB27="","",VLOOKUP(CB27,'Tech Tree Node Parameters'!$A$3:$B$218,2,FALSE))</f>
        <v/>
      </c>
      <c r="CC28" s="62" t="str">
        <f>IF(CC27="","",VLOOKUP(CC27,'Tech Tree Node Parameters'!$A$3:$B$218,2,FALSE))</f>
        <v/>
      </c>
      <c r="CD28" s="62" t="str">
        <f>IF(CD27="","",VLOOKUP(CD27,'Tech Tree Node Parameters'!$A$3:$B$218,2,FALSE))</f>
        <v/>
      </c>
      <c r="CE28" s="62" t="str">
        <f>IF(CE27="","",VLOOKUP(CE27,'Tech Tree Node Parameters'!$A$3:$B$218,2,FALSE))</f>
        <v/>
      </c>
      <c r="CF28" s="62" t="str">
        <f>IF(CF27="","",VLOOKUP(CF27,'Tech Tree Node Parameters'!$A$3:$B$218,2,FALSE))</f>
        <v/>
      </c>
      <c r="CG28" s="62" t="str">
        <f>IF(CG27="","",VLOOKUP(CG27,'Tech Tree Node Parameters'!$A$3:$B$218,2,FALSE))</f>
        <v/>
      </c>
      <c r="CH28" s="62" t="str">
        <f>IF(CH27="","",VLOOKUP(CH27,'Tech Tree Node Parameters'!$A$3:$B$218,2,FALSE))</f>
        <v/>
      </c>
      <c r="CI28" s="62" t="str">
        <f>IF(CI27="","",VLOOKUP(CI27,'Tech Tree Node Parameters'!$A$3:$B$218,2,FALSE))</f>
        <v/>
      </c>
      <c r="CJ28" s="62" t="str">
        <f>IF(CJ27="","",VLOOKUP(CJ27,'Tech Tree Node Parameters'!$A$3:$B$218,2,FALSE))</f>
        <v/>
      </c>
      <c r="CK28" s="62" t="str">
        <f>IF(CK27="","",VLOOKUP(CK27,'Tech Tree Node Parameters'!$A$3:$B$218,2,FALSE))</f>
        <v/>
      </c>
      <c r="CL28" s="62" t="str">
        <f>IF(CL27="","",VLOOKUP(CL27,'Tech Tree Node Parameters'!$A$3:$B$218,2,FALSE))</f>
        <v/>
      </c>
      <c r="CM28" s="62" t="str">
        <f>IF(CM27="","",VLOOKUP(CM27,'Tech Tree Node Parameters'!$A$3:$B$218,2,FALSE))</f>
        <v/>
      </c>
      <c r="CN28" s="62" t="str">
        <f>IF(CN27="","",VLOOKUP(CN27,'Tech Tree Node Parameters'!$A$3:$B$218,2,FALSE))</f>
        <v/>
      </c>
      <c r="CO28" s="62" t="str">
        <f>IF(CO27="","",VLOOKUP(CO27,'Tech Tree Node Parameters'!$A$3:$B$218,2,FALSE))</f>
        <v/>
      </c>
      <c r="CP28" s="62" t="str">
        <f>IF(CP27="","",VLOOKUP(CP27,'Tech Tree Node Parameters'!$A$3:$B$218,2,FALSE))</f>
        <v/>
      </c>
      <c r="CQ28" s="62" t="str">
        <f>IF(CQ27="","",VLOOKUP(CQ27,'Tech Tree Node Parameters'!$A$3:$B$218,2,FALSE))</f>
        <v/>
      </c>
      <c r="CR28" s="62" t="str">
        <f>IF(CR27="","",VLOOKUP(CR27,'Tech Tree Node Parameters'!$A$3:$B$218,2,FALSE))</f>
        <v/>
      </c>
      <c r="CS28" s="62" t="str">
        <f>IF(CS27="","",VLOOKUP(CS27,'Tech Tree Node Parameters'!$A$3:$B$218,2,FALSE))</f>
        <v/>
      </c>
      <c r="CT28" s="62" t="str">
        <f>IF(CT27="","",VLOOKUP(CT27,'Tech Tree Node Parameters'!$A$3:$B$218,2,FALSE))</f>
        <v/>
      </c>
      <c r="CU28" s="62" t="str">
        <f>IF(CU27="","",VLOOKUP(CU27,'Tech Tree Node Parameters'!$A$3:$B$218,2,FALSE))</f>
        <v/>
      </c>
      <c r="CV28" s="62" t="str">
        <f>IF(CV27="","",VLOOKUP(CV27,'Tech Tree Node Parameters'!$A$3:$B$218,2,FALSE))</f>
        <v/>
      </c>
      <c r="CW28" s="62" t="str">
        <f>IF(CW27="","",VLOOKUP(CW27,'Tech Tree Node Parameters'!$A$3:$B$218,2,FALSE))</f>
        <v/>
      </c>
      <c r="CX28" s="62" t="str">
        <f>IF(CX27="","",VLOOKUP(CX27,'Tech Tree Node Parameters'!$A$3:$B$218,2,FALSE))</f>
        <v/>
      </c>
      <c r="CY28" s="36" t="str">
        <f>IF(CY27="","",VLOOKUP(CY27,'Tech Tree Node Parameters'!$A$3:$B$218,2,FALSE))</f>
        <v/>
      </c>
    </row>
    <row r="29" spans="1:103" s="47" customFormat="1" x14ac:dyDescent="0.25">
      <c r="A29" s="72">
        <f t="shared" si="9"/>
        <v>49</v>
      </c>
      <c r="B29" s="69">
        <f>B31+$D$6</f>
        <v>1899</v>
      </c>
      <c r="C29" s="39"/>
      <c r="D29" s="61"/>
      <c r="E29" s="61"/>
      <c r="F29" s="61"/>
      <c r="G29" s="61"/>
      <c r="H29" s="61"/>
      <c r="I29" s="61"/>
      <c r="J29" s="61"/>
      <c r="K29" s="61"/>
      <c r="L29" s="61"/>
      <c r="M29" s="61"/>
      <c r="N29" s="61"/>
      <c r="O29" s="61"/>
      <c r="P29" s="61"/>
      <c r="Q29" s="61"/>
      <c r="R29" s="61"/>
      <c r="S29" s="61"/>
      <c r="T29" s="61"/>
      <c r="U29" s="61"/>
      <c r="V29" s="61"/>
      <c r="W29" s="61"/>
      <c r="X29" s="61"/>
      <c r="Y29" s="61"/>
      <c r="Z29" s="61"/>
      <c r="AA29" s="61"/>
      <c r="AB29" s="61"/>
      <c r="AC29" s="61"/>
      <c r="AD29" s="61"/>
      <c r="AE29" s="61"/>
      <c r="AF29" s="61"/>
      <c r="AG29" s="61"/>
      <c r="AH29" s="61"/>
      <c r="AI29" s="61"/>
      <c r="AJ29" s="61"/>
      <c r="AK29" s="61"/>
      <c r="AL29" s="61"/>
      <c r="AM29" s="61"/>
      <c r="AN29" s="61"/>
      <c r="AO29" s="61"/>
      <c r="AP29" s="61"/>
      <c r="AQ29" s="61"/>
      <c r="AR29" s="61"/>
      <c r="AS29" s="61"/>
      <c r="AT29" s="61"/>
      <c r="AU29" s="61"/>
      <c r="AV29" s="61"/>
      <c r="AW29" s="61"/>
      <c r="AX29" s="61"/>
      <c r="AY29" s="61"/>
      <c r="AZ29" s="61"/>
      <c r="BA29" s="61"/>
      <c r="BB29" s="61"/>
      <c r="BC29" s="61"/>
      <c r="BD29" s="61"/>
      <c r="BE29" s="61"/>
      <c r="BF29" s="61"/>
      <c r="BG29" s="61"/>
      <c r="BH29" s="61"/>
      <c r="BI29" s="61"/>
      <c r="BJ29" s="61"/>
      <c r="BK29" s="61"/>
      <c r="BL29" s="61"/>
      <c r="BM29" s="61"/>
      <c r="BN29" s="61"/>
      <c r="BO29" s="61"/>
      <c r="BP29" s="61"/>
      <c r="BQ29" s="61"/>
      <c r="BR29" s="61"/>
      <c r="BS29" s="61"/>
      <c r="BT29" s="61"/>
      <c r="BU29" s="61"/>
      <c r="BV29" s="61"/>
      <c r="BW29" s="61"/>
      <c r="BX29" s="61"/>
      <c r="BY29" s="61"/>
      <c r="BZ29" s="61"/>
      <c r="CA29" s="61"/>
      <c r="CB29" s="61"/>
      <c r="CC29" s="61"/>
      <c r="CD29" s="61"/>
      <c r="CE29" s="61"/>
      <c r="CF29" s="61"/>
      <c r="CG29" s="61"/>
      <c r="CH29" s="61"/>
      <c r="CI29" s="61"/>
      <c r="CJ29" s="61"/>
      <c r="CK29" s="61"/>
      <c r="CL29" s="61"/>
      <c r="CM29" s="61"/>
      <c r="CN29" s="61"/>
      <c r="CO29" s="61"/>
      <c r="CP29" s="61"/>
      <c r="CQ29" s="61"/>
      <c r="CR29" s="61"/>
      <c r="CS29" s="61"/>
      <c r="CT29" s="61"/>
      <c r="CU29" s="61"/>
      <c r="CV29" s="61"/>
      <c r="CW29" s="61"/>
      <c r="CX29" s="61"/>
      <c r="CY29" s="35"/>
    </row>
    <row r="30" spans="1:103" s="47" customFormat="1" x14ac:dyDescent="0.25">
      <c r="A30" s="72"/>
      <c r="B30" s="70"/>
      <c r="C30" s="40"/>
      <c r="D30" s="62" t="str">
        <f>IF(D29="","",VLOOKUP(D29,'Tech Tree Node Parameters'!$A$3:$B$218,2,FALSE))</f>
        <v/>
      </c>
      <c r="E30" s="62" t="str">
        <f>IF(E29="","",VLOOKUP(E29,'Tech Tree Node Parameters'!$A$3:$B$218,2,FALSE))</f>
        <v/>
      </c>
      <c r="F30" s="62" t="str">
        <f>IF(F29="","",VLOOKUP(F29,'Tech Tree Node Parameters'!$A$3:$B$218,2,FALSE))</f>
        <v/>
      </c>
      <c r="G30" s="62" t="str">
        <f>IF(G29="","",VLOOKUP(G29,'Tech Tree Node Parameters'!$A$3:$B$218,2,FALSE))</f>
        <v/>
      </c>
      <c r="H30" s="62" t="str">
        <f>IF(H29="","",VLOOKUP(H29,'Tech Tree Node Parameters'!$A$3:$B$218,2,FALSE))</f>
        <v/>
      </c>
      <c r="I30" s="62" t="str">
        <f>IF(I29="","",VLOOKUP(I29,'Tech Tree Node Parameters'!$A$3:$B$218,2,FALSE))</f>
        <v/>
      </c>
      <c r="J30" s="62" t="str">
        <f>IF(J29="","",VLOOKUP(J29,'Tech Tree Node Parameters'!$A$3:$B$218,2,FALSE))</f>
        <v/>
      </c>
      <c r="K30" s="62" t="str">
        <f>IF(K29="","",VLOOKUP(K29,'Tech Tree Node Parameters'!$A$3:$B$218,2,FALSE))</f>
        <v/>
      </c>
      <c r="L30" s="62" t="str">
        <f>IF(L29="","",VLOOKUP(L29,'Tech Tree Node Parameters'!$A$3:$B$218,2,FALSE))</f>
        <v/>
      </c>
      <c r="M30" s="62" t="str">
        <f>IF(M29="","",VLOOKUP(M29,'Tech Tree Node Parameters'!$A$3:$B$218,2,FALSE))</f>
        <v/>
      </c>
      <c r="N30" s="62" t="str">
        <f>IF(N29="","",VLOOKUP(N29,'Tech Tree Node Parameters'!$A$3:$B$218,2,FALSE))</f>
        <v/>
      </c>
      <c r="O30" s="62" t="str">
        <f>IF(O29="","",VLOOKUP(O29,'Tech Tree Node Parameters'!$A$3:$B$218,2,FALSE))</f>
        <v/>
      </c>
      <c r="P30" s="62" t="str">
        <f>IF(P29="","",VLOOKUP(P29,'Tech Tree Node Parameters'!$A$3:$B$218,2,FALSE))</f>
        <v/>
      </c>
      <c r="Q30" s="62" t="str">
        <f>IF(Q29="","",VLOOKUP(Q29,'Tech Tree Node Parameters'!$A$3:$B$218,2,FALSE))</f>
        <v/>
      </c>
      <c r="R30" s="62" t="str">
        <f>IF(R29="","",VLOOKUP(R29,'Tech Tree Node Parameters'!$A$3:$B$218,2,FALSE))</f>
        <v/>
      </c>
      <c r="S30" s="62" t="str">
        <f>IF(S29="","",VLOOKUP(S29,'Tech Tree Node Parameters'!$A$3:$B$218,2,FALSE))</f>
        <v/>
      </c>
      <c r="T30" s="62" t="str">
        <f>IF(T29="","",VLOOKUP(T29,'Tech Tree Node Parameters'!$A$3:$B$218,2,FALSE))</f>
        <v/>
      </c>
      <c r="U30" s="62" t="str">
        <f>IF(U29="","",VLOOKUP(U29,'Tech Tree Node Parameters'!$A$3:$B$218,2,FALSE))</f>
        <v/>
      </c>
      <c r="V30" s="62" t="str">
        <f>IF(V29="","",VLOOKUP(V29,'Tech Tree Node Parameters'!$A$3:$B$218,2,FALSE))</f>
        <v/>
      </c>
      <c r="W30" s="62" t="str">
        <f>IF(W29="","",VLOOKUP(W29,'Tech Tree Node Parameters'!$A$3:$B$218,2,FALSE))</f>
        <v/>
      </c>
      <c r="X30" s="62" t="str">
        <f>IF(X29="","",VLOOKUP(X29,'Tech Tree Node Parameters'!$A$3:$B$218,2,FALSE))</f>
        <v/>
      </c>
      <c r="Y30" s="62" t="str">
        <f>IF(Y29="","",VLOOKUP(Y29,'Tech Tree Node Parameters'!$A$3:$B$218,2,FALSE))</f>
        <v/>
      </c>
      <c r="Z30" s="62" t="str">
        <f>IF(Z29="","",VLOOKUP(Z29,'Tech Tree Node Parameters'!$A$3:$B$218,2,FALSE))</f>
        <v/>
      </c>
      <c r="AA30" s="62" t="str">
        <f>IF(AA29="","",VLOOKUP(AA29,'Tech Tree Node Parameters'!$A$3:$B$218,2,FALSE))</f>
        <v/>
      </c>
      <c r="AB30" s="62" t="str">
        <f>IF(AB29="","",VLOOKUP(AB29,'Tech Tree Node Parameters'!$A$3:$B$218,2,FALSE))</f>
        <v/>
      </c>
      <c r="AC30" s="62" t="str">
        <f>IF(AC29="","",VLOOKUP(AC29,'Tech Tree Node Parameters'!$A$3:$B$218,2,FALSE))</f>
        <v/>
      </c>
      <c r="AD30" s="62" t="str">
        <f>IF(AD29="","",VLOOKUP(AD29,'Tech Tree Node Parameters'!$A$3:$B$218,2,FALSE))</f>
        <v/>
      </c>
      <c r="AE30" s="62" t="str">
        <f>IF(AE29="","",VLOOKUP(AE29,'Tech Tree Node Parameters'!$A$3:$B$218,2,FALSE))</f>
        <v/>
      </c>
      <c r="AF30" s="62" t="str">
        <f>IF(AF29="","",VLOOKUP(AF29,'Tech Tree Node Parameters'!$A$3:$B$218,2,FALSE))</f>
        <v/>
      </c>
      <c r="AG30" s="62" t="str">
        <f>IF(AG29="","",VLOOKUP(AG29,'Tech Tree Node Parameters'!$A$3:$B$218,2,FALSE))</f>
        <v/>
      </c>
      <c r="AH30" s="62" t="str">
        <f>IF(AH29="","",VLOOKUP(AH29,'Tech Tree Node Parameters'!$A$3:$B$218,2,FALSE))</f>
        <v/>
      </c>
      <c r="AI30" s="62" t="str">
        <f>IF(AI29="","",VLOOKUP(AI29,'Tech Tree Node Parameters'!$A$3:$B$218,2,FALSE))</f>
        <v/>
      </c>
      <c r="AJ30" s="62" t="str">
        <f>IF(AJ29="","",VLOOKUP(AJ29,'Tech Tree Node Parameters'!$A$3:$B$218,2,FALSE))</f>
        <v/>
      </c>
      <c r="AK30" s="62" t="str">
        <f>IF(AK29="","",VLOOKUP(AK29,'Tech Tree Node Parameters'!$A$3:$B$218,2,FALSE))</f>
        <v/>
      </c>
      <c r="AL30" s="62" t="str">
        <f>IF(AL29="","",VLOOKUP(AL29,'Tech Tree Node Parameters'!$A$3:$B$218,2,FALSE))</f>
        <v/>
      </c>
      <c r="AM30" s="62" t="str">
        <f>IF(AM29="","",VLOOKUP(AM29,'Tech Tree Node Parameters'!$A$3:$B$218,2,FALSE))</f>
        <v/>
      </c>
      <c r="AN30" s="62" t="str">
        <f>IF(AN29="","",VLOOKUP(AN29,'Tech Tree Node Parameters'!$A$3:$B$218,2,FALSE))</f>
        <v/>
      </c>
      <c r="AO30" s="62" t="str">
        <f>IF(AO29="","",VLOOKUP(AO29,'Tech Tree Node Parameters'!$A$3:$B$218,2,FALSE))</f>
        <v/>
      </c>
      <c r="AP30" s="62" t="str">
        <f>IF(AP29="","",VLOOKUP(AP29,'Tech Tree Node Parameters'!$A$3:$B$218,2,FALSE))</f>
        <v/>
      </c>
      <c r="AQ30" s="62" t="str">
        <f>IF(AQ29="","",VLOOKUP(AQ29,'Tech Tree Node Parameters'!$A$3:$B$218,2,FALSE))</f>
        <v/>
      </c>
      <c r="AR30" s="62" t="str">
        <f>IF(AR29="","",VLOOKUP(AR29,'Tech Tree Node Parameters'!$A$3:$B$218,2,FALSE))</f>
        <v/>
      </c>
      <c r="AS30" s="62" t="str">
        <f>IF(AS29="","",VLOOKUP(AS29,'Tech Tree Node Parameters'!$A$3:$B$218,2,FALSE))</f>
        <v/>
      </c>
      <c r="AT30" s="62" t="str">
        <f>IF(AT29="","",VLOOKUP(AT29,'Tech Tree Node Parameters'!$A$3:$B$218,2,FALSE))</f>
        <v/>
      </c>
      <c r="AU30" s="62" t="str">
        <f>IF(AU29="","",VLOOKUP(AU29,'Tech Tree Node Parameters'!$A$3:$B$218,2,FALSE))</f>
        <v/>
      </c>
      <c r="AV30" s="62" t="str">
        <f>IF(AV29="","",VLOOKUP(AV29,'Tech Tree Node Parameters'!$A$3:$B$218,2,FALSE))</f>
        <v/>
      </c>
      <c r="AW30" s="62" t="str">
        <f>IF(AW29="","",VLOOKUP(AW29,'Tech Tree Node Parameters'!$A$3:$B$218,2,FALSE))</f>
        <v/>
      </c>
      <c r="AX30" s="62" t="str">
        <f>IF(AX29="","",VLOOKUP(AX29,'Tech Tree Node Parameters'!$A$3:$B$218,2,FALSE))</f>
        <v/>
      </c>
      <c r="AY30" s="62" t="str">
        <f>IF(AY29="","",VLOOKUP(AY29,'Tech Tree Node Parameters'!$A$3:$B$218,2,FALSE))</f>
        <v/>
      </c>
      <c r="AZ30" s="62" t="str">
        <f>IF(AZ29="","",VLOOKUP(AZ29,'Tech Tree Node Parameters'!$A$3:$B$218,2,FALSE))</f>
        <v/>
      </c>
      <c r="BA30" s="62" t="str">
        <f>IF(BA29="","",VLOOKUP(BA29,'Tech Tree Node Parameters'!$A$3:$B$218,2,FALSE))</f>
        <v/>
      </c>
      <c r="BB30" s="62" t="str">
        <f>IF(BB29="","",VLOOKUP(BB29,'Tech Tree Node Parameters'!$A$3:$B$218,2,FALSE))</f>
        <v/>
      </c>
      <c r="BC30" s="62" t="str">
        <f>IF(BC29="","",VLOOKUP(BC29,'Tech Tree Node Parameters'!$A$3:$B$218,2,FALSE))</f>
        <v/>
      </c>
      <c r="BD30" s="62" t="str">
        <f>IF(BD29="","",VLOOKUP(BD29,'Tech Tree Node Parameters'!$A$3:$B$218,2,FALSE))</f>
        <v/>
      </c>
      <c r="BE30" s="62" t="str">
        <f>IF(BE29="","",VLOOKUP(BE29,'Tech Tree Node Parameters'!$A$3:$B$218,2,FALSE))</f>
        <v/>
      </c>
      <c r="BF30" s="62" t="str">
        <f>IF(BF29="","",VLOOKUP(BF29,'Tech Tree Node Parameters'!$A$3:$B$218,2,FALSE))</f>
        <v/>
      </c>
      <c r="BG30" s="62" t="str">
        <f>IF(BG29="","",VLOOKUP(BG29,'Tech Tree Node Parameters'!$A$3:$B$218,2,FALSE))</f>
        <v/>
      </c>
      <c r="BH30" s="62" t="str">
        <f>IF(BH29="","",VLOOKUP(BH29,'Tech Tree Node Parameters'!$A$3:$B$218,2,FALSE))</f>
        <v/>
      </c>
      <c r="BI30" s="62" t="str">
        <f>IF(BI29="","",VLOOKUP(BI29,'Tech Tree Node Parameters'!$A$3:$B$218,2,FALSE))</f>
        <v/>
      </c>
      <c r="BJ30" s="62" t="str">
        <f>IF(BJ29="","",VLOOKUP(BJ29,'Tech Tree Node Parameters'!$A$3:$B$218,2,FALSE))</f>
        <v/>
      </c>
      <c r="BK30" s="62" t="str">
        <f>IF(BK29="","",VLOOKUP(BK29,'Tech Tree Node Parameters'!$A$3:$B$218,2,FALSE))</f>
        <v/>
      </c>
      <c r="BL30" s="62" t="str">
        <f>IF(BL29="","",VLOOKUP(BL29,'Tech Tree Node Parameters'!$A$3:$B$218,2,FALSE))</f>
        <v/>
      </c>
      <c r="BM30" s="62" t="str">
        <f>IF(BM29="","",VLOOKUP(BM29,'Tech Tree Node Parameters'!$A$3:$B$218,2,FALSE))</f>
        <v/>
      </c>
      <c r="BN30" s="62" t="str">
        <f>IF(BN29="","",VLOOKUP(BN29,'Tech Tree Node Parameters'!$A$3:$B$218,2,FALSE))</f>
        <v/>
      </c>
      <c r="BO30" s="62" t="str">
        <f>IF(BO29="","",VLOOKUP(BO29,'Tech Tree Node Parameters'!$A$3:$B$218,2,FALSE))</f>
        <v/>
      </c>
      <c r="BP30" s="62" t="str">
        <f>IF(BP29="","",VLOOKUP(BP29,'Tech Tree Node Parameters'!$A$3:$B$218,2,FALSE))</f>
        <v/>
      </c>
      <c r="BQ30" s="62" t="str">
        <f>IF(BQ29="","",VLOOKUP(BQ29,'Tech Tree Node Parameters'!$A$3:$B$218,2,FALSE))</f>
        <v/>
      </c>
      <c r="BR30" s="62" t="str">
        <f>IF(BR29="","",VLOOKUP(BR29,'Tech Tree Node Parameters'!$A$3:$B$218,2,FALSE))</f>
        <v/>
      </c>
      <c r="BS30" s="62" t="str">
        <f>IF(BS29="","",VLOOKUP(BS29,'Tech Tree Node Parameters'!$A$3:$B$218,2,FALSE))</f>
        <v/>
      </c>
      <c r="BT30" s="62" t="str">
        <f>IF(BT29="","",VLOOKUP(BT29,'Tech Tree Node Parameters'!$A$3:$B$218,2,FALSE))</f>
        <v/>
      </c>
      <c r="BU30" s="62" t="str">
        <f>IF(BU29="","",VLOOKUP(BU29,'Tech Tree Node Parameters'!$A$3:$B$218,2,FALSE))</f>
        <v/>
      </c>
      <c r="BV30" s="62" t="str">
        <f>IF(BV29="","",VLOOKUP(BV29,'Tech Tree Node Parameters'!$A$3:$B$218,2,FALSE))</f>
        <v/>
      </c>
      <c r="BW30" s="62" t="str">
        <f>IF(BW29="","",VLOOKUP(BW29,'Tech Tree Node Parameters'!$A$3:$B$218,2,FALSE))</f>
        <v/>
      </c>
      <c r="BX30" s="62" t="str">
        <f>IF(BX29="","",VLOOKUP(BX29,'Tech Tree Node Parameters'!$A$3:$B$218,2,FALSE))</f>
        <v/>
      </c>
      <c r="BY30" s="62" t="str">
        <f>IF(BY29="","",VLOOKUP(BY29,'Tech Tree Node Parameters'!$A$3:$B$218,2,FALSE))</f>
        <v/>
      </c>
      <c r="BZ30" s="62" t="str">
        <f>IF(BZ29="","",VLOOKUP(BZ29,'Tech Tree Node Parameters'!$A$3:$B$218,2,FALSE))</f>
        <v/>
      </c>
      <c r="CA30" s="62" t="str">
        <f>IF(CA29="","",VLOOKUP(CA29,'Tech Tree Node Parameters'!$A$3:$B$218,2,FALSE))</f>
        <v/>
      </c>
      <c r="CB30" s="62" t="str">
        <f>IF(CB29="","",VLOOKUP(CB29,'Tech Tree Node Parameters'!$A$3:$B$218,2,FALSE))</f>
        <v/>
      </c>
      <c r="CC30" s="62" t="str">
        <f>IF(CC29="","",VLOOKUP(CC29,'Tech Tree Node Parameters'!$A$3:$B$218,2,FALSE))</f>
        <v/>
      </c>
      <c r="CD30" s="62" t="str">
        <f>IF(CD29="","",VLOOKUP(CD29,'Tech Tree Node Parameters'!$A$3:$B$218,2,FALSE))</f>
        <v/>
      </c>
      <c r="CE30" s="62" t="str">
        <f>IF(CE29="","",VLOOKUP(CE29,'Tech Tree Node Parameters'!$A$3:$B$218,2,FALSE))</f>
        <v/>
      </c>
      <c r="CF30" s="62" t="str">
        <f>IF(CF29="","",VLOOKUP(CF29,'Tech Tree Node Parameters'!$A$3:$B$218,2,FALSE))</f>
        <v/>
      </c>
      <c r="CG30" s="62" t="str">
        <f>IF(CG29="","",VLOOKUP(CG29,'Tech Tree Node Parameters'!$A$3:$B$218,2,FALSE))</f>
        <v/>
      </c>
      <c r="CH30" s="62" t="str">
        <f>IF(CH29="","",VLOOKUP(CH29,'Tech Tree Node Parameters'!$A$3:$B$218,2,FALSE))</f>
        <v/>
      </c>
      <c r="CI30" s="62" t="str">
        <f>IF(CI29="","",VLOOKUP(CI29,'Tech Tree Node Parameters'!$A$3:$B$218,2,FALSE))</f>
        <v/>
      </c>
      <c r="CJ30" s="62" t="str">
        <f>IF(CJ29="","",VLOOKUP(CJ29,'Tech Tree Node Parameters'!$A$3:$B$218,2,FALSE))</f>
        <v/>
      </c>
      <c r="CK30" s="62" t="str">
        <f>IF(CK29="","",VLOOKUP(CK29,'Tech Tree Node Parameters'!$A$3:$B$218,2,FALSE))</f>
        <v/>
      </c>
      <c r="CL30" s="62" t="str">
        <f>IF(CL29="","",VLOOKUP(CL29,'Tech Tree Node Parameters'!$A$3:$B$218,2,FALSE))</f>
        <v/>
      </c>
      <c r="CM30" s="62" t="str">
        <f>IF(CM29="","",VLOOKUP(CM29,'Tech Tree Node Parameters'!$A$3:$B$218,2,FALSE))</f>
        <v/>
      </c>
      <c r="CN30" s="62" t="str">
        <f>IF(CN29="","",VLOOKUP(CN29,'Tech Tree Node Parameters'!$A$3:$B$218,2,FALSE))</f>
        <v/>
      </c>
      <c r="CO30" s="62" t="str">
        <f>IF(CO29="","",VLOOKUP(CO29,'Tech Tree Node Parameters'!$A$3:$B$218,2,FALSE))</f>
        <v/>
      </c>
      <c r="CP30" s="62" t="str">
        <f>IF(CP29="","",VLOOKUP(CP29,'Tech Tree Node Parameters'!$A$3:$B$218,2,FALSE))</f>
        <v/>
      </c>
      <c r="CQ30" s="62" t="str">
        <f>IF(CQ29="","",VLOOKUP(CQ29,'Tech Tree Node Parameters'!$A$3:$B$218,2,FALSE))</f>
        <v/>
      </c>
      <c r="CR30" s="62" t="str">
        <f>IF(CR29="","",VLOOKUP(CR29,'Tech Tree Node Parameters'!$A$3:$B$218,2,FALSE))</f>
        <v/>
      </c>
      <c r="CS30" s="62" t="str">
        <f>IF(CS29="","",VLOOKUP(CS29,'Tech Tree Node Parameters'!$A$3:$B$218,2,FALSE))</f>
        <v/>
      </c>
      <c r="CT30" s="62" t="str">
        <f>IF(CT29="","",VLOOKUP(CT29,'Tech Tree Node Parameters'!$A$3:$B$218,2,FALSE))</f>
        <v/>
      </c>
      <c r="CU30" s="62" t="str">
        <f>IF(CU29="","",VLOOKUP(CU29,'Tech Tree Node Parameters'!$A$3:$B$218,2,FALSE))</f>
        <v/>
      </c>
      <c r="CV30" s="62" t="str">
        <f>IF(CV29="","",VLOOKUP(CV29,'Tech Tree Node Parameters'!$A$3:$B$218,2,FALSE))</f>
        <v/>
      </c>
      <c r="CW30" s="62" t="str">
        <f>IF(CW29="","",VLOOKUP(CW29,'Tech Tree Node Parameters'!$A$3:$B$218,2,FALSE))</f>
        <v/>
      </c>
      <c r="CX30" s="62" t="str">
        <f>IF(CX29="","",VLOOKUP(CX29,'Tech Tree Node Parameters'!$A$3:$B$218,2,FALSE))</f>
        <v/>
      </c>
      <c r="CY30" s="36" t="str">
        <f>IF(CY29="","",VLOOKUP(CY29,'Tech Tree Node Parameters'!$A$3:$B$218,2,FALSE))</f>
        <v/>
      </c>
    </row>
    <row r="31" spans="1:103" s="47" customFormat="1" x14ac:dyDescent="0.25">
      <c r="A31" s="72">
        <f t="shared" si="9"/>
        <v>48</v>
      </c>
      <c r="B31" s="69">
        <f>B33+$D$6</f>
        <v>1861</v>
      </c>
      <c r="C31" s="39"/>
      <c r="D31" s="61"/>
      <c r="E31" s="61"/>
      <c r="F31" s="61"/>
      <c r="G31" s="61"/>
      <c r="H31" s="61"/>
      <c r="I31" s="61"/>
      <c r="J31" s="61"/>
      <c r="K31" s="61"/>
      <c r="L31" s="61"/>
      <c r="M31" s="61"/>
      <c r="N31" s="61"/>
      <c r="O31" s="61"/>
      <c r="P31" s="61"/>
      <c r="Q31" s="61"/>
      <c r="R31" s="61"/>
      <c r="S31" s="61"/>
      <c r="T31" s="61"/>
      <c r="U31" s="61"/>
      <c r="V31" s="61"/>
      <c r="W31" s="61"/>
      <c r="X31" s="61"/>
      <c r="Y31" s="61"/>
      <c r="Z31" s="61"/>
      <c r="AA31" s="61"/>
      <c r="AB31" s="61"/>
      <c r="AC31" s="61"/>
      <c r="AD31" s="61"/>
      <c r="AE31" s="61"/>
      <c r="AF31" s="61"/>
      <c r="AG31" s="61"/>
      <c r="AH31" s="61"/>
      <c r="AI31" s="61"/>
      <c r="AJ31" s="61"/>
      <c r="AK31" s="61" t="s">
        <v>37</v>
      </c>
      <c r="AL31" s="61"/>
      <c r="AM31" s="61" t="s">
        <v>33</v>
      </c>
      <c r="AN31" s="61"/>
      <c r="AO31" s="61" t="s">
        <v>377</v>
      </c>
      <c r="AP31" s="61"/>
      <c r="AQ31" s="61" t="s">
        <v>123</v>
      </c>
      <c r="AR31" s="61"/>
      <c r="AS31" s="61"/>
      <c r="AT31" s="61"/>
      <c r="AU31" s="61"/>
      <c r="AV31" s="61"/>
      <c r="AW31" s="61" t="s">
        <v>468</v>
      </c>
      <c r="AX31" s="61"/>
      <c r="AY31" s="61" t="s">
        <v>154</v>
      </c>
      <c r="AZ31" s="61"/>
      <c r="BA31" s="61" t="s">
        <v>93</v>
      </c>
      <c r="BB31" s="61"/>
      <c r="BC31" s="61" t="s">
        <v>259</v>
      </c>
      <c r="BD31" s="61"/>
      <c r="BE31" s="61" t="s">
        <v>72</v>
      </c>
      <c r="BF31" s="61"/>
      <c r="BG31" s="61" t="s">
        <v>95</v>
      </c>
      <c r="BH31" s="61"/>
      <c r="BI31" s="61"/>
      <c r="BJ31" s="61"/>
      <c r="BK31" s="61"/>
      <c r="BL31" s="61"/>
      <c r="BM31" s="61"/>
      <c r="BN31" s="61"/>
      <c r="BO31" s="61"/>
      <c r="BP31" s="61"/>
      <c r="BQ31" s="61"/>
      <c r="BR31" s="61"/>
      <c r="BS31" s="61"/>
      <c r="BT31" s="61"/>
      <c r="BU31" s="61"/>
      <c r="BV31" s="61"/>
      <c r="BW31" s="61"/>
      <c r="BX31" s="61"/>
      <c r="BY31" s="61"/>
      <c r="BZ31" s="61"/>
      <c r="CA31" s="61"/>
      <c r="CB31" s="61"/>
      <c r="CC31" s="61"/>
      <c r="CD31" s="61"/>
      <c r="CE31" s="61"/>
      <c r="CF31" s="61"/>
      <c r="CG31" s="61"/>
      <c r="CH31" s="61"/>
      <c r="CI31" s="61"/>
      <c r="CJ31" s="61"/>
      <c r="CK31" s="61"/>
      <c r="CL31" s="61"/>
      <c r="CM31" s="61"/>
      <c r="CN31" s="61"/>
      <c r="CO31" s="61"/>
      <c r="CP31" s="61"/>
      <c r="CQ31" s="61"/>
      <c r="CR31" s="61"/>
      <c r="CS31" s="61"/>
      <c r="CT31" s="61"/>
      <c r="CU31" s="61"/>
      <c r="CV31" s="61"/>
      <c r="CW31" s="61"/>
      <c r="CX31" s="61"/>
      <c r="CY31" s="35"/>
    </row>
    <row r="32" spans="1:103" s="47" customFormat="1" x14ac:dyDescent="0.25">
      <c r="A32" s="72"/>
      <c r="B32" s="70"/>
      <c r="C32" s="40"/>
      <c r="D32" s="62" t="str">
        <f>IF(D31="","",VLOOKUP(D31,'Tech Tree Node Parameters'!$A$3:$B$218,2,FALSE))</f>
        <v/>
      </c>
      <c r="E32" s="62" t="str">
        <f>IF(E31="","",VLOOKUP(E31,'Tech Tree Node Parameters'!$A$3:$B$218,2,FALSE))</f>
        <v/>
      </c>
      <c r="F32" s="62" t="str">
        <f>IF(F31="","",VLOOKUP(F31,'Tech Tree Node Parameters'!$A$3:$B$218,2,FALSE))</f>
        <v/>
      </c>
      <c r="G32" s="62" t="str">
        <f>IF(G31="","",VLOOKUP(G31,'Tech Tree Node Parameters'!$A$3:$B$218,2,FALSE))</f>
        <v/>
      </c>
      <c r="H32" s="62" t="str">
        <f>IF(H31="","",VLOOKUP(H31,'Tech Tree Node Parameters'!$A$3:$B$218,2,FALSE))</f>
        <v/>
      </c>
      <c r="I32" s="62" t="str">
        <f>IF(I31="","",VLOOKUP(I31,'Tech Tree Node Parameters'!$A$3:$B$218,2,FALSE))</f>
        <v/>
      </c>
      <c r="J32" s="62" t="str">
        <f>IF(J31="","",VLOOKUP(J31,'Tech Tree Node Parameters'!$A$3:$B$218,2,FALSE))</f>
        <v/>
      </c>
      <c r="K32" s="62" t="str">
        <f>IF(K31="","",VLOOKUP(K31,'Tech Tree Node Parameters'!$A$3:$B$218,2,FALSE))</f>
        <v/>
      </c>
      <c r="L32" s="62" t="str">
        <f>IF(L31="","",VLOOKUP(L31,'Tech Tree Node Parameters'!$A$3:$B$218,2,FALSE))</f>
        <v/>
      </c>
      <c r="M32" s="62" t="str">
        <f>IF(M31="","",VLOOKUP(M31,'Tech Tree Node Parameters'!$A$3:$B$218,2,FALSE))</f>
        <v/>
      </c>
      <c r="N32" s="62" t="str">
        <f>IF(N31="","",VLOOKUP(N31,'Tech Tree Node Parameters'!$A$3:$B$218,2,FALSE))</f>
        <v/>
      </c>
      <c r="O32" s="62" t="str">
        <f>IF(O31="","",VLOOKUP(O31,'Tech Tree Node Parameters'!$A$3:$B$218,2,FALSE))</f>
        <v/>
      </c>
      <c r="P32" s="62" t="str">
        <f>IF(P31="","",VLOOKUP(P31,'Tech Tree Node Parameters'!$A$3:$B$218,2,FALSE))</f>
        <v/>
      </c>
      <c r="Q32" s="62" t="str">
        <f>IF(Q31="","",VLOOKUP(Q31,'Tech Tree Node Parameters'!$A$3:$B$218,2,FALSE))</f>
        <v/>
      </c>
      <c r="R32" s="62" t="str">
        <f>IF(R31="","",VLOOKUP(R31,'Tech Tree Node Parameters'!$A$3:$B$218,2,FALSE))</f>
        <v/>
      </c>
      <c r="S32" s="62" t="str">
        <f>IF(S31="","",VLOOKUP(S31,'Tech Tree Node Parameters'!$A$3:$B$218,2,FALSE))</f>
        <v/>
      </c>
      <c r="T32" s="62" t="str">
        <f>IF(T31="","",VLOOKUP(T31,'Tech Tree Node Parameters'!$A$3:$B$218,2,FALSE))</f>
        <v/>
      </c>
      <c r="U32" s="62" t="str">
        <f>IF(U31="","",VLOOKUP(U31,'Tech Tree Node Parameters'!$A$3:$B$218,2,FALSE))</f>
        <v/>
      </c>
      <c r="V32" s="62" t="str">
        <f>IF(V31="","",VLOOKUP(V31,'Tech Tree Node Parameters'!$A$3:$B$218,2,FALSE))</f>
        <v/>
      </c>
      <c r="W32" s="62" t="str">
        <f>IF(W31="","",VLOOKUP(W31,'Tech Tree Node Parameters'!$A$3:$B$218,2,FALSE))</f>
        <v/>
      </c>
      <c r="X32" s="62" t="str">
        <f>IF(X31="","",VLOOKUP(X31,'Tech Tree Node Parameters'!$A$3:$B$218,2,FALSE))</f>
        <v/>
      </c>
      <c r="Y32" s="62" t="str">
        <f>IF(Y31="","",VLOOKUP(Y31,'Tech Tree Node Parameters'!$A$3:$B$218,2,FALSE))</f>
        <v/>
      </c>
      <c r="Z32" s="62" t="str">
        <f>IF(Z31="","",VLOOKUP(Z31,'Tech Tree Node Parameters'!$A$3:$B$218,2,FALSE))</f>
        <v/>
      </c>
      <c r="AA32" s="62" t="str">
        <f>IF(AA31="","",VLOOKUP(AA31,'Tech Tree Node Parameters'!$A$3:$B$218,2,FALSE))</f>
        <v/>
      </c>
      <c r="AB32" s="62" t="str">
        <f>IF(AB31="","",VLOOKUP(AB31,'Tech Tree Node Parameters'!$A$3:$B$218,2,FALSE))</f>
        <v/>
      </c>
      <c r="AC32" s="62" t="str">
        <f>IF(AC31="","",VLOOKUP(AC31,'Tech Tree Node Parameters'!$A$3:$B$218,2,FALSE))</f>
        <v/>
      </c>
      <c r="AD32" s="62" t="str">
        <f>IF(AD31="","",VLOOKUP(AD31,'Tech Tree Node Parameters'!$A$3:$B$218,2,FALSE))</f>
        <v/>
      </c>
      <c r="AE32" s="62" t="str">
        <f>IF(AE31="","",VLOOKUP(AE31,'Tech Tree Node Parameters'!$A$3:$B$218,2,FALSE))</f>
        <v/>
      </c>
      <c r="AF32" s="62" t="str">
        <f>IF(AF31="","",VLOOKUP(AF31,'Tech Tree Node Parameters'!$A$3:$B$218,2,FALSE))</f>
        <v/>
      </c>
      <c r="AG32" s="62" t="str">
        <f>IF(AG31="","",VLOOKUP(AG31,'Tech Tree Node Parameters'!$A$3:$B$218,2,FALSE))</f>
        <v/>
      </c>
      <c r="AH32" s="62" t="str">
        <f>IF(AH31="","",VLOOKUP(AH31,'Tech Tree Node Parameters'!$A$3:$B$218,2,FALSE))</f>
        <v/>
      </c>
      <c r="AI32" s="62" t="str">
        <f>IF(AI31="","",VLOOKUP(AI31,'Tech Tree Node Parameters'!$A$3:$B$218,2,FALSE))</f>
        <v/>
      </c>
      <c r="AJ32" s="62" t="str">
        <f>IF(AJ31="","",VLOOKUP(AJ31,'Tech Tree Node Parameters'!$A$3:$B$218,2,FALSE))</f>
        <v/>
      </c>
      <c r="AK32" s="62" t="str">
        <f>IF(AK31="","",VLOOKUP(AK31,'Tech Tree Node Parameters'!$A$3:$B$218,2,FALSE))</f>
        <v>Fusion Power</v>
      </c>
      <c r="AL32" s="62" t="str">
        <f>IF(AL31="","",VLOOKUP(AL31,'Tech Tree Node Parameters'!$A$3:$B$218,2,FALSE))</f>
        <v/>
      </c>
      <c r="AM32" s="62" t="str">
        <f>IF(AM31="","",VLOOKUP(AM31,'Tech Tree Node Parameters'!$A$3:$B$218,2,FALSE))</f>
        <v>Advanced Nuclear Propulsion</v>
      </c>
      <c r="AN32" s="62" t="str">
        <f>IF(AN31="","",VLOOKUP(AN31,'Tech Tree Node Parameters'!$A$3:$B$218,2,FALSE))</f>
        <v/>
      </c>
      <c r="AO32" s="62" t="str">
        <f>IF(AO31="","",VLOOKUP(AO31,'Tech Tree Node Parameters'!$A$3:$B$218,2,FALSE))</f>
        <v>Experimental Nuclear Power</v>
      </c>
      <c r="AP32" s="62" t="str">
        <f>IF(AP31="","",VLOOKUP(AP31,'Tech Tree Node Parameters'!$A$3:$B$218,2,FALSE))</f>
        <v/>
      </c>
      <c r="AQ32" s="62" t="str">
        <f>IF(AQ31="","",VLOOKUP(AQ31,'Tech Tree Node Parameters'!$A$3:$B$218,2,FALSE))</f>
        <v>Ultra-high Bypass Turbofan Engines</v>
      </c>
      <c r="AR32" s="62" t="str">
        <f>IF(AR31="","",VLOOKUP(AR31,'Tech Tree Node Parameters'!$A$3:$B$218,2,FALSE))</f>
        <v/>
      </c>
      <c r="AS32" s="62" t="str">
        <f>IF(AS31="","",VLOOKUP(AS31,'Tech Tree Node Parameters'!$A$3:$B$218,2,FALSE))</f>
        <v/>
      </c>
      <c r="AT32" s="62" t="str">
        <f>IF(AT31="","",VLOOKUP(AT31,'Tech Tree Node Parameters'!$A$3:$B$218,2,FALSE))</f>
        <v/>
      </c>
      <c r="AU32" s="62" t="str">
        <f>IF(AU31="","",VLOOKUP(AU31,'Tech Tree Node Parameters'!$A$3:$B$218,2,FALSE))</f>
        <v/>
      </c>
      <c r="AV32" s="62" t="str">
        <f>IF(AV31="","",VLOOKUP(AV31,'Tech Tree Node Parameters'!$A$3:$B$218,2,FALSE))</f>
        <v/>
      </c>
      <c r="AW32" s="62" t="str">
        <f>IF(AW31="","",VLOOKUP(AW31,'Tech Tree Node Parameters'!$A$3:$B$218,2,FALSE))</f>
        <v>Advanced RCS</v>
      </c>
      <c r="AX32" s="62" t="str">
        <f>IF(AX31="","",VLOOKUP(AX31,'Tech Tree Node Parameters'!$A$3:$B$218,2,FALSE))</f>
        <v/>
      </c>
      <c r="AY32" s="62" t="str">
        <f>IF(AY31="","",VLOOKUP(AY31,'Tech Tree Node Parameters'!$A$3:$B$218,2,FALSE))</f>
        <v>Specialized Control</v>
      </c>
      <c r="AZ32" s="62" t="str">
        <f>IF(AZ31="","",VLOOKUP(AZ31,'Tech Tree Node Parameters'!$A$3:$B$218,2,FALSE))</f>
        <v/>
      </c>
      <c r="BA32" s="62" t="str">
        <f>IF(BA31="","",VLOOKUP(BA31,'Tech Tree Node Parameters'!$A$3:$B$218,2,FALSE))</f>
        <v>Subsonic Aerodynamics</v>
      </c>
      <c r="BB32" s="62" t="str">
        <f>IF(BB31="","",VLOOKUP(BB31,'Tech Tree Node Parameters'!$A$3:$B$218,2,FALSE))</f>
        <v/>
      </c>
      <c r="BC32" s="62" t="str">
        <f>IF(BC31="","",VLOOKUP(BC31,'Tech Tree Node Parameters'!$A$3:$B$218,2,FALSE))</f>
        <v>Small Fairings</v>
      </c>
      <c r="BD32" s="62" t="str">
        <f>IF(BD31="","",VLOOKUP(BD31,'Tech Tree Node Parameters'!$A$3:$B$218,2,FALSE))</f>
        <v/>
      </c>
      <c r="BE32" s="62" t="str">
        <f>IF(BE31="","",VLOOKUP(BE31,'Tech Tree Node Parameters'!$A$3:$B$218,2,FALSE))</f>
        <v>Basic Landing Gear</v>
      </c>
      <c r="BF32" s="62" t="str">
        <f>IF(BF31="","",VLOOKUP(BF31,'Tech Tree Node Parameters'!$A$3:$B$218,2,FALSE))</f>
        <v/>
      </c>
      <c r="BG32" s="62" t="str">
        <f>IF(BG31="","",VLOOKUP(BG31,'Tech Tree Node Parameters'!$A$3:$B$218,2,FALSE))</f>
        <v>Aerospace Technologies</v>
      </c>
      <c r="BH32" s="62" t="str">
        <f>IF(BH31="","",VLOOKUP(BH31,'Tech Tree Node Parameters'!$A$3:$B$218,2,FALSE))</f>
        <v/>
      </c>
      <c r="BI32" s="62" t="str">
        <f>IF(BI31="","",VLOOKUP(BI31,'Tech Tree Node Parameters'!$A$3:$B$218,2,FALSE))</f>
        <v/>
      </c>
      <c r="BJ32" s="62" t="str">
        <f>IF(BJ31="","",VLOOKUP(BJ31,'Tech Tree Node Parameters'!$A$3:$B$218,2,FALSE))</f>
        <v/>
      </c>
      <c r="BK32" s="62" t="str">
        <f>IF(BK31="","",VLOOKUP(BK31,'Tech Tree Node Parameters'!$A$3:$B$218,2,FALSE))</f>
        <v/>
      </c>
      <c r="BL32" s="62" t="str">
        <f>IF(BL31="","",VLOOKUP(BL31,'Tech Tree Node Parameters'!$A$3:$B$218,2,FALSE))</f>
        <v/>
      </c>
      <c r="BM32" s="62" t="str">
        <f>IF(BM31="","",VLOOKUP(BM31,'Tech Tree Node Parameters'!$A$3:$B$218,2,FALSE))</f>
        <v/>
      </c>
      <c r="BN32" s="62" t="str">
        <f>IF(BN31="","",VLOOKUP(BN31,'Tech Tree Node Parameters'!$A$3:$B$218,2,FALSE))</f>
        <v/>
      </c>
      <c r="BO32" s="62" t="str">
        <f>IF(BO31="","",VLOOKUP(BO31,'Tech Tree Node Parameters'!$A$3:$B$218,2,FALSE))</f>
        <v/>
      </c>
      <c r="BP32" s="62" t="str">
        <f>IF(BP31="","",VLOOKUP(BP31,'Tech Tree Node Parameters'!$A$3:$B$218,2,FALSE))</f>
        <v/>
      </c>
      <c r="BQ32" s="62" t="str">
        <f>IF(BQ31="","",VLOOKUP(BQ31,'Tech Tree Node Parameters'!$A$3:$B$218,2,FALSE))</f>
        <v/>
      </c>
      <c r="BR32" s="62" t="str">
        <f>IF(BR31="","",VLOOKUP(BR31,'Tech Tree Node Parameters'!$A$3:$B$218,2,FALSE))</f>
        <v/>
      </c>
      <c r="BS32" s="62" t="str">
        <f>IF(BS31="","",VLOOKUP(BS31,'Tech Tree Node Parameters'!$A$3:$B$218,2,FALSE))</f>
        <v/>
      </c>
      <c r="BT32" s="62" t="str">
        <f>IF(BT31="","",VLOOKUP(BT31,'Tech Tree Node Parameters'!$A$3:$B$218,2,FALSE))</f>
        <v/>
      </c>
      <c r="BU32" s="62" t="str">
        <f>IF(BU31="","",VLOOKUP(BU31,'Tech Tree Node Parameters'!$A$3:$B$218,2,FALSE))</f>
        <v/>
      </c>
      <c r="BV32" s="62" t="str">
        <f>IF(BV31="","",VLOOKUP(BV31,'Tech Tree Node Parameters'!$A$3:$B$218,2,FALSE))</f>
        <v/>
      </c>
      <c r="BW32" s="62" t="str">
        <f>IF(BW31="","",VLOOKUP(BW31,'Tech Tree Node Parameters'!$A$3:$B$218,2,FALSE))</f>
        <v/>
      </c>
      <c r="BX32" s="62" t="str">
        <f>IF(BX31="","",VLOOKUP(BX31,'Tech Tree Node Parameters'!$A$3:$B$218,2,FALSE))</f>
        <v/>
      </c>
      <c r="BY32" s="62" t="str">
        <f>IF(BY31="","",VLOOKUP(BY31,'Tech Tree Node Parameters'!$A$3:$B$218,2,FALSE))</f>
        <v/>
      </c>
      <c r="BZ32" s="62" t="str">
        <f>IF(BZ31="","",VLOOKUP(BZ31,'Tech Tree Node Parameters'!$A$3:$B$218,2,FALSE))</f>
        <v/>
      </c>
      <c r="CA32" s="62" t="str">
        <f>IF(CA31="","",VLOOKUP(CA31,'Tech Tree Node Parameters'!$A$3:$B$218,2,FALSE))</f>
        <v/>
      </c>
      <c r="CB32" s="62" t="str">
        <f>IF(CB31="","",VLOOKUP(CB31,'Tech Tree Node Parameters'!$A$3:$B$218,2,FALSE))</f>
        <v/>
      </c>
      <c r="CC32" s="62" t="str">
        <f>IF(CC31="","",VLOOKUP(CC31,'Tech Tree Node Parameters'!$A$3:$B$218,2,FALSE))</f>
        <v/>
      </c>
      <c r="CD32" s="62" t="str">
        <f>IF(CD31="","",VLOOKUP(CD31,'Tech Tree Node Parameters'!$A$3:$B$218,2,FALSE))</f>
        <v/>
      </c>
      <c r="CE32" s="62" t="str">
        <f>IF(CE31="","",VLOOKUP(CE31,'Tech Tree Node Parameters'!$A$3:$B$218,2,FALSE))</f>
        <v/>
      </c>
      <c r="CF32" s="62" t="str">
        <f>IF(CF31="","",VLOOKUP(CF31,'Tech Tree Node Parameters'!$A$3:$B$218,2,FALSE))</f>
        <v/>
      </c>
      <c r="CG32" s="62" t="str">
        <f>IF(CG31="","",VLOOKUP(CG31,'Tech Tree Node Parameters'!$A$3:$B$218,2,FALSE))</f>
        <v/>
      </c>
      <c r="CH32" s="62" t="str">
        <f>IF(CH31="","",VLOOKUP(CH31,'Tech Tree Node Parameters'!$A$3:$B$218,2,FALSE))</f>
        <v/>
      </c>
      <c r="CI32" s="62" t="str">
        <f>IF(CI31="","",VLOOKUP(CI31,'Tech Tree Node Parameters'!$A$3:$B$218,2,FALSE))</f>
        <v/>
      </c>
      <c r="CJ32" s="62" t="str">
        <f>IF(CJ31="","",VLOOKUP(CJ31,'Tech Tree Node Parameters'!$A$3:$B$218,2,FALSE))</f>
        <v/>
      </c>
      <c r="CK32" s="62" t="str">
        <f>IF(CK31="","",VLOOKUP(CK31,'Tech Tree Node Parameters'!$A$3:$B$218,2,FALSE))</f>
        <v/>
      </c>
      <c r="CL32" s="62" t="str">
        <f>IF(CL31="","",VLOOKUP(CL31,'Tech Tree Node Parameters'!$A$3:$B$218,2,FALSE))</f>
        <v/>
      </c>
      <c r="CM32" s="62" t="str">
        <f>IF(CM31="","",VLOOKUP(CM31,'Tech Tree Node Parameters'!$A$3:$B$218,2,FALSE))</f>
        <v/>
      </c>
      <c r="CN32" s="62" t="str">
        <f>IF(CN31="","",VLOOKUP(CN31,'Tech Tree Node Parameters'!$A$3:$B$218,2,FALSE))</f>
        <v/>
      </c>
      <c r="CO32" s="62" t="str">
        <f>IF(CO31="","",VLOOKUP(CO31,'Tech Tree Node Parameters'!$A$3:$B$218,2,FALSE))</f>
        <v/>
      </c>
      <c r="CP32" s="62" t="str">
        <f>IF(CP31="","",VLOOKUP(CP31,'Tech Tree Node Parameters'!$A$3:$B$218,2,FALSE))</f>
        <v/>
      </c>
      <c r="CQ32" s="62" t="str">
        <f>IF(CQ31="","",VLOOKUP(CQ31,'Tech Tree Node Parameters'!$A$3:$B$218,2,FALSE))</f>
        <v/>
      </c>
      <c r="CR32" s="62" t="str">
        <f>IF(CR31="","",VLOOKUP(CR31,'Tech Tree Node Parameters'!$A$3:$B$218,2,FALSE))</f>
        <v/>
      </c>
      <c r="CS32" s="62" t="str">
        <f>IF(CS31="","",VLOOKUP(CS31,'Tech Tree Node Parameters'!$A$3:$B$218,2,FALSE))</f>
        <v/>
      </c>
      <c r="CT32" s="62" t="str">
        <f>IF(CT31="","",VLOOKUP(CT31,'Tech Tree Node Parameters'!$A$3:$B$218,2,FALSE))</f>
        <v/>
      </c>
      <c r="CU32" s="62" t="str">
        <f>IF(CU31="","",VLOOKUP(CU31,'Tech Tree Node Parameters'!$A$3:$B$218,2,FALSE))</f>
        <v/>
      </c>
      <c r="CV32" s="62" t="str">
        <f>IF(CV31="","",VLOOKUP(CV31,'Tech Tree Node Parameters'!$A$3:$B$218,2,FALSE))</f>
        <v/>
      </c>
      <c r="CW32" s="62" t="str">
        <f>IF(CW31="","",VLOOKUP(CW31,'Tech Tree Node Parameters'!$A$3:$B$218,2,FALSE))</f>
        <v/>
      </c>
      <c r="CX32" s="62" t="str">
        <f>IF(CX31="","",VLOOKUP(CX31,'Tech Tree Node Parameters'!$A$3:$B$218,2,FALSE))</f>
        <v/>
      </c>
      <c r="CY32" s="36" t="str">
        <f>IF(CY31="","",VLOOKUP(CY31,'Tech Tree Node Parameters'!$A$3:$B$218,2,FALSE))</f>
        <v/>
      </c>
    </row>
    <row r="33" spans="1:103" s="47" customFormat="1" x14ac:dyDescent="0.25">
      <c r="A33" s="72">
        <f t="shared" si="9"/>
        <v>47</v>
      </c>
      <c r="B33" s="69">
        <f>B35+$D$6</f>
        <v>1823</v>
      </c>
      <c r="C33" s="39"/>
      <c r="D33" s="61"/>
      <c r="E33" s="61"/>
      <c r="F33" s="61"/>
      <c r="G33" s="61"/>
      <c r="H33" s="61"/>
      <c r="I33" s="61"/>
      <c r="J33" s="61"/>
      <c r="K33" s="61"/>
      <c r="L33" s="61"/>
      <c r="M33" s="61"/>
      <c r="N33" s="61"/>
      <c r="O33" s="61"/>
      <c r="P33" s="61"/>
      <c r="Q33" s="61"/>
      <c r="R33" s="61"/>
      <c r="S33" s="61"/>
      <c r="T33" s="61"/>
      <c r="U33" s="61"/>
      <c r="V33" s="61"/>
      <c r="W33" s="61"/>
      <c r="X33" s="61"/>
      <c r="Y33" s="61"/>
      <c r="Z33" s="61"/>
      <c r="AA33" s="61"/>
      <c r="AB33" s="61"/>
      <c r="AC33" s="61"/>
      <c r="AD33" s="61"/>
      <c r="AE33" s="61"/>
      <c r="AF33" s="61"/>
      <c r="AG33" s="61"/>
      <c r="AH33" s="61"/>
      <c r="AI33" s="61"/>
      <c r="AJ33" s="61"/>
      <c r="AK33" s="61"/>
      <c r="AL33" s="61"/>
      <c r="AM33" s="61"/>
      <c r="AN33" s="61"/>
      <c r="AO33" s="61"/>
      <c r="AP33" s="61"/>
      <c r="AQ33" s="61"/>
      <c r="AR33" s="61"/>
      <c r="AS33" s="61"/>
      <c r="AT33" s="61"/>
      <c r="AU33" s="61"/>
      <c r="AV33" s="61"/>
      <c r="AW33" s="61"/>
      <c r="AX33" s="61"/>
      <c r="AY33" s="61"/>
      <c r="AZ33" s="61"/>
      <c r="BA33" s="61"/>
      <c r="BB33" s="61"/>
      <c r="BC33" s="61"/>
      <c r="BD33" s="61"/>
      <c r="BE33" s="61"/>
      <c r="BF33" s="61"/>
      <c r="BG33" s="61"/>
      <c r="BH33" s="61"/>
      <c r="BI33" s="61"/>
      <c r="BJ33" s="61"/>
      <c r="BK33" s="61"/>
      <c r="BL33" s="61"/>
      <c r="BM33" s="61"/>
      <c r="BN33" s="61"/>
      <c r="BO33" s="61"/>
      <c r="BP33" s="61"/>
      <c r="BQ33" s="61"/>
      <c r="BR33" s="61"/>
      <c r="BS33" s="61"/>
      <c r="BT33" s="61"/>
      <c r="BU33" s="61"/>
      <c r="BV33" s="61"/>
      <c r="BW33" s="61"/>
      <c r="BX33" s="61"/>
      <c r="BY33" s="61"/>
      <c r="BZ33" s="61"/>
      <c r="CA33" s="61"/>
      <c r="CB33" s="61"/>
      <c r="CC33" s="61"/>
      <c r="CD33" s="61"/>
      <c r="CE33" s="61"/>
      <c r="CF33" s="61"/>
      <c r="CG33" s="61"/>
      <c r="CH33" s="61"/>
      <c r="CI33" s="61"/>
      <c r="CJ33" s="61"/>
      <c r="CK33" s="61"/>
      <c r="CL33" s="61"/>
      <c r="CM33" s="61"/>
      <c r="CN33" s="61"/>
      <c r="CO33" s="61"/>
      <c r="CP33" s="61"/>
      <c r="CQ33" s="61"/>
      <c r="CR33" s="61"/>
      <c r="CS33" s="61"/>
      <c r="CT33" s="61"/>
      <c r="CU33" s="61"/>
      <c r="CV33" s="61"/>
      <c r="CW33" s="61"/>
      <c r="CX33" s="61"/>
      <c r="CY33" s="35"/>
    </row>
    <row r="34" spans="1:103" s="47" customFormat="1" x14ac:dyDescent="0.25">
      <c r="A34" s="72"/>
      <c r="B34" s="70"/>
      <c r="C34" s="40"/>
      <c r="D34" s="62" t="str">
        <f>IF(D33="","",VLOOKUP(D33,'Tech Tree Node Parameters'!$A$3:$B$218,2,FALSE))</f>
        <v/>
      </c>
      <c r="E34" s="62" t="str">
        <f>IF(E33="","",VLOOKUP(E33,'Tech Tree Node Parameters'!$A$3:$B$218,2,FALSE))</f>
        <v/>
      </c>
      <c r="F34" s="62" t="str">
        <f>IF(F33="","",VLOOKUP(F33,'Tech Tree Node Parameters'!$A$3:$B$218,2,FALSE))</f>
        <v/>
      </c>
      <c r="G34" s="62" t="str">
        <f>IF(G33="","",VLOOKUP(G33,'Tech Tree Node Parameters'!$A$3:$B$218,2,FALSE))</f>
        <v/>
      </c>
      <c r="H34" s="62" t="str">
        <f>IF(H33="","",VLOOKUP(H33,'Tech Tree Node Parameters'!$A$3:$B$218,2,FALSE))</f>
        <v/>
      </c>
      <c r="I34" s="62" t="str">
        <f>IF(I33="","",VLOOKUP(I33,'Tech Tree Node Parameters'!$A$3:$B$218,2,FALSE))</f>
        <v/>
      </c>
      <c r="J34" s="62" t="str">
        <f>IF(J33="","",VLOOKUP(J33,'Tech Tree Node Parameters'!$A$3:$B$218,2,FALSE))</f>
        <v/>
      </c>
      <c r="K34" s="62" t="str">
        <f>IF(K33="","",VLOOKUP(K33,'Tech Tree Node Parameters'!$A$3:$B$218,2,FALSE))</f>
        <v/>
      </c>
      <c r="L34" s="62" t="str">
        <f>IF(L33="","",VLOOKUP(L33,'Tech Tree Node Parameters'!$A$3:$B$218,2,FALSE))</f>
        <v/>
      </c>
      <c r="M34" s="62" t="str">
        <f>IF(M33="","",VLOOKUP(M33,'Tech Tree Node Parameters'!$A$3:$B$218,2,FALSE))</f>
        <v/>
      </c>
      <c r="N34" s="62" t="str">
        <f>IF(N33="","",VLOOKUP(N33,'Tech Tree Node Parameters'!$A$3:$B$218,2,FALSE))</f>
        <v/>
      </c>
      <c r="O34" s="62" t="str">
        <f>IF(O33="","",VLOOKUP(O33,'Tech Tree Node Parameters'!$A$3:$B$218,2,FALSE))</f>
        <v/>
      </c>
      <c r="P34" s="62" t="str">
        <f>IF(P33="","",VLOOKUP(P33,'Tech Tree Node Parameters'!$A$3:$B$218,2,FALSE))</f>
        <v/>
      </c>
      <c r="Q34" s="62" t="str">
        <f>IF(Q33="","",VLOOKUP(Q33,'Tech Tree Node Parameters'!$A$3:$B$218,2,FALSE))</f>
        <v/>
      </c>
      <c r="R34" s="62" t="str">
        <f>IF(R33="","",VLOOKUP(R33,'Tech Tree Node Parameters'!$A$3:$B$218,2,FALSE))</f>
        <v/>
      </c>
      <c r="S34" s="62" t="str">
        <f>IF(S33="","",VLOOKUP(S33,'Tech Tree Node Parameters'!$A$3:$B$218,2,FALSE))</f>
        <v/>
      </c>
      <c r="T34" s="62" t="str">
        <f>IF(T33="","",VLOOKUP(T33,'Tech Tree Node Parameters'!$A$3:$B$218,2,FALSE))</f>
        <v/>
      </c>
      <c r="U34" s="62" t="str">
        <f>IF(U33="","",VLOOKUP(U33,'Tech Tree Node Parameters'!$A$3:$B$218,2,FALSE))</f>
        <v/>
      </c>
      <c r="V34" s="62" t="str">
        <f>IF(V33="","",VLOOKUP(V33,'Tech Tree Node Parameters'!$A$3:$B$218,2,FALSE))</f>
        <v/>
      </c>
      <c r="W34" s="62" t="str">
        <f>IF(W33="","",VLOOKUP(W33,'Tech Tree Node Parameters'!$A$3:$B$218,2,FALSE))</f>
        <v/>
      </c>
      <c r="X34" s="62" t="str">
        <f>IF(X33="","",VLOOKUP(X33,'Tech Tree Node Parameters'!$A$3:$B$218,2,FALSE))</f>
        <v/>
      </c>
      <c r="Y34" s="62" t="str">
        <f>IF(Y33="","",VLOOKUP(Y33,'Tech Tree Node Parameters'!$A$3:$B$218,2,FALSE))</f>
        <v/>
      </c>
      <c r="Z34" s="62" t="str">
        <f>IF(Z33="","",VLOOKUP(Z33,'Tech Tree Node Parameters'!$A$3:$B$218,2,FALSE))</f>
        <v/>
      </c>
      <c r="AA34" s="62" t="str">
        <f>IF(AA33="","",VLOOKUP(AA33,'Tech Tree Node Parameters'!$A$3:$B$218,2,FALSE))</f>
        <v/>
      </c>
      <c r="AB34" s="62" t="str">
        <f>IF(AB33="","",VLOOKUP(AB33,'Tech Tree Node Parameters'!$A$3:$B$218,2,FALSE))</f>
        <v/>
      </c>
      <c r="AC34" s="62" t="str">
        <f>IF(AC33="","",VLOOKUP(AC33,'Tech Tree Node Parameters'!$A$3:$B$218,2,FALSE))</f>
        <v/>
      </c>
      <c r="AD34" s="62" t="str">
        <f>IF(AD33="","",VLOOKUP(AD33,'Tech Tree Node Parameters'!$A$3:$B$218,2,FALSE))</f>
        <v/>
      </c>
      <c r="AE34" s="62" t="str">
        <f>IF(AE33="","",VLOOKUP(AE33,'Tech Tree Node Parameters'!$A$3:$B$218,2,FALSE))</f>
        <v/>
      </c>
      <c r="AF34" s="62" t="str">
        <f>IF(AF33="","",VLOOKUP(AF33,'Tech Tree Node Parameters'!$A$3:$B$218,2,FALSE))</f>
        <v/>
      </c>
      <c r="AG34" s="62" t="str">
        <f>IF(AG33="","",VLOOKUP(AG33,'Tech Tree Node Parameters'!$A$3:$B$218,2,FALSE))</f>
        <v/>
      </c>
      <c r="AH34" s="62" t="str">
        <f>IF(AH33="","",VLOOKUP(AH33,'Tech Tree Node Parameters'!$A$3:$B$218,2,FALSE))</f>
        <v/>
      </c>
      <c r="AI34" s="62" t="str">
        <f>IF(AI33="","",VLOOKUP(AI33,'Tech Tree Node Parameters'!$A$3:$B$218,2,FALSE))</f>
        <v/>
      </c>
      <c r="AJ34" s="62" t="str">
        <f>IF(AJ33="","",VLOOKUP(AJ33,'Tech Tree Node Parameters'!$A$3:$B$218,2,FALSE))</f>
        <v/>
      </c>
      <c r="AK34" s="62" t="str">
        <f>IF(AK33="","",VLOOKUP(AK33,'Tech Tree Node Parameters'!$A$3:$B$218,2,FALSE))</f>
        <v/>
      </c>
      <c r="AL34" s="62" t="str">
        <f>IF(AL33="","",VLOOKUP(AL33,'Tech Tree Node Parameters'!$A$3:$B$218,2,FALSE))</f>
        <v/>
      </c>
      <c r="AM34" s="62" t="str">
        <f>IF(AM33="","",VLOOKUP(AM33,'Tech Tree Node Parameters'!$A$3:$B$218,2,FALSE))</f>
        <v/>
      </c>
      <c r="AN34" s="62" t="str">
        <f>IF(AN33="","",VLOOKUP(AN33,'Tech Tree Node Parameters'!$A$3:$B$218,2,FALSE))</f>
        <v/>
      </c>
      <c r="AO34" s="62" t="str">
        <f>IF(AO33="","",VLOOKUP(AO33,'Tech Tree Node Parameters'!$A$3:$B$218,2,FALSE))</f>
        <v/>
      </c>
      <c r="AP34" s="62" t="str">
        <f>IF(AP33="","",VLOOKUP(AP33,'Tech Tree Node Parameters'!$A$3:$B$218,2,FALSE))</f>
        <v/>
      </c>
      <c r="AQ34" s="62" t="str">
        <f>IF(AQ33="","",VLOOKUP(AQ33,'Tech Tree Node Parameters'!$A$3:$B$218,2,FALSE))</f>
        <v/>
      </c>
      <c r="AR34" s="62" t="str">
        <f>IF(AR33="","",VLOOKUP(AR33,'Tech Tree Node Parameters'!$A$3:$B$218,2,FALSE))</f>
        <v/>
      </c>
      <c r="AS34" s="62" t="str">
        <f>IF(AS33="","",VLOOKUP(AS33,'Tech Tree Node Parameters'!$A$3:$B$218,2,FALSE))</f>
        <v/>
      </c>
      <c r="AT34" s="62" t="str">
        <f>IF(AT33="","",VLOOKUP(AT33,'Tech Tree Node Parameters'!$A$3:$B$218,2,FALSE))</f>
        <v/>
      </c>
      <c r="AU34" s="62" t="str">
        <f>IF(AU33="","",VLOOKUP(AU33,'Tech Tree Node Parameters'!$A$3:$B$218,2,FALSE))</f>
        <v/>
      </c>
      <c r="AV34" s="62" t="str">
        <f>IF(AV33="","",VLOOKUP(AV33,'Tech Tree Node Parameters'!$A$3:$B$218,2,FALSE))</f>
        <v/>
      </c>
      <c r="AW34" s="62" t="str">
        <f>IF(AW33="","",VLOOKUP(AW33,'Tech Tree Node Parameters'!$A$3:$B$218,2,FALSE))</f>
        <v/>
      </c>
      <c r="AX34" s="62" t="str">
        <f>IF(AX33="","",VLOOKUP(AX33,'Tech Tree Node Parameters'!$A$3:$B$218,2,FALSE))</f>
        <v/>
      </c>
      <c r="AY34" s="62" t="str">
        <f>IF(AY33="","",VLOOKUP(AY33,'Tech Tree Node Parameters'!$A$3:$B$218,2,FALSE))</f>
        <v/>
      </c>
      <c r="AZ34" s="62" t="str">
        <f>IF(AZ33="","",VLOOKUP(AZ33,'Tech Tree Node Parameters'!$A$3:$B$218,2,FALSE))</f>
        <v/>
      </c>
      <c r="BA34" s="62" t="str">
        <f>IF(BA33="","",VLOOKUP(BA33,'Tech Tree Node Parameters'!$A$3:$B$218,2,FALSE))</f>
        <v/>
      </c>
      <c r="BB34" s="62" t="str">
        <f>IF(BB33="","",VLOOKUP(BB33,'Tech Tree Node Parameters'!$A$3:$B$218,2,FALSE))</f>
        <v/>
      </c>
      <c r="BC34" s="62" t="str">
        <f>IF(BC33="","",VLOOKUP(BC33,'Tech Tree Node Parameters'!$A$3:$B$218,2,FALSE))</f>
        <v/>
      </c>
      <c r="BD34" s="62" t="str">
        <f>IF(BD33="","",VLOOKUP(BD33,'Tech Tree Node Parameters'!$A$3:$B$218,2,FALSE))</f>
        <v/>
      </c>
      <c r="BE34" s="62" t="str">
        <f>IF(BE33="","",VLOOKUP(BE33,'Tech Tree Node Parameters'!$A$3:$B$218,2,FALSE))</f>
        <v/>
      </c>
      <c r="BF34" s="62" t="str">
        <f>IF(BF33="","",VLOOKUP(BF33,'Tech Tree Node Parameters'!$A$3:$B$218,2,FALSE))</f>
        <v/>
      </c>
      <c r="BG34" s="62" t="str">
        <f>IF(BG33="","",VLOOKUP(BG33,'Tech Tree Node Parameters'!$A$3:$B$218,2,FALSE))</f>
        <v/>
      </c>
      <c r="BH34" s="62" t="str">
        <f>IF(BH33="","",VLOOKUP(BH33,'Tech Tree Node Parameters'!$A$3:$B$218,2,FALSE))</f>
        <v/>
      </c>
      <c r="BI34" s="62" t="str">
        <f>IF(BI33="","",VLOOKUP(BI33,'Tech Tree Node Parameters'!$A$3:$B$218,2,FALSE))</f>
        <v/>
      </c>
      <c r="BJ34" s="62" t="str">
        <f>IF(BJ33="","",VLOOKUP(BJ33,'Tech Tree Node Parameters'!$A$3:$B$218,2,FALSE))</f>
        <v/>
      </c>
      <c r="BK34" s="62" t="str">
        <f>IF(BK33="","",VLOOKUP(BK33,'Tech Tree Node Parameters'!$A$3:$B$218,2,FALSE))</f>
        <v/>
      </c>
      <c r="BL34" s="62" t="str">
        <f>IF(BL33="","",VLOOKUP(BL33,'Tech Tree Node Parameters'!$A$3:$B$218,2,FALSE))</f>
        <v/>
      </c>
      <c r="BM34" s="62" t="str">
        <f>IF(BM33="","",VLOOKUP(BM33,'Tech Tree Node Parameters'!$A$3:$B$218,2,FALSE))</f>
        <v/>
      </c>
      <c r="BN34" s="62" t="str">
        <f>IF(BN33="","",VLOOKUP(BN33,'Tech Tree Node Parameters'!$A$3:$B$218,2,FALSE))</f>
        <v/>
      </c>
      <c r="BO34" s="62"/>
      <c r="BP34" s="62"/>
      <c r="BQ34" s="62"/>
      <c r="BR34" s="62" t="str">
        <f>IF(BR33="","",VLOOKUP(BR33,'Tech Tree Node Parameters'!$A$3:$B$218,2,FALSE))</f>
        <v/>
      </c>
      <c r="BS34" s="62" t="str">
        <f>IF(BS33="","",VLOOKUP(BS33,'Tech Tree Node Parameters'!$A$3:$B$218,2,FALSE))</f>
        <v/>
      </c>
      <c r="BT34" s="62" t="str">
        <f>IF(BT33="","",VLOOKUP(BT33,'Tech Tree Node Parameters'!$A$3:$B$218,2,FALSE))</f>
        <v/>
      </c>
      <c r="BU34" s="62" t="str">
        <f>IF(BU33="","",VLOOKUP(BU33,'Tech Tree Node Parameters'!$A$3:$B$218,2,FALSE))</f>
        <v/>
      </c>
      <c r="BV34" s="62" t="str">
        <f>IF(BV33="","",VLOOKUP(BV33,'Tech Tree Node Parameters'!$A$3:$B$218,2,FALSE))</f>
        <v/>
      </c>
      <c r="BW34" s="62" t="str">
        <f>IF(BW33="","",VLOOKUP(BW33,'Tech Tree Node Parameters'!$A$3:$B$218,2,FALSE))</f>
        <v/>
      </c>
      <c r="BX34" s="62" t="str">
        <f>IF(BX33="","",VLOOKUP(BX33,'Tech Tree Node Parameters'!$A$3:$B$218,2,FALSE))</f>
        <v/>
      </c>
      <c r="BY34" s="62" t="str">
        <f>IF(BY33="","",VLOOKUP(BY33,'Tech Tree Node Parameters'!$A$3:$B$218,2,FALSE))</f>
        <v/>
      </c>
      <c r="BZ34" s="62" t="str">
        <f>IF(BZ33="","",VLOOKUP(BZ33,'Tech Tree Node Parameters'!$A$3:$B$218,2,FALSE))</f>
        <v/>
      </c>
      <c r="CA34" s="62" t="str">
        <f>IF(CA33="","",VLOOKUP(CA33,'Tech Tree Node Parameters'!$A$3:$B$218,2,FALSE))</f>
        <v/>
      </c>
      <c r="CB34" s="62" t="str">
        <f>IF(CB33="","",VLOOKUP(CB33,'Tech Tree Node Parameters'!$A$3:$B$218,2,FALSE))</f>
        <v/>
      </c>
      <c r="CC34" s="62" t="str">
        <f>IF(CC33="","",VLOOKUP(CC33,'Tech Tree Node Parameters'!$A$3:$B$218,2,FALSE))</f>
        <v/>
      </c>
      <c r="CD34" s="62" t="str">
        <f>IF(CD33="","",VLOOKUP(CD33,'Tech Tree Node Parameters'!$A$3:$B$218,2,FALSE))</f>
        <v/>
      </c>
      <c r="CE34" s="62" t="str">
        <f>IF(CE33="","",VLOOKUP(CE33,'Tech Tree Node Parameters'!$A$3:$B$218,2,FALSE))</f>
        <v/>
      </c>
      <c r="CF34" s="62" t="str">
        <f>IF(CF33="","",VLOOKUP(CF33,'Tech Tree Node Parameters'!$A$3:$B$218,2,FALSE))</f>
        <v/>
      </c>
      <c r="CG34" s="62" t="str">
        <f>IF(CG33="","",VLOOKUP(CG33,'Tech Tree Node Parameters'!$A$3:$B$218,2,FALSE))</f>
        <v/>
      </c>
      <c r="CH34" s="62" t="str">
        <f>IF(CH33="","",VLOOKUP(CH33,'Tech Tree Node Parameters'!$A$3:$B$218,2,FALSE))</f>
        <v/>
      </c>
      <c r="CI34" s="62" t="str">
        <f>IF(CI33="","",VLOOKUP(CI33,'Tech Tree Node Parameters'!$A$3:$B$218,2,FALSE))</f>
        <v/>
      </c>
      <c r="CJ34" s="62" t="str">
        <f>IF(CJ33="","",VLOOKUP(CJ33,'Tech Tree Node Parameters'!$A$3:$B$218,2,FALSE))</f>
        <v/>
      </c>
      <c r="CK34" s="62" t="str">
        <f>IF(CK33="","",VLOOKUP(CK33,'Tech Tree Node Parameters'!$A$3:$B$218,2,FALSE))</f>
        <v/>
      </c>
      <c r="CL34" s="62" t="str">
        <f>IF(CL33="","",VLOOKUP(CL33,'Tech Tree Node Parameters'!$A$3:$B$218,2,FALSE))</f>
        <v/>
      </c>
      <c r="CM34" s="62" t="str">
        <f>IF(CM33="","",VLOOKUP(CM33,'Tech Tree Node Parameters'!$A$3:$B$218,2,FALSE))</f>
        <v/>
      </c>
      <c r="CN34" s="62" t="str">
        <f>IF(CN33="","",VLOOKUP(CN33,'Tech Tree Node Parameters'!$A$3:$B$218,2,FALSE))</f>
        <v/>
      </c>
      <c r="CO34" s="62" t="str">
        <f>IF(CO33="","",VLOOKUP(CO33,'Tech Tree Node Parameters'!$A$3:$B$218,2,FALSE))</f>
        <v/>
      </c>
      <c r="CP34" s="62" t="str">
        <f>IF(CP33="","",VLOOKUP(CP33,'Tech Tree Node Parameters'!$A$3:$B$218,2,FALSE))</f>
        <v/>
      </c>
      <c r="CQ34" s="62" t="str">
        <f>IF(CQ33="","",VLOOKUP(CQ33,'Tech Tree Node Parameters'!$A$3:$B$218,2,FALSE))</f>
        <v/>
      </c>
      <c r="CR34" s="62" t="str">
        <f>IF(CR33="","",VLOOKUP(CR33,'Tech Tree Node Parameters'!$A$3:$B$218,2,FALSE))</f>
        <v/>
      </c>
      <c r="CS34" s="62" t="str">
        <f>IF(CS33="","",VLOOKUP(CS33,'Tech Tree Node Parameters'!$A$3:$B$218,2,FALSE))</f>
        <v/>
      </c>
      <c r="CT34" s="62" t="str">
        <f>IF(CT33="","",VLOOKUP(CT33,'Tech Tree Node Parameters'!$A$3:$B$218,2,FALSE))</f>
        <v/>
      </c>
      <c r="CU34" s="62" t="str">
        <f>IF(CU33="","",VLOOKUP(CU33,'Tech Tree Node Parameters'!$A$3:$B$218,2,FALSE))</f>
        <v/>
      </c>
      <c r="CV34" s="62" t="str">
        <f>IF(CV33="","",VLOOKUP(CV33,'Tech Tree Node Parameters'!$A$3:$B$218,2,FALSE))</f>
        <v/>
      </c>
      <c r="CW34" s="62" t="str">
        <f>IF(CW33="","",VLOOKUP(CW33,'Tech Tree Node Parameters'!$A$3:$B$218,2,FALSE))</f>
        <v/>
      </c>
      <c r="CX34" s="62" t="str">
        <f>IF(CX33="","",VLOOKUP(CX33,'Tech Tree Node Parameters'!$A$3:$B$218,2,FALSE))</f>
        <v/>
      </c>
      <c r="CY34" s="36" t="str">
        <f>IF(CY33="","",VLOOKUP(CY33,'Tech Tree Node Parameters'!$A$3:$B$218,2,FALSE))</f>
        <v/>
      </c>
    </row>
    <row r="35" spans="1:103" s="47" customFormat="1" x14ac:dyDescent="0.25">
      <c r="A35" s="72">
        <f t="shared" ref="A35:A59" si="10">A37+1</f>
        <v>46</v>
      </c>
      <c r="B35" s="69">
        <f>B37+$D$6</f>
        <v>1785</v>
      </c>
      <c r="C35" s="39"/>
      <c r="D35" s="61"/>
      <c r="E35" s="61"/>
      <c r="F35" s="61"/>
      <c r="G35" s="61"/>
      <c r="H35" s="61"/>
      <c r="I35" s="61"/>
      <c r="J35" s="61"/>
      <c r="K35" s="61"/>
      <c r="L35" s="61"/>
      <c r="M35" s="61"/>
      <c r="N35" s="61"/>
      <c r="O35" s="61"/>
      <c r="P35" s="61"/>
      <c r="Q35" s="61"/>
      <c r="R35" s="61"/>
      <c r="S35" s="61"/>
      <c r="T35" s="61"/>
      <c r="U35" s="61"/>
      <c r="V35" s="61"/>
      <c r="W35" s="61"/>
      <c r="X35" s="61"/>
      <c r="Y35" s="61" t="s">
        <v>200</v>
      </c>
      <c r="Z35" s="61"/>
      <c r="AA35" s="61"/>
      <c r="AB35" s="61"/>
      <c r="AC35" s="61"/>
      <c r="AD35" s="61"/>
      <c r="AE35" s="61"/>
      <c r="AF35" s="61"/>
      <c r="AG35" s="61"/>
      <c r="AH35" s="61"/>
      <c r="AI35" s="61"/>
      <c r="AJ35" s="61"/>
      <c r="AK35" s="61"/>
      <c r="AL35" s="61"/>
      <c r="AM35" s="61" t="s">
        <v>30</v>
      </c>
      <c r="AN35" s="61"/>
      <c r="AO35" s="61" t="s">
        <v>28</v>
      </c>
      <c r="AP35" s="61"/>
      <c r="AQ35" s="61" t="s">
        <v>518</v>
      </c>
      <c r="AR35" s="61"/>
      <c r="AS35" s="61"/>
      <c r="AT35" s="61"/>
      <c r="AU35" s="61"/>
      <c r="AV35" s="61"/>
      <c r="AW35" s="61" t="s">
        <v>467</v>
      </c>
      <c r="AX35" s="61"/>
      <c r="AY35" s="61" t="s">
        <v>812</v>
      </c>
      <c r="AZ35" s="61"/>
      <c r="BA35" s="61" t="s">
        <v>79</v>
      </c>
      <c r="BB35" s="61"/>
      <c r="BC35" s="61"/>
      <c r="BD35" s="61"/>
      <c r="BE35" s="61" t="s">
        <v>509</v>
      </c>
      <c r="BF35" s="61"/>
      <c r="BG35" s="61"/>
      <c r="BH35" s="61"/>
      <c r="BI35" s="61"/>
      <c r="BJ35" s="61"/>
      <c r="BK35" s="61"/>
      <c r="BL35" s="61"/>
      <c r="BM35" s="61"/>
      <c r="BN35" s="61"/>
      <c r="BO35" s="61"/>
      <c r="BP35" s="61"/>
      <c r="BQ35" s="61"/>
      <c r="BR35" s="61"/>
      <c r="BS35" s="61"/>
      <c r="BT35" s="61"/>
      <c r="BU35" s="61"/>
      <c r="BV35" s="61"/>
      <c r="BW35" s="61"/>
      <c r="BX35" s="61"/>
      <c r="BY35" s="61"/>
      <c r="BZ35" s="61"/>
      <c r="CA35" s="61"/>
      <c r="CB35" s="61"/>
      <c r="CC35" s="61"/>
      <c r="CD35" s="61"/>
      <c r="CE35" s="61"/>
      <c r="CF35" s="61"/>
      <c r="CG35" s="61"/>
      <c r="CH35" s="61"/>
      <c r="CI35" s="61"/>
      <c r="CJ35" s="61"/>
      <c r="CK35" s="61"/>
      <c r="CL35" s="61"/>
      <c r="CM35" s="61"/>
      <c r="CN35" s="61"/>
      <c r="CO35" s="61"/>
      <c r="CP35" s="61"/>
      <c r="CQ35" s="61"/>
      <c r="CR35" s="61"/>
      <c r="CS35" s="61"/>
      <c r="CT35" s="61"/>
      <c r="CU35" s="61"/>
      <c r="CV35" s="61"/>
      <c r="CW35" s="61"/>
      <c r="CX35" s="61"/>
      <c r="CY35" s="35"/>
    </row>
    <row r="36" spans="1:103" s="47" customFormat="1" x14ac:dyDescent="0.25">
      <c r="A36" s="72"/>
      <c r="B36" s="70"/>
      <c r="C36" s="40"/>
      <c r="D36" s="62" t="str">
        <f>IF(D35="","",VLOOKUP(D35,'Tech Tree Node Parameters'!$A$3:$B$218,2,FALSE))</f>
        <v/>
      </c>
      <c r="E36" s="62" t="str">
        <f>IF(E35="","",VLOOKUP(E35,'Tech Tree Node Parameters'!$A$3:$B$218,2,FALSE))</f>
        <v/>
      </c>
      <c r="F36" s="62" t="str">
        <f>IF(F35="","",VLOOKUP(F35,'Tech Tree Node Parameters'!$A$3:$B$218,2,FALSE))</f>
        <v/>
      </c>
      <c r="G36" s="62" t="str">
        <f>IF(G35="","",VLOOKUP(G35,'Tech Tree Node Parameters'!$A$3:$B$218,2,FALSE))</f>
        <v/>
      </c>
      <c r="H36" s="62" t="str">
        <f>IF(H35="","",VLOOKUP(H35,'Tech Tree Node Parameters'!$A$3:$B$218,2,FALSE))</f>
        <v/>
      </c>
      <c r="I36" s="62" t="str">
        <f>IF(I35="","",VLOOKUP(I35,'Tech Tree Node Parameters'!$A$3:$B$218,2,FALSE))</f>
        <v/>
      </c>
      <c r="J36" s="62" t="str">
        <f>IF(J35="","",VLOOKUP(J35,'Tech Tree Node Parameters'!$A$3:$B$218,2,FALSE))</f>
        <v/>
      </c>
      <c r="K36" s="62" t="str">
        <f>IF(K35="","",VLOOKUP(K35,'Tech Tree Node Parameters'!$A$3:$B$218,2,FALSE))</f>
        <v/>
      </c>
      <c r="L36" s="62" t="str">
        <f>IF(L35="","",VLOOKUP(L35,'Tech Tree Node Parameters'!$A$3:$B$218,2,FALSE))</f>
        <v/>
      </c>
      <c r="M36" s="62" t="str">
        <f>IF(M35="","",VLOOKUP(M35,'Tech Tree Node Parameters'!$A$3:$B$218,2,FALSE))</f>
        <v/>
      </c>
      <c r="N36" s="62" t="str">
        <f>IF(N35="","",VLOOKUP(N35,'Tech Tree Node Parameters'!$A$3:$B$218,2,FALSE))</f>
        <v/>
      </c>
      <c r="O36" s="62" t="str">
        <f>IF(O35="","",VLOOKUP(O35,'Tech Tree Node Parameters'!$A$3:$B$218,2,FALSE))</f>
        <v/>
      </c>
      <c r="P36" s="62" t="str">
        <f>IF(P35="","",VLOOKUP(P35,'Tech Tree Node Parameters'!$A$3:$B$218,2,FALSE))</f>
        <v/>
      </c>
      <c r="Q36" s="62" t="str">
        <f>IF(Q35="","",VLOOKUP(Q35,'Tech Tree Node Parameters'!$A$3:$B$218,2,FALSE))</f>
        <v/>
      </c>
      <c r="R36" s="62" t="str">
        <f>IF(R35="","",VLOOKUP(R35,'Tech Tree Node Parameters'!$A$3:$B$218,2,FALSE))</f>
        <v/>
      </c>
      <c r="S36" s="62" t="str">
        <f>IF(S35="","",VLOOKUP(S35,'Tech Tree Node Parameters'!$A$3:$B$218,2,FALSE))</f>
        <v/>
      </c>
      <c r="T36" s="62" t="str">
        <f>IF(T35="","",VLOOKUP(T35,'Tech Tree Node Parameters'!$A$3:$B$218,2,FALSE))</f>
        <v/>
      </c>
      <c r="U36" s="62" t="str">
        <f>IF(U35="","",VLOOKUP(U35,'Tech Tree Node Parameters'!$A$3:$B$218,2,FALSE))</f>
        <v/>
      </c>
      <c r="V36" s="62" t="str">
        <f>IF(V35="","",VLOOKUP(V35,'Tech Tree Node Parameters'!$A$3:$B$218,2,FALSE))</f>
        <v/>
      </c>
      <c r="W36" s="62" t="str">
        <f>IF(W35="","",VLOOKUP(W35,'Tech Tree Node Parameters'!$A$3:$B$218,2,FALSE))</f>
        <v/>
      </c>
      <c r="X36" s="62" t="str">
        <f>IF(X35="","",VLOOKUP(X35,'Tech Tree Node Parameters'!$A$3:$B$218,2,FALSE))</f>
        <v/>
      </c>
      <c r="Y36" s="62" t="str">
        <f>IF(Y35="","",VLOOKUP(Y35,'Tech Tree Node Parameters'!$A$3:$B$218,2,FALSE))</f>
        <v>Colossal Rocketry</v>
      </c>
      <c r="Z36" s="62" t="str">
        <f>IF(Z35="","",VLOOKUP(Z35,'Tech Tree Node Parameters'!$A$3:$B$218,2,FALSE))</f>
        <v/>
      </c>
      <c r="AA36" s="62" t="str">
        <f>IF(AA35="","",VLOOKUP(AA35,'Tech Tree Node Parameters'!$A$3:$B$218,2,FALSE))</f>
        <v/>
      </c>
      <c r="AB36" s="62" t="str">
        <f>IF(AB35="","",VLOOKUP(AB35,'Tech Tree Node Parameters'!$A$3:$B$218,2,FALSE))</f>
        <v/>
      </c>
      <c r="AC36" s="62" t="str">
        <f>IF(AC35="","",VLOOKUP(AC35,'Tech Tree Node Parameters'!$A$3:$B$218,2,FALSE))</f>
        <v/>
      </c>
      <c r="AD36" s="62" t="str">
        <f>IF(AD35="","",VLOOKUP(AD35,'Tech Tree Node Parameters'!$A$3:$B$218,2,FALSE))</f>
        <v/>
      </c>
      <c r="AE36" s="62" t="str">
        <f>IF(AE35="","",VLOOKUP(AE35,'Tech Tree Node Parameters'!$A$3:$B$218,2,FALSE))</f>
        <v/>
      </c>
      <c r="AF36" s="62" t="str">
        <f>IF(AF35="","",VLOOKUP(AF35,'Tech Tree Node Parameters'!$A$3:$B$218,2,FALSE))</f>
        <v/>
      </c>
      <c r="AG36" s="62" t="str">
        <f>IF(AG35="","",VLOOKUP(AG35,'Tech Tree Node Parameters'!$A$3:$B$218,2,FALSE))</f>
        <v/>
      </c>
      <c r="AH36" s="62" t="str">
        <f>IF(AH35="","",VLOOKUP(AH35,'Tech Tree Node Parameters'!$A$3:$B$218,2,FALSE))</f>
        <v/>
      </c>
      <c r="AI36" s="62" t="str">
        <f>IF(AI35="","",VLOOKUP(AI35,'Tech Tree Node Parameters'!$A$3:$B$218,2,FALSE))</f>
        <v/>
      </c>
      <c r="AJ36" s="62" t="str">
        <f>IF(AJ35="","",VLOOKUP(AJ35,'Tech Tree Node Parameters'!$A$3:$B$218,2,FALSE))</f>
        <v/>
      </c>
      <c r="AK36" s="62" t="str">
        <f>IF(AK35="","",VLOOKUP(AK35,'Tech Tree Node Parameters'!$A$3:$B$218,2,FALSE))</f>
        <v/>
      </c>
      <c r="AL36" s="62" t="str">
        <f>IF(AL35="","",VLOOKUP(AL35,'Tech Tree Node Parameters'!$A$3:$B$218,2,FALSE))</f>
        <v/>
      </c>
      <c r="AM36" s="62" t="str">
        <f>IF(AM35="","",VLOOKUP(AM35,'Tech Tree Node Parameters'!$A$3:$B$218,2,FALSE))</f>
        <v>Improved Nuclear Propulsion</v>
      </c>
      <c r="AN36" s="62" t="str">
        <f>IF(AN35="","",VLOOKUP(AN35,'Tech Tree Node Parameters'!$A$3:$B$218,2,FALSE))</f>
        <v/>
      </c>
      <c r="AO36" s="62" t="str">
        <f>IF(AO35="","",VLOOKUP(AO35,'Tech Tree Node Parameters'!$A$3:$B$218,2,FALSE))</f>
        <v>High Energy Nuclear Power</v>
      </c>
      <c r="AP36" s="62" t="str">
        <f>IF(AP35="","",VLOOKUP(AP35,'Tech Tree Node Parameters'!$A$3:$B$218,2,FALSE))</f>
        <v/>
      </c>
      <c r="AQ36" s="62" t="str">
        <f>IF(AQ35="","",VLOOKUP(AQ35,'Tech Tree Node Parameters'!$A$3:$B$218,2,FALSE))</f>
        <v>High Bypass Turbofan Engines</v>
      </c>
      <c r="AR36" s="62" t="str">
        <f>IF(AR35="","",VLOOKUP(AR35,'Tech Tree Node Parameters'!$A$3:$B$218,2,FALSE))</f>
        <v/>
      </c>
      <c r="AS36" s="62" t="str">
        <f>IF(AS35="","",VLOOKUP(AS35,'Tech Tree Node Parameters'!$A$3:$B$218,2,FALSE))</f>
        <v/>
      </c>
      <c r="AT36" s="62" t="str">
        <f>IF(AT35="","",VLOOKUP(AT35,'Tech Tree Node Parameters'!$A$3:$B$218,2,FALSE))</f>
        <v/>
      </c>
      <c r="AU36" s="62" t="str">
        <f>IF(AU35="","",VLOOKUP(AU35,'Tech Tree Node Parameters'!$A$3:$B$218,2,FALSE))</f>
        <v/>
      </c>
      <c r="AV36" s="62" t="str">
        <f>IF(AV35="","",VLOOKUP(AV35,'Tech Tree Node Parameters'!$A$3:$B$218,2,FALSE))</f>
        <v/>
      </c>
      <c r="AW36" s="62" t="str">
        <f>IF(AW35="","",VLOOKUP(AW35,'Tech Tree Node Parameters'!$A$3:$B$218,2,FALSE))</f>
        <v>Reaction Control Systems</v>
      </c>
      <c r="AX36" s="62" t="str">
        <f>IF(AX35="","",VLOOKUP(AX35,'Tech Tree Node Parameters'!$A$3:$B$218,2,FALSE))</f>
        <v/>
      </c>
      <c r="AY36" s="62" t="str">
        <f>IF(AY35="","",VLOOKUP(AY35,'Tech Tree Node Parameters'!$A$3:$B$218,2,FALSE))</f>
        <v>Advanced Stability</v>
      </c>
      <c r="AZ36" s="62" t="str">
        <f>IF(AZ35="","",VLOOKUP(AZ35,'Tech Tree Node Parameters'!$A$3:$B$218,2,FALSE))</f>
        <v/>
      </c>
      <c r="BA36" s="62" t="str">
        <f>IF(BA35="","",VLOOKUP(BA35,'Tech Tree Node Parameters'!$A$3:$B$218,2,FALSE))</f>
        <v>Aerodynamics</v>
      </c>
      <c r="BB36" s="62" t="str">
        <f>IF(BB35="","",VLOOKUP(BB35,'Tech Tree Node Parameters'!$A$3:$B$218,2,FALSE))</f>
        <v/>
      </c>
      <c r="BC36" s="62" t="str">
        <f>IF(BC35="","",VLOOKUP(BC35,'Tech Tree Node Parameters'!$A$3:$B$218,2,FALSE))</f>
        <v/>
      </c>
      <c r="BD36" s="62" t="str">
        <f>IF(BD35="","",VLOOKUP(BD35,'Tech Tree Node Parameters'!$A$3:$B$218,2,FALSE))</f>
        <v/>
      </c>
      <c r="BE36" s="62" t="str">
        <f>IF(BE35="","",VLOOKUP(BE35,'Tech Tree Node Parameters'!$A$3:$B$218,2,FALSE))</f>
        <v>Aircraft Structures</v>
      </c>
      <c r="BF36" s="62" t="str">
        <f>IF(BF35="","",VLOOKUP(BF35,'Tech Tree Node Parameters'!$A$3:$B$218,2,FALSE))</f>
        <v/>
      </c>
      <c r="BG36" s="62" t="str">
        <f>IF(BG35="","",VLOOKUP(BG35,'Tech Tree Node Parameters'!$A$3:$B$218,2,FALSE))</f>
        <v/>
      </c>
      <c r="BH36" s="62" t="str">
        <f>IF(BH35="","",VLOOKUP(BH35,'Tech Tree Node Parameters'!$A$3:$B$218,2,FALSE))</f>
        <v/>
      </c>
      <c r="BI36" s="62"/>
      <c r="BJ36" s="62"/>
      <c r="BK36" s="62"/>
      <c r="BL36" s="62"/>
      <c r="BM36" s="62"/>
      <c r="BN36" s="62" t="str">
        <f>IF(BN35="","",VLOOKUP(BN35,'Tech Tree Node Parameters'!$A$3:$B$218,2,FALSE))</f>
        <v/>
      </c>
      <c r="BO36" s="62" t="str">
        <f>IF(BO35="","",VLOOKUP(BO35,'Tech Tree Node Parameters'!$A$3:$B$218,2,FALSE))</f>
        <v/>
      </c>
      <c r="BP36" s="62" t="str">
        <f>IF(BP35="","",VLOOKUP(BP35,'Tech Tree Node Parameters'!$A$3:$B$218,2,FALSE))</f>
        <v/>
      </c>
      <c r="BQ36" s="62" t="str">
        <f>IF(BQ35="","",VLOOKUP(BQ35,'Tech Tree Node Parameters'!$A$3:$B$218,2,FALSE))</f>
        <v/>
      </c>
      <c r="BR36" s="62" t="str">
        <f>IF(BR35="","",VLOOKUP(BR35,'Tech Tree Node Parameters'!$A$3:$B$218,2,FALSE))</f>
        <v/>
      </c>
      <c r="BS36" s="62" t="str">
        <f>IF(BS35="","",VLOOKUP(BS35,'Tech Tree Node Parameters'!$A$3:$B$218,2,FALSE))</f>
        <v/>
      </c>
      <c r="BT36" s="62" t="str">
        <f>IF(BT35="","",VLOOKUP(BT35,'Tech Tree Node Parameters'!$A$3:$B$218,2,FALSE))</f>
        <v/>
      </c>
      <c r="BU36" s="62" t="str">
        <f>IF(BU35="","",VLOOKUP(BU35,'Tech Tree Node Parameters'!$A$3:$B$218,2,FALSE))</f>
        <v/>
      </c>
      <c r="BV36" s="62" t="str">
        <f>IF(BV35="","",VLOOKUP(BV35,'Tech Tree Node Parameters'!$A$3:$B$218,2,FALSE))</f>
        <v/>
      </c>
      <c r="BW36" s="62" t="str">
        <f>IF(BW35="","",VLOOKUP(BW35,'Tech Tree Node Parameters'!$A$3:$B$218,2,FALSE))</f>
        <v/>
      </c>
      <c r="BX36" s="62" t="str">
        <f>IF(BX35="","",VLOOKUP(BX35,'Tech Tree Node Parameters'!$A$3:$B$218,2,FALSE))</f>
        <v/>
      </c>
      <c r="BY36" s="62" t="str">
        <f>IF(BY35="","",VLOOKUP(BY35,'Tech Tree Node Parameters'!$A$3:$B$218,2,FALSE))</f>
        <v/>
      </c>
      <c r="BZ36" s="62" t="str">
        <f>IF(BZ35="","",VLOOKUP(BZ35,'Tech Tree Node Parameters'!$A$3:$B$218,2,FALSE))</f>
        <v/>
      </c>
      <c r="CA36" s="62" t="str">
        <f>IF(CA35="","",VLOOKUP(CA35,'Tech Tree Node Parameters'!$A$3:$B$218,2,FALSE))</f>
        <v/>
      </c>
      <c r="CB36" s="62" t="str">
        <f>IF(CB35="","",VLOOKUP(CB35,'Tech Tree Node Parameters'!$A$3:$B$218,2,FALSE))</f>
        <v/>
      </c>
      <c r="CC36" s="62" t="str">
        <f>IF(CC35="","",VLOOKUP(CC35,'Tech Tree Node Parameters'!$A$3:$B$218,2,FALSE))</f>
        <v/>
      </c>
      <c r="CD36" s="62" t="str">
        <f>IF(CD35="","",VLOOKUP(CD35,'Tech Tree Node Parameters'!$A$3:$B$218,2,FALSE))</f>
        <v/>
      </c>
      <c r="CE36" s="62" t="str">
        <f>IF(CE35="","",VLOOKUP(CE35,'Tech Tree Node Parameters'!$A$3:$B$218,2,FALSE))</f>
        <v/>
      </c>
      <c r="CF36" s="62" t="str">
        <f>IF(CF35="","",VLOOKUP(CF35,'Tech Tree Node Parameters'!$A$3:$B$218,2,FALSE))</f>
        <v/>
      </c>
      <c r="CG36" s="62" t="str">
        <f>IF(CG35="","",VLOOKUP(CG35,'Tech Tree Node Parameters'!$A$3:$B$218,2,FALSE))</f>
        <v/>
      </c>
      <c r="CH36" s="62" t="str">
        <f>IF(CH35="","",VLOOKUP(CH35,'Tech Tree Node Parameters'!$A$3:$B$218,2,FALSE))</f>
        <v/>
      </c>
      <c r="CI36" s="62" t="str">
        <f>IF(CI35="","",VLOOKUP(CI35,'Tech Tree Node Parameters'!$A$3:$B$218,2,FALSE))</f>
        <v/>
      </c>
      <c r="CJ36" s="62" t="str">
        <f>IF(CJ35="","",VLOOKUP(CJ35,'Tech Tree Node Parameters'!$A$3:$B$218,2,FALSE))</f>
        <v/>
      </c>
      <c r="CK36" s="62" t="str">
        <f>IF(CK35="","",VLOOKUP(CK35,'Tech Tree Node Parameters'!$A$3:$B$218,2,FALSE))</f>
        <v/>
      </c>
      <c r="CL36" s="62" t="str">
        <f>IF(CL35="","",VLOOKUP(CL35,'Tech Tree Node Parameters'!$A$3:$B$218,2,FALSE))</f>
        <v/>
      </c>
      <c r="CM36" s="62" t="str">
        <f>IF(CM35="","",VLOOKUP(CM35,'Tech Tree Node Parameters'!$A$3:$B$218,2,FALSE))</f>
        <v/>
      </c>
      <c r="CN36" s="62" t="str">
        <f>IF(CN35="","",VLOOKUP(CN35,'Tech Tree Node Parameters'!$A$3:$B$218,2,FALSE))</f>
        <v/>
      </c>
      <c r="CO36" s="62" t="str">
        <f>IF(CO35="","",VLOOKUP(CO35,'Tech Tree Node Parameters'!$A$3:$B$218,2,FALSE))</f>
        <v/>
      </c>
      <c r="CP36" s="62" t="str">
        <f>IF(CP35="","",VLOOKUP(CP35,'Tech Tree Node Parameters'!$A$3:$B$218,2,FALSE))</f>
        <v/>
      </c>
      <c r="CQ36" s="62" t="str">
        <f>IF(CQ35="","",VLOOKUP(CQ35,'Tech Tree Node Parameters'!$A$3:$B$218,2,FALSE))</f>
        <v/>
      </c>
      <c r="CR36" s="62" t="str">
        <f>IF(CR35="","",VLOOKUP(CR35,'Tech Tree Node Parameters'!$A$3:$B$218,2,FALSE))</f>
        <v/>
      </c>
      <c r="CS36" s="62" t="str">
        <f>IF(CS35="","",VLOOKUP(CS35,'Tech Tree Node Parameters'!$A$3:$B$218,2,FALSE))</f>
        <v/>
      </c>
      <c r="CT36" s="62" t="str">
        <f>IF(CT35="","",VLOOKUP(CT35,'Tech Tree Node Parameters'!$A$3:$B$218,2,FALSE))</f>
        <v/>
      </c>
      <c r="CU36" s="62" t="str">
        <f>IF(CU35="","",VLOOKUP(CU35,'Tech Tree Node Parameters'!$A$3:$B$218,2,FALSE))</f>
        <v/>
      </c>
      <c r="CV36" s="62" t="str">
        <f>IF(CV35="","",VLOOKUP(CV35,'Tech Tree Node Parameters'!$A$3:$B$218,2,FALSE))</f>
        <v/>
      </c>
      <c r="CW36" s="62" t="str">
        <f>IF(CW35="","",VLOOKUP(CW35,'Tech Tree Node Parameters'!$A$3:$B$218,2,FALSE))</f>
        <v/>
      </c>
      <c r="CX36" s="62" t="str">
        <f>IF(CX35="","",VLOOKUP(CX35,'Tech Tree Node Parameters'!$A$3:$B$218,2,FALSE))</f>
        <v/>
      </c>
      <c r="CY36" s="36" t="str">
        <f>IF(CY35="","",VLOOKUP(CY35,'Tech Tree Node Parameters'!$A$3:$B$218,2,FALSE))</f>
        <v/>
      </c>
    </row>
    <row r="37" spans="1:103" s="47" customFormat="1" x14ac:dyDescent="0.25">
      <c r="A37" s="72">
        <f t="shared" si="10"/>
        <v>45</v>
      </c>
      <c r="B37" s="69">
        <f>B39+$D$6</f>
        <v>1747</v>
      </c>
      <c r="C37" s="39"/>
      <c r="D37" s="61"/>
      <c r="E37" s="61"/>
      <c r="F37" s="61"/>
      <c r="G37" s="61"/>
      <c r="H37" s="61"/>
      <c r="I37" s="61"/>
      <c r="J37" s="61"/>
      <c r="K37" s="61"/>
      <c r="L37" s="61"/>
      <c r="M37" s="61"/>
      <c r="N37" s="61"/>
      <c r="O37" s="61"/>
      <c r="P37" s="61"/>
      <c r="Q37" s="61"/>
      <c r="R37" s="61"/>
      <c r="S37" s="61"/>
      <c r="T37" s="61"/>
      <c r="U37" s="61"/>
      <c r="V37" s="61"/>
      <c r="W37" s="61"/>
      <c r="X37" s="61"/>
      <c r="Y37" s="61"/>
      <c r="Z37" s="61"/>
      <c r="AA37" s="61"/>
      <c r="AB37" s="61"/>
      <c r="AC37" s="61"/>
      <c r="AD37" s="61"/>
      <c r="AE37" s="61"/>
      <c r="AF37" s="61"/>
      <c r="AG37" s="61"/>
      <c r="AH37" s="61"/>
      <c r="AI37" s="61"/>
      <c r="AJ37" s="61"/>
      <c r="AK37" s="61"/>
      <c r="AL37" s="61"/>
      <c r="AM37" s="61"/>
      <c r="AN37" s="61"/>
      <c r="AO37" s="61"/>
      <c r="AP37" s="61"/>
      <c r="AQ37" s="61"/>
      <c r="AR37" s="61"/>
      <c r="AS37" s="61"/>
      <c r="AT37" s="61"/>
      <c r="AU37" s="61"/>
      <c r="AV37" s="61"/>
      <c r="AW37" s="61"/>
      <c r="AX37" s="61"/>
      <c r="AY37" s="61"/>
      <c r="AZ37" s="61"/>
      <c r="BA37" s="61"/>
      <c r="BB37" s="61"/>
      <c r="BC37" s="61" t="s">
        <v>58</v>
      </c>
      <c r="BD37" s="61"/>
      <c r="BE37" s="61"/>
      <c r="BF37" s="61"/>
      <c r="BG37" s="61"/>
      <c r="BH37" s="61"/>
      <c r="BI37" s="61"/>
      <c r="BJ37" s="61"/>
      <c r="BK37" s="61" t="s">
        <v>19</v>
      </c>
      <c r="BL37" s="61"/>
      <c r="BM37" s="61" t="s">
        <v>140</v>
      </c>
      <c r="BN37" s="61"/>
      <c r="BO37" s="61"/>
      <c r="BP37" s="61"/>
      <c r="BQ37" s="61"/>
      <c r="BR37" s="61"/>
      <c r="BS37" s="61"/>
      <c r="BT37" s="61"/>
      <c r="BU37" s="61"/>
      <c r="BV37" s="61"/>
      <c r="BW37" s="61"/>
      <c r="BX37" s="61"/>
      <c r="BY37" s="61"/>
      <c r="BZ37" s="61"/>
      <c r="CA37" s="61"/>
      <c r="CB37" s="61"/>
      <c r="CC37" s="61"/>
      <c r="CD37" s="61"/>
      <c r="CE37" s="61"/>
      <c r="CF37" s="61"/>
      <c r="CG37" s="61"/>
      <c r="CH37" s="61"/>
      <c r="CI37" s="61"/>
      <c r="CJ37" s="61"/>
      <c r="CK37" s="61"/>
      <c r="CL37" s="61"/>
      <c r="CM37" s="61"/>
      <c r="CN37" s="61"/>
      <c r="CO37" s="61"/>
      <c r="CP37" s="61"/>
      <c r="CQ37" s="61"/>
      <c r="CR37" s="61"/>
      <c r="CS37" s="61"/>
      <c r="CT37" s="61"/>
      <c r="CU37" s="61"/>
      <c r="CV37" s="61"/>
      <c r="CW37" s="61"/>
      <c r="CX37" s="61"/>
      <c r="CY37" s="35"/>
    </row>
    <row r="38" spans="1:103" s="47" customFormat="1" x14ac:dyDescent="0.25">
      <c r="A38" s="72"/>
      <c r="B38" s="70"/>
      <c r="C38" s="40"/>
      <c r="D38" s="62" t="str">
        <f>IF(D37="","",VLOOKUP(D37,'Tech Tree Node Parameters'!$A$3:$B$218,2,FALSE))</f>
        <v/>
      </c>
      <c r="E38" s="62" t="str">
        <f>IF(E37="","",VLOOKUP(E37,'Tech Tree Node Parameters'!$A$3:$B$218,2,FALSE))</f>
        <v/>
      </c>
      <c r="F38" s="62" t="str">
        <f>IF(F37="","",VLOOKUP(F37,'Tech Tree Node Parameters'!$A$3:$B$218,2,FALSE))</f>
        <v/>
      </c>
      <c r="G38" s="62" t="str">
        <f>IF(G37="","",VLOOKUP(G37,'Tech Tree Node Parameters'!$A$3:$B$218,2,FALSE))</f>
        <v/>
      </c>
      <c r="H38" s="62" t="str">
        <f>IF(H37="","",VLOOKUP(H37,'Tech Tree Node Parameters'!$A$3:$B$218,2,FALSE))</f>
        <v/>
      </c>
      <c r="I38" s="62" t="str">
        <f>IF(I37="","",VLOOKUP(I37,'Tech Tree Node Parameters'!$A$3:$B$218,2,FALSE))</f>
        <v/>
      </c>
      <c r="J38" s="62" t="str">
        <f>IF(J37="","",VLOOKUP(J37,'Tech Tree Node Parameters'!$A$3:$B$218,2,FALSE))</f>
        <v/>
      </c>
      <c r="K38" s="62" t="str">
        <f>IF(K37="","",VLOOKUP(K37,'Tech Tree Node Parameters'!$A$3:$B$218,2,FALSE))</f>
        <v/>
      </c>
      <c r="L38" s="62" t="str">
        <f>IF(L37="","",VLOOKUP(L37,'Tech Tree Node Parameters'!$A$3:$B$218,2,FALSE))</f>
        <v/>
      </c>
      <c r="M38" s="62" t="str">
        <f>IF(M37="","",VLOOKUP(M37,'Tech Tree Node Parameters'!$A$3:$B$218,2,FALSE))</f>
        <v/>
      </c>
      <c r="N38" s="62" t="str">
        <f>IF(N37="","",VLOOKUP(N37,'Tech Tree Node Parameters'!$A$3:$B$218,2,FALSE))</f>
        <v/>
      </c>
      <c r="O38" s="62" t="str">
        <f>IF(O37="","",VLOOKUP(O37,'Tech Tree Node Parameters'!$A$3:$B$218,2,FALSE))</f>
        <v/>
      </c>
      <c r="P38" s="62" t="str">
        <f>IF(P37="","",VLOOKUP(P37,'Tech Tree Node Parameters'!$A$3:$B$218,2,FALSE))</f>
        <v/>
      </c>
      <c r="Q38" s="62" t="str">
        <f>IF(Q37="","",VLOOKUP(Q37,'Tech Tree Node Parameters'!$A$3:$B$218,2,FALSE))</f>
        <v/>
      </c>
      <c r="R38" s="62" t="str">
        <f>IF(R37="","",VLOOKUP(R37,'Tech Tree Node Parameters'!$A$3:$B$218,2,FALSE))</f>
        <v/>
      </c>
      <c r="S38" s="62" t="str">
        <f>IF(S37="","",VLOOKUP(S37,'Tech Tree Node Parameters'!$A$3:$B$218,2,FALSE))</f>
        <v/>
      </c>
      <c r="T38" s="62" t="str">
        <f>IF(T37="","",VLOOKUP(T37,'Tech Tree Node Parameters'!$A$3:$B$218,2,FALSE))</f>
        <v/>
      </c>
      <c r="U38" s="62" t="str">
        <f>IF(U37="","",VLOOKUP(U37,'Tech Tree Node Parameters'!$A$3:$B$218,2,FALSE))</f>
        <v/>
      </c>
      <c r="V38" s="62" t="str">
        <f>IF(V37="","",VLOOKUP(V37,'Tech Tree Node Parameters'!$A$3:$B$218,2,FALSE))</f>
        <v/>
      </c>
      <c r="W38" s="62" t="str">
        <f>IF(W37="","",VLOOKUP(W37,'Tech Tree Node Parameters'!$A$3:$B$218,2,FALSE))</f>
        <v/>
      </c>
      <c r="X38" s="62" t="str">
        <f>IF(X37="","",VLOOKUP(X37,'Tech Tree Node Parameters'!$A$3:$B$218,2,FALSE))</f>
        <v/>
      </c>
      <c r="Y38" s="62" t="str">
        <f>IF(Y37="","",VLOOKUP(Y37,'Tech Tree Node Parameters'!$A$3:$B$218,2,FALSE))</f>
        <v/>
      </c>
      <c r="Z38" s="62" t="str">
        <f>IF(Z37="","",VLOOKUP(Z37,'Tech Tree Node Parameters'!$A$3:$B$218,2,FALSE))</f>
        <v/>
      </c>
      <c r="AA38" s="62" t="str">
        <f>IF(AA37="","",VLOOKUP(AA37,'Tech Tree Node Parameters'!$A$3:$B$218,2,FALSE))</f>
        <v/>
      </c>
      <c r="AB38" s="62" t="str">
        <f>IF(AB37="","",VLOOKUP(AB37,'Tech Tree Node Parameters'!$A$3:$B$218,2,FALSE))</f>
        <v/>
      </c>
      <c r="AC38" s="62" t="str">
        <f>IF(AC37="","",VLOOKUP(AC37,'Tech Tree Node Parameters'!$A$3:$B$218,2,FALSE))</f>
        <v/>
      </c>
      <c r="AD38" s="62" t="str">
        <f>IF(AD37="","",VLOOKUP(AD37,'Tech Tree Node Parameters'!$A$3:$B$218,2,FALSE))</f>
        <v/>
      </c>
      <c r="AE38" s="62" t="str">
        <f>IF(AE37="","",VLOOKUP(AE37,'Tech Tree Node Parameters'!$A$3:$B$218,2,FALSE))</f>
        <v/>
      </c>
      <c r="AF38" s="62" t="str">
        <f>IF(AF37="","",VLOOKUP(AF37,'Tech Tree Node Parameters'!$A$3:$B$218,2,FALSE))</f>
        <v/>
      </c>
      <c r="AG38" s="62" t="str">
        <f>IF(AG37="","",VLOOKUP(AG37,'Tech Tree Node Parameters'!$A$3:$B$218,2,FALSE))</f>
        <v/>
      </c>
      <c r="AH38" s="62" t="str">
        <f>IF(AH37="","",VLOOKUP(AH37,'Tech Tree Node Parameters'!$A$3:$B$218,2,FALSE))</f>
        <v/>
      </c>
      <c r="AI38" s="62" t="str">
        <f>IF(AI37="","",VLOOKUP(AI37,'Tech Tree Node Parameters'!$A$3:$B$218,2,FALSE))</f>
        <v/>
      </c>
      <c r="AJ38" s="62" t="str">
        <f>IF(AJ37="","",VLOOKUP(AJ37,'Tech Tree Node Parameters'!$A$3:$B$218,2,FALSE))</f>
        <v/>
      </c>
      <c r="AK38" s="62" t="str">
        <f>IF(AK37="","",VLOOKUP(AK37,'Tech Tree Node Parameters'!$A$3:$B$218,2,FALSE))</f>
        <v/>
      </c>
      <c r="AL38" s="62" t="str">
        <f>IF(AL37="","",VLOOKUP(AL37,'Tech Tree Node Parameters'!$A$3:$B$218,2,FALSE))</f>
        <v/>
      </c>
      <c r="AM38" s="62" t="str">
        <f>IF(AM37="","",VLOOKUP(AM37,'Tech Tree Node Parameters'!$A$3:$B$218,2,FALSE))</f>
        <v/>
      </c>
      <c r="AN38" s="62" t="str">
        <f>IF(AN37="","",VLOOKUP(AN37,'Tech Tree Node Parameters'!$A$3:$B$218,2,FALSE))</f>
        <v/>
      </c>
      <c r="AO38" s="62" t="str">
        <f>IF(AO37="","",VLOOKUP(AO37,'Tech Tree Node Parameters'!$A$3:$B$218,2,FALSE))</f>
        <v/>
      </c>
      <c r="AP38" s="62" t="str">
        <f>IF(AP37="","",VLOOKUP(AP37,'Tech Tree Node Parameters'!$A$3:$B$218,2,FALSE))</f>
        <v/>
      </c>
      <c r="AQ38" s="62" t="str">
        <f>IF(AQ37="","",VLOOKUP(AQ37,'Tech Tree Node Parameters'!$A$3:$B$218,2,FALSE))</f>
        <v/>
      </c>
      <c r="AR38" s="62" t="str">
        <f>IF(AR37="","",VLOOKUP(AR37,'Tech Tree Node Parameters'!$A$3:$B$218,2,FALSE))</f>
        <v/>
      </c>
      <c r="AS38" s="62" t="str">
        <f>IF(AS37="","",VLOOKUP(AS37,'Tech Tree Node Parameters'!$A$3:$B$218,2,FALSE))</f>
        <v/>
      </c>
      <c r="AT38" s="62" t="str">
        <f>IF(AT37="","",VLOOKUP(AT37,'Tech Tree Node Parameters'!$A$3:$B$218,2,FALSE))</f>
        <v/>
      </c>
      <c r="AU38" s="62" t="str">
        <f>IF(AU37="","",VLOOKUP(AU37,'Tech Tree Node Parameters'!$A$3:$B$218,2,FALSE))</f>
        <v/>
      </c>
      <c r="AV38" s="62" t="str">
        <f>IF(AV37="","",VLOOKUP(AV37,'Tech Tree Node Parameters'!$A$3:$B$218,2,FALSE))</f>
        <v/>
      </c>
      <c r="AW38" s="62" t="str">
        <f>IF(AW37="","",VLOOKUP(AW37,'Tech Tree Node Parameters'!$A$3:$B$218,2,FALSE))</f>
        <v/>
      </c>
      <c r="AX38" s="62" t="str">
        <f>IF(AX37="","",VLOOKUP(AX37,'Tech Tree Node Parameters'!$A$3:$B$218,2,FALSE))</f>
        <v/>
      </c>
      <c r="AY38" s="62" t="str">
        <f>IF(AY37="","",VLOOKUP(AY37,'Tech Tree Node Parameters'!$A$3:$B$218,2,FALSE))</f>
        <v/>
      </c>
      <c r="AZ38" s="62" t="str">
        <f>IF(AZ37="","",VLOOKUP(AZ37,'Tech Tree Node Parameters'!$A$3:$B$218,2,FALSE))</f>
        <v/>
      </c>
      <c r="BA38" s="62" t="str">
        <f>IF(BA37="","",VLOOKUP(BA37,'Tech Tree Node Parameters'!$A$3:$B$218,2,FALSE))</f>
        <v/>
      </c>
      <c r="BB38" s="62" t="str">
        <f>IF(BB37="","",VLOOKUP(BB37,'Tech Tree Node Parameters'!$A$3:$B$218,2,FALSE))</f>
        <v/>
      </c>
      <c r="BC38" s="62" t="str">
        <f>IF(BC37="","",VLOOKUP(BC37,'Tech Tree Node Parameters'!$A$3:$B$218,2,FALSE))</f>
        <v>Aerospace Engineering</v>
      </c>
      <c r="BD38" s="62" t="str">
        <f>IF(BD37="","",VLOOKUP(BD37,'Tech Tree Node Parameters'!$A$3:$B$218,2,FALSE))</f>
        <v/>
      </c>
      <c r="BE38" s="62" t="str">
        <f>IF(BE37="","",VLOOKUP(BE37,'Tech Tree Node Parameters'!$A$3:$B$218,2,FALSE))</f>
        <v/>
      </c>
      <c r="BF38" s="62" t="str">
        <f>IF(BF37="","",VLOOKUP(BF37,'Tech Tree Node Parameters'!$A$3:$B$218,2,FALSE))</f>
        <v/>
      </c>
      <c r="BG38" s="62" t="str">
        <f>IF(BG37="","",VLOOKUP(BG37,'Tech Tree Node Parameters'!$A$3:$B$218,2,FALSE))</f>
        <v/>
      </c>
      <c r="BH38" s="62" t="str">
        <f>IF(BH37="","",VLOOKUP(BH37,'Tech Tree Node Parameters'!$A$3:$B$218,2,FALSE))</f>
        <v/>
      </c>
      <c r="BI38" s="62" t="str">
        <f>IF(BI37="","",VLOOKUP(BI37,'Tech Tree Node Parameters'!$A$3:$B$218,2,FALSE))</f>
        <v/>
      </c>
      <c r="BJ38" s="62" t="str">
        <f>IF(BJ37="","",VLOOKUP(BJ37,'Tech Tree Node Parameters'!$A$3:$B$218,2,FALSE))</f>
        <v/>
      </c>
      <c r="BK38" s="62" t="str">
        <f>IF(BK37="","",VLOOKUP(BK37,'Tech Tree Node Parameters'!$A$3:$B$218,2,FALSE))</f>
        <v>EVA Technology</v>
      </c>
      <c r="BL38" s="62" t="str">
        <f>IF(BL37="","",VLOOKUP(BL37,'Tech Tree Node Parameters'!$A$3:$B$218,2,FALSE))</f>
        <v/>
      </c>
      <c r="BM38" s="62" t="str">
        <f>IF(BM37="","",VLOOKUP(BM37,'Tech Tree Node Parameters'!$A$3:$B$218,2,FALSE))</f>
        <v>Advanced Exploration</v>
      </c>
      <c r="BN38" s="62" t="str">
        <f>IF(BN37="","",VLOOKUP(BN37,'Tech Tree Node Parameters'!$A$3:$B$218,2,FALSE))</f>
        <v/>
      </c>
      <c r="BO38" s="62" t="str">
        <f>IF(BO37="","",VLOOKUP(BO37,'Tech Tree Node Parameters'!$A$3:$B$218,2,FALSE))</f>
        <v/>
      </c>
      <c r="BP38" s="62" t="str">
        <f>IF(BP37="","",VLOOKUP(BP37,'Tech Tree Node Parameters'!$A$3:$B$218,2,FALSE))</f>
        <v/>
      </c>
      <c r="BQ38" s="62" t="str">
        <f>IF(BQ37="","",VLOOKUP(BQ37,'Tech Tree Node Parameters'!$A$3:$B$218,2,FALSE))</f>
        <v/>
      </c>
      <c r="BR38" s="62" t="str">
        <f>IF(BR37="","",VLOOKUP(BR37,'Tech Tree Node Parameters'!$A$3:$B$218,2,FALSE))</f>
        <v/>
      </c>
      <c r="BS38" s="62" t="str">
        <f>IF(BS37="","",VLOOKUP(BS37,'Tech Tree Node Parameters'!$A$3:$B$218,2,FALSE))</f>
        <v/>
      </c>
      <c r="BT38" s="62" t="str">
        <f>IF(BT37="","",VLOOKUP(BT37,'Tech Tree Node Parameters'!$A$3:$B$218,2,FALSE))</f>
        <v/>
      </c>
      <c r="BU38" s="62" t="str">
        <f>IF(BU37="","",VLOOKUP(BU37,'Tech Tree Node Parameters'!$A$3:$B$218,2,FALSE))</f>
        <v/>
      </c>
      <c r="BV38" s="62" t="str">
        <f>IF(BV37="","",VLOOKUP(BV37,'Tech Tree Node Parameters'!$A$3:$B$218,2,FALSE))</f>
        <v/>
      </c>
      <c r="BW38" s="62" t="str">
        <f>IF(BW37="","",VLOOKUP(BW37,'Tech Tree Node Parameters'!$A$3:$B$218,2,FALSE))</f>
        <v/>
      </c>
      <c r="BX38" s="62" t="str">
        <f>IF(BX37="","",VLOOKUP(BX37,'Tech Tree Node Parameters'!$A$3:$B$218,2,FALSE))</f>
        <v/>
      </c>
      <c r="BY38" s="62" t="str">
        <f>IF(BY37="","",VLOOKUP(BY37,'Tech Tree Node Parameters'!$A$3:$B$218,2,FALSE))</f>
        <v/>
      </c>
      <c r="BZ38" s="62" t="str">
        <f>IF(BZ37="","",VLOOKUP(BZ37,'Tech Tree Node Parameters'!$A$3:$B$218,2,FALSE))</f>
        <v/>
      </c>
      <c r="CA38" s="62" t="str">
        <f>IF(CA37="","",VLOOKUP(CA37,'Tech Tree Node Parameters'!$A$3:$B$218,2,FALSE))</f>
        <v/>
      </c>
      <c r="CB38" s="62" t="str">
        <f>IF(CB37="","",VLOOKUP(CB37,'Tech Tree Node Parameters'!$A$3:$B$218,2,FALSE))</f>
        <v/>
      </c>
      <c r="CC38" s="62" t="str">
        <f>IF(CC37="","",VLOOKUP(CC37,'Tech Tree Node Parameters'!$A$3:$B$218,2,FALSE))</f>
        <v/>
      </c>
      <c r="CD38" s="62" t="str">
        <f>IF(CD37="","",VLOOKUP(CD37,'Tech Tree Node Parameters'!$A$3:$B$218,2,FALSE))</f>
        <v/>
      </c>
      <c r="CE38" s="62" t="str">
        <f>IF(CE37="","",VLOOKUP(CE37,'Tech Tree Node Parameters'!$A$3:$B$218,2,FALSE))</f>
        <v/>
      </c>
      <c r="CF38" s="62" t="str">
        <f>IF(CF37="","",VLOOKUP(CF37,'Tech Tree Node Parameters'!$A$3:$B$218,2,FALSE))</f>
        <v/>
      </c>
      <c r="CG38" s="62" t="str">
        <f>IF(CG37="","",VLOOKUP(CG37,'Tech Tree Node Parameters'!$A$3:$B$218,2,FALSE))</f>
        <v/>
      </c>
      <c r="CH38" s="62" t="str">
        <f>IF(CH37="","",VLOOKUP(CH37,'Tech Tree Node Parameters'!$A$3:$B$218,2,FALSE))</f>
        <v/>
      </c>
      <c r="CI38" s="62" t="str">
        <f>IF(CI37="","",VLOOKUP(CI37,'Tech Tree Node Parameters'!$A$3:$B$218,2,FALSE))</f>
        <v/>
      </c>
      <c r="CJ38" s="62" t="str">
        <f>IF(CJ37="","",VLOOKUP(CJ37,'Tech Tree Node Parameters'!$A$3:$B$218,2,FALSE))</f>
        <v/>
      </c>
      <c r="CK38" s="62" t="str">
        <f>IF(CK37="","",VLOOKUP(CK37,'Tech Tree Node Parameters'!$A$3:$B$218,2,FALSE))</f>
        <v/>
      </c>
      <c r="CL38" s="62" t="str">
        <f>IF(CL37="","",VLOOKUP(CL37,'Tech Tree Node Parameters'!$A$3:$B$218,2,FALSE))</f>
        <v/>
      </c>
      <c r="CM38" s="62" t="str">
        <f>IF(CM37="","",VLOOKUP(CM37,'Tech Tree Node Parameters'!$A$3:$B$218,2,FALSE))</f>
        <v/>
      </c>
      <c r="CN38" s="62" t="str">
        <f>IF(CN37="","",VLOOKUP(CN37,'Tech Tree Node Parameters'!$A$3:$B$218,2,FALSE))</f>
        <v/>
      </c>
      <c r="CO38" s="62" t="str">
        <f>IF(CO37="","",VLOOKUP(CO37,'Tech Tree Node Parameters'!$A$3:$B$218,2,FALSE))</f>
        <v/>
      </c>
      <c r="CP38" s="62" t="str">
        <f>IF(CP37="","",VLOOKUP(CP37,'Tech Tree Node Parameters'!$A$3:$B$218,2,FALSE))</f>
        <v/>
      </c>
      <c r="CQ38" s="62" t="str">
        <f>IF(CQ37="","",VLOOKUP(CQ37,'Tech Tree Node Parameters'!$A$3:$B$218,2,FALSE))</f>
        <v/>
      </c>
      <c r="CR38" s="62" t="str">
        <f>IF(CR37="","",VLOOKUP(CR37,'Tech Tree Node Parameters'!$A$3:$B$218,2,FALSE))</f>
        <v/>
      </c>
      <c r="CS38" s="62" t="str">
        <f>IF(CS37="","",VLOOKUP(CS37,'Tech Tree Node Parameters'!$A$3:$B$218,2,FALSE))</f>
        <v/>
      </c>
      <c r="CT38" s="62" t="str">
        <f>IF(CT37="","",VLOOKUP(CT37,'Tech Tree Node Parameters'!$A$3:$B$218,2,FALSE))</f>
        <v/>
      </c>
      <c r="CU38" s="62" t="str">
        <f>IF(CU37="","",VLOOKUP(CU37,'Tech Tree Node Parameters'!$A$3:$B$218,2,FALSE))</f>
        <v/>
      </c>
      <c r="CV38" s="62" t="str">
        <f>IF(CV37="","",VLOOKUP(CV37,'Tech Tree Node Parameters'!$A$3:$B$218,2,FALSE))</f>
        <v/>
      </c>
      <c r="CW38" s="62" t="str">
        <f>IF(CW37="","",VLOOKUP(CW37,'Tech Tree Node Parameters'!$A$3:$B$218,2,FALSE))</f>
        <v/>
      </c>
      <c r="CX38" s="62" t="str">
        <f>IF(CX37="","",VLOOKUP(CX37,'Tech Tree Node Parameters'!$A$3:$B$218,2,FALSE))</f>
        <v/>
      </c>
      <c r="CY38" s="36" t="str">
        <f>IF(CY37="","",VLOOKUP(CY37,'Tech Tree Node Parameters'!$A$3:$B$218,2,FALSE))</f>
        <v/>
      </c>
    </row>
    <row r="39" spans="1:103" s="47" customFormat="1" x14ac:dyDescent="0.25">
      <c r="A39" s="72">
        <f t="shared" si="10"/>
        <v>44</v>
      </c>
      <c r="B39" s="69">
        <f>B41+$D$6</f>
        <v>1709</v>
      </c>
      <c r="C39" s="39"/>
      <c r="D39" s="61"/>
      <c r="E39" s="61"/>
      <c r="F39" s="61"/>
      <c r="G39" s="61"/>
      <c r="H39" s="61"/>
      <c r="I39" s="61"/>
      <c r="J39" s="61"/>
      <c r="K39" s="61"/>
      <c r="L39" s="61"/>
      <c r="M39" s="61"/>
      <c r="N39" s="61"/>
      <c r="O39" s="61"/>
      <c r="P39" s="61"/>
      <c r="Q39" s="61"/>
      <c r="R39" s="61"/>
      <c r="S39" s="61"/>
      <c r="T39" s="61"/>
      <c r="U39" s="61"/>
      <c r="V39" s="61"/>
      <c r="W39" s="61"/>
      <c r="X39" s="61"/>
      <c r="Y39" s="61"/>
      <c r="Z39" s="61"/>
      <c r="AA39" s="61" t="s">
        <v>199</v>
      </c>
      <c r="AB39" s="61"/>
      <c r="AC39" s="61"/>
      <c r="AD39" s="61"/>
      <c r="AE39" s="61"/>
      <c r="AF39" s="61"/>
      <c r="AG39" s="61"/>
      <c r="AH39" s="61"/>
      <c r="AI39" s="61"/>
      <c r="AJ39" s="61"/>
      <c r="AK39" s="61"/>
      <c r="AL39" s="61"/>
      <c r="AM39" s="61" t="s">
        <v>1349</v>
      </c>
      <c r="AN39" s="61"/>
      <c r="AO39" s="61" t="s">
        <v>173</v>
      </c>
      <c r="AP39" s="61"/>
      <c r="AQ39" s="61" t="s">
        <v>213</v>
      </c>
      <c r="AR39" s="61"/>
      <c r="AS39" s="61" t="s">
        <v>513</v>
      </c>
      <c r="AT39" s="61"/>
      <c r="AU39" s="61"/>
      <c r="AV39" s="61"/>
      <c r="AW39" s="61"/>
      <c r="AX39" s="61"/>
      <c r="AY39" s="61" t="s">
        <v>106</v>
      </c>
      <c r="AZ39" s="61"/>
      <c r="BA39" s="61"/>
      <c r="BB39" s="61"/>
      <c r="BC39" s="61"/>
      <c r="BD39" s="61"/>
      <c r="BE39" s="61"/>
      <c r="BF39" s="61"/>
      <c r="BG39" s="61"/>
      <c r="BH39" s="61"/>
      <c r="BI39" s="61"/>
      <c r="BJ39" s="61"/>
      <c r="BK39" s="61"/>
      <c r="BL39" s="61"/>
      <c r="BM39" s="61"/>
      <c r="BN39" s="61"/>
      <c r="BO39" s="61"/>
      <c r="BP39" s="61"/>
      <c r="BQ39" s="61"/>
      <c r="BR39" s="61"/>
      <c r="BS39" s="61"/>
      <c r="BT39" s="61"/>
      <c r="BU39" s="61"/>
      <c r="BV39" s="61"/>
      <c r="BW39" s="61"/>
      <c r="BX39" s="61"/>
      <c r="BY39" s="61"/>
      <c r="BZ39" s="61"/>
      <c r="CA39" s="61"/>
      <c r="CB39" s="61"/>
      <c r="CC39" s="61"/>
      <c r="CD39" s="61"/>
      <c r="CE39" s="61"/>
      <c r="CF39" s="61"/>
      <c r="CG39" s="61"/>
      <c r="CH39" s="61"/>
      <c r="CI39" s="61"/>
      <c r="CJ39" s="61"/>
      <c r="CK39" s="61"/>
      <c r="CL39" s="61"/>
      <c r="CM39" s="61"/>
      <c r="CN39" s="61"/>
      <c r="CO39" s="61"/>
      <c r="CP39" s="61"/>
      <c r="CQ39" s="61"/>
      <c r="CR39" s="61"/>
      <c r="CS39" s="61"/>
      <c r="CT39" s="61"/>
      <c r="CU39" s="61"/>
      <c r="CV39" s="61"/>
      <c r="CW39" s="61"/>
      <c r="CX39" s="61"/>
      <c r="CY39" s="35"/>
    </row>
    <row r="40" spans="1:103" s="47" customFormat="1" x14ac:dyDescent="0.25">
      <c r="A40" s="72"/>
      <c r="B40" s="70"/>
      <c r="C40" s="40"/>
      <c r="D40" s="62" t="str">
        <f>IF(D39="","",VLOOKUP(D39,'Tech Tree Node Parameters'!$A$3:$B$218,2,FALSE))</f>
        <v/>
      </c>
      <c r="E40" s="62" t="str">
        <f>IF(E39="","",VLOOKUP(E39,'Tech Tree Node Parameters'!$A$3:$B$218,2,FALSE))</f>
        <v/>
      </c>
      <c r="F40" s="62" t="str">
        <f>IF(F39="","",VLOOKUP(F39,'Tech Tree Node Parameters'!$A$3:$B$218,2,FALSE))</f>
        <v/>
      </c>
      <c r="G40" s="62" t="str">
        <f>IF(G39="","",VLOOKUP(G39,'Tech Tree Node Parameters'!$A$3:$B$218,2,FALSE))</f>
        <v/>
      </c>
      <c r="H40" s="62" t="str">
        <f>IF(H39="","",VLOOKUP(H39,'Tech Tree Node Parameters'!$A$3:$B$218,2,FALSE))</f>
        <v/>
      </c>
      <c r="I40" s="62" t="str">
        <f>IF(I39="","",VLOOKUP(I39,'Tech Tree Node Parameters'!$A$3:$B$218,2,FALSE))</f>
        <v/>
      </c>
      <c r="J40" s="62" t="str">
        <f>IF(J39="","",VLOOKUP(J39,'Tech Tree Node Parameters'!$A$3:$B$218,2,FALSE))</f>
        <v/>
      </c>
      <c r="K40" s="62" t="str">
        <f>IF(K39="","",VLOOKUP(K39,'Tech Tree Node Parameters'!$A$3:$B$218,2,FALSE))</f>
        <v/>
      </c>
      <c r="L40" s="62" t="str">
        <f>IF(L39="","",VLOOKUP(L39,'Tech Tree Node Parameters'!$A$3:$B$218,2,FALSE))</f>
        <v/>
      </c>
      <c r="M40" s="62" t="str">
        <f>IF(M39="","",VLOOKUP(M39,'Tech Tree Node Parameters'!$A$3:$B$218,2,FALSE))</f>
        <v/>
      </c>
      <c r="N40" s="62" t="str">
        <f>IF(N39="","",VLOOKUP(N39,'Tech Tree Node Parameters'!$A$3:$B$218,2,FALSE))</f>
        <v/>
      </c>
      <c r="O40" s="62" t="str">
        <f>IF(O39="","",VLOOKUP(O39,'Tech Tree Node Parameters'!$A$3:$B$218,2,FALSE))</f>
        <v/>
      </c>
      <c r="P40" s="62" t="str">
        <f>IF(P39="","",VLOOKUP(P39,'Tech Tree Node Parameters'!$A$3:$B$218,2,FALSE))</f>
        <v/>
      </c>
      <c r="Q40" s="62" t="str">
        <f>IF(Q39="","",VLOOKUP(Q39,'Tech Tree Node Parameters'!$A$3:$B$218,2,FALSE))</f>
        <v/>
      </c>
      <c r="R40" s="62" t="str">
        <f>IF(R39="","",VLOOKUP(R39,'Tech Tree Node Parameters'!$A$3:$B$218,2,FALSE))</f>
        <v/>
      </c>
      <c r="S40" s="62" t="str">
        <f>IF(S39="","",VLOOKUP(S39,'Tech Tree Node Parameters'!$A$3:$B$218,2,FALSE))</f>
        <v/>
      </c>
      <c r="T40" s="62" t="str">
        <f>IF(T39="","",VLOOKUP(T39,'Tech Tree Node Parameters'!$A$3:$B$218,2,FALSE))</f>
        <v/>
      </c>
      <c r="U40" s="62" t="str">
        <f>IF(U39="","",VLOOKUP(U39,'Tech Tree Node Parameters'!$A$3:$B$218,2,FALSE))</f>
        <v/>
      </c>
      <c r="V40" s="62" t="str">
        <f>IF(V39="","",VLOOKUP(V39,'Tech Tree Node Parameters'!$A$3:$B$218,2,FALSE))</f>
        <v/>
      </c>
      <c r="W40" s="62" t="str">
        <f>IF(W39="","",VLOOKUP(W39,'Tech Tree Node Parameters'!$A$3:$B$218,2,FALSE))</f>
        <v/>
      </c>
      <c r="X40" s="62" t="str">
        <f>IF(X39="","",VLOOKUP(X39,'Tech Tree Node Parameters'!$A$3:$B$218,2,FALSE))</f>
        <v/>
      </c>
      <c r="Y40" s="62" t="str">
        <f>IF(Y39="","",VLOOKUP(Y39,'Tech Tree Node Parameters'!$A$3:$B$218,2,FALSE))</f>
        <v/>
      </c>
      <c r="Z40" s="62" t="str">
        <f>IF(Z39="","",VLOOKUP(Z39,'Tech Tree Node Parameters'!$A$3:$B$218,2,FALSE))</f>
        <v/>
      </c>
      <c r="AA40" s="62" t="str">
        <f>IF(AA39="","",VLOOKUP(AA39,'Tech Tree Node Parameters'!$A$3:$B$218,2,FALSE))</f>
        <v>10m Rocketry</v>
      </c>
      <c r="AB40" s="62" t="str">
        <f>IF(AB39="","",VLOOKUP(AB39,'Tech Tree Node Parameters'!$A$3:$B$218,2,FALSE))</f>
        <v/>
      </c>
      <c r="AC40" s="62" t="str">
        <f>IF(AC39="","",VLOOKUP(AC39,'Tech Tree Node Parameters'!$A$3:$B$218,2,FALSE))</f>
        <v/>
      </c>
      <c r="AD40" s="62" t="str">
        <f>IF(AD39="","",VLOOKUP(AD39,'Tech Tree Node Parameters'!$A$3:$B$218,2,FALSE))</f>
        <v/>
      </c>
      <c r="AE40" s="62" t="str">
        <f>IF(AE39="","",VLOOKUP(AE39,'Tech Tree Node Parameters'!$A$3:$B$218,2,FALSE))</f>
        <v/>
      </c>
      <c r="AF40" s="62" t="str">
        <f>IF(AF39="","",VLOOKUP(AF39,'Tech Tree Node Parameters'!$A$3:$B$218,2,FALSE))</f>
        <v/>
      </c>
      <c r="AG40" s="62" t="str">
        <f>IF(AG39="","",VLOOKUP(AG39,'Tech Tree Node Parameters'!$A$3:$B$218,2,FALSE))</f>
        <v/>
      </c>
      <c r="AH40" s="62" t="str">
        <f>IF(AH39="","",VLOOKUP(AH39,'Tech Tree Node Parameters'!$A$3:$B$218,2,FALSE))</f>
        <v/>
      </c>
      <c r="AI40" s="62" t="str">
        <f>IF(AI39="","",VLOOKUP(AI39,'Tech Tree Node Parameters'!$A$3:$B$218,2,FALSE))</f>
        <v/>
      </c>
      <c r="AJ40" s="62" t="str">
        <f>IF(AJ39="","",VLOOKUP(AJ39,'Tech Tree Node Parameters'!$A$3:$B$218,2,FALSE))</f>
        <v/>
      </c>
      <c r="AK40" s="62" t="str">
        <f>IF(AK39="","",VLOOKUP(AK39,'Tech Tree Node Parameters'!$A$3:$B$218,2,FALSE))</f>
        <v/>
      </c>
      <c r="AL40" s="62" t="str">
        <f>IF(AL39="","",VLOOKUP(AL39,'Tech Tree Node Parameters'!$A$3:$B$218,2,FALSE))</f>
        <v/>
      </c>
      <c r="AM40" s="62" t="str">
        <f>IF(AM39="","",VLOOKUP(AM39,'Tech Tree Node Parameters'!$A$3:$B$218,2,FALSE))</f>
        <v>Nuclear Propulsion</v>
      </c>
      <c r="AN40" s="62" t="str">
        <f>IF(AN39="","",VLOOKUP(AN39,'Tech Tree Node Parameters'!$A$3:$B$218,2,FALSE))</f>
        <v/>
      </c>
      <c r="AO40" s="62" t="str">
        <f>IF(AO39="","",VLOOKUP(AO39,'Tech Tree Node Parameters'!$A$3:$B$218,2,FALSE))</f>
        <v>Nuclear Fuel Systems</v>
      </c>
      <c r="AP40" s="62" t="str">
        <f>IF(AP39="","",VLOOKUP(AP39,'Tech Tree Node Parameters'!$A$3:$B$218,2,FALSE))</f>
        <v/>
      </c>
      <c r="AQ40" s="62" t="str">
        <f>IF(AQ39="","",VLOOKUP(AQ39,'Tech Tree Node Parameters'!$A$3:$B$218,2,FALSE))</f>
        <v>Medium Bypass Turbofan Engines</v>
      </c>
      <c r="AR40" s="62" t="str">
        <f>IF(AR39="","",VLOOKUP(AR39,'Tech Tree Node Parameters'!$A$3:$B$218,2,FALSE))</f>
        <v/>
      </c>
      <c r="AS40" s="62" t="str">
        <f>IF(AS39="","",VLOOKUP(AS39,'Tech Tree Node Parameters'!$A$3:$B$218,2,FALSE))</f>
        <v>Turboprop Engines</v>
      </c>
      <c r="AT40" s="62" t="str">
        <f>IF(AT39="","",VLOOKUP(AT39,'Tech Tree Node Parameters'!$A$3:$B$218,2,FALSE))</f>
        <v/>
      </c>
      <c r="AU40" s="62" t="str">
        <f>IF(AU39="","",VLOOKUP(AU39,'Tech Tree Node Parameters'!$A$3:$B$218,2,FALSE))</f>
        <v/>
      </c>
      <c r="AV40" s="62" t="str">
        <f>IF(AV39="","",VLOOKUP(AV39,'Tech Tree Node Parameters'!$A$3:$B$218,2,FALSE))</f>
        <v/>
      </c>
      <c r="AW40" s="62" t="str">
        <f>IF(AW39="","",VLOOKUP(AW39,'Tech Tree Node Parameters'!$A$3:$B$218,2,FALSE))</f>
        <v/>
      </c>
      <c r="AX40" s="62" t="str">
        <f>IF(AX39="","",VLOOKUP(AX39,'Tech Tree Node Parameters'!$A$3:$B$218,2,FALSE))</f>
        <v/>
      </c>
      <c r="AY40" s="62" t="str">
        <f>IF(AY39="","",VLOOKUP(AY39,'Tech Tree Node Parameters'!$A$3:$B$218,2,FALSE))</f>
        <v>Stability &amp; Control</v>
      </c>
      <c r="AZ40" s="62" t="str">
        <f>IF(AZ39="","",VLOOKUP(AZ39,'Tech Tree Node Parameters'!$A$3:$B$218,2,FALSE))</f>
        <v/>
      </c>
      <c r="BA40" s="62" t="str">
        <f>IF(BA39="","",VLOOKUP(BA39,'Tech Tree Node Parameters'!$A$3:$B$218,2,FALSE))</f>
        <v/>
      </c>
      <c r="BB40" s="62" t="str">
        <f>IF(BB39="","",VLOOKUP(BB39,'Tech Tree Node Parameters'!$A$3:$B$218,2,FALSE))</f>
        <v/>
      </c>
      <c r="BC40" s="62" t="str">
        <f>IF(BC39="","",VLOOKUP(BC39,'Tech Tree Node Parameters'!$A$3:$B$218,2,FALSE))</f>
        <v/>
      </c>
      <c r="BD40" s="62" t="str">
        <f>IF(BD39="","",VLOOKUP(BD39,'Tech Tree Node Parameters'!$A$3:$B$218,2,FALSE))</f>
        <v/>
      </c>
      <c r="BE40" s="62" t="str">
        <f>IF(BE39="","",VLOOKUP(BE39,'Tech Tree Node Parameters'!$A$3:$B$218,2,FALSE))</f>
        <v/>
      </c>
      <c r="BF40" s="62" t="str">
        <f>IF(BF39="","",VLOOKUP(BF39,'Tech Tree Node Parameters'!$A$3:$B$218,2,FALSE))</f>
        <v/>
      </c>
      <c r="BG40" s="62" t="str">
        <f>IF(BG39="","",VLOOKUP(BG39,'Tech Tree Node Parameters'!$A$3:$B$218,2,FALSE))</f>
        <v/>
      </c>
      <c r="BH40" s="62" t="str">
        <f>IF(BH39="","",VLOOKUP(BH39,'Tech Tree Node Parameters'!$A$3:$B$218,2,FALSE))</f>
        <v/>
      </c>
      <c r="BI40" s="62" t="str">
        <f>IF(BI39="","",VLOOKUP(BI39,'Tech Tree Node Parameters'!$A$3:$B$218,2,FALSE))</f>
        <v/>
      </c>
      <c r="BJ40" s="62" t="str">
        <f>IF(BJ39="","",VLOOKUP(BJ39,'Tech Tree Node Parameters'!$A$3:$B$218,2,FALSE))</f>
        <v/>
      </c>
      <c r="BK40" s="62" t="str">
        <f>IF(BK39="","",VLOOKUP(BK39,'Tech Tree Node Parameters'!$A$3:$B$218,2,FALSE))</f>
        <v/>
      </c>
      <c r="BL40" s="62" t="str">
        <f>IF(BL39="","",VLOOKUP(BL39,'Tech Tree Node Parameters'!$A$3:$B$218,2,FALSE))</f>
        <v/>
      </c>
      <c r="BM40" s="62" t="str">
        <f>IF(BM39="","",VLOOKUP(BM39,'Tech Tree Node Parameters'!$A$3:$B$218,2,FALSE))</f>
        <v/>
      </c>
      <c r="BN40" s="62" t="str">
        <f>IF(BN39="","",VLOOKUP(BN39,'Tech Tree Node Parameters'!$A$3:$B$218,2,FALSE))</f>
        <v/>
      </c>
      <c r="BO40" s="62" t="str">
        <f>IF(BO39="","",VLOOKUP(BO39,'Tech Tree Node Parameters'!$A$3:$B$218,2,FALSE))</f>
        <v/>
      </c>
      <c r="BP40" s="62" t="str">
        <f>IF(BP39="","",VLOOKUP(BP39,'Tech Tree Node Parameters'!$A$3:$B$218,2,FALSE))</f>
        <v/>
      </c>
      <c r="BQ40" s="62" t="str">
        <f>IF(BQ39="","",VLOOKUP(BQ39,'Tech Tree Node Parameters'!$A$3:$B$218,2,FALSE))</f>
        <v/>
      </c>
      <c r="BR40" s="62" t="str">
        <f>IF(BR39="","",VLOOKUP(BR39,'Tech Tree Node Parameters'!$A$3:$B$218,2,FALSE))</f>
        <v/>
      </c>
      <c r="BS40" s="62" t="str">
        <f>IF(BS39="","",VLOOKUP(BS39,'Tech Tree Node Parameters'!$A$3:$B$218,2,FALSE))</f>
        <v/>
      </c>
      <c r="BT40" s="62" t="str">
        <f>IF(BT39="","",VLOOKUP(BT39,'Tech Tree Node Parameters'!$A$3:$B$218,2,FALSE))</f>
        <v/>
      </c>
      <c r="BU40" s="62" t="str">
        <f>IF(BU39="","",VLOOKUP(BU39,'Tech Tree Node Parameters'!$A$3:$B$218,2,FALSE))</f>
        <v/>
      </c>
      <c r="BV40" s="62" t="str">
        <f>IF(BV39="","",VLOOKUP(BV39,'Tech Tree Node Parameters'!$A$3:$B$218,2,FALSE))</f>
        <v/>
      </c>
      <c r="BW40" s="62" t="str">
        <f>IF(BW39="","",VLOOKUP(BW39,'Tech Tree Node Parameters'!$A$3:$B$218,2,FALSE))</f>
        <v/>
      </c>
      <c r="BX40" s="62" t="str">
        <f>IF(BX39="","",VLOOKUP(BX39,'Tech Tree Node Parameters'!$A$3:$B$218,2,FALSE))</f>
        <v/>
      </c>
      <c r="BY40" s="62" t="str">
        <f>IF(BY39="","",VLOOKUP(BY39,'Tech Tree Node Parameters'!$A$3:$B$218,2,FALSE))</f>
        <v/>
      </c>
      <c r="BZ40" s="62" t="str">
        <f>IF(BZ39="","",VLOOKUP(BZ39,'Tech Tree Node Parameters'!$A$3:$B$218,2,FALSE))</f>
        <v/>
      </c>
      <c r="CA40" s="62" t="str">
        <f>IF(CA39="","",VLOOKUP(CA39,'Tech Tree Node Parameters'!$A$3:$B$218,2,FALSE))</f>
        <v/>
      </c>
      <c r="CB40" s="62" t="str">
        <f>IF(CB39="","",VLOOKUP(CB39,'Tech Tree Node Parameters'!$A$3:$B$218,2,FALSE))</f>
        <v/>
      </c>
      <c r="CC40" s="62" t="str">
        <f>IF(CC39="","",VLOOKUP(CC39,'Tech Tree Node Parameters'!$A$3:$B$218,2,FALSE))</f>
        <v/>
      </c>
      <c r="CD40" s="62" t="str">
        <f>IF(CD39="","",VLOOKUP(CD39,'Tech Tree Node Parameters'!$A$3:$B$218,2,FALSE))</f>
        <v/>
      </c>
      <c r="CE40" s="62" t="str">
        <f>IF(CE39="","",VLOOKUP(CE39,'Tech Tree Node Parameters'!$A$3:$B$218,2,FALSE))</f>
        <v/>
      </c>
      <c r="CF40" s="62" t="str">
        <f>IF(CF39="","",VLOOKUP(CF39,'Tech Tree Node Parameters'!$A$3:$B$218,2,FALSE))</f>
        <v/>
      </c>
      <c r="CG40" s="62" t="str">
        <f>IF(CG39="","",VLOOKUP(CG39,'Tech Tree Node Parameters'!$A$3:$B$218,2,FALSE))</f>
        <v/>
      </c>
      <c r="CH40" s="62" t="str">
        <f>IF(CH39="","",VLOOKUP(CH39,'Tech Tree Node Parameters'!$A$3:$B$218,2,FALSE))</f>
        <v/>
      </c>
      <c r="CI40" s="62" t="str">
        <f>IF(CI39="","",VLOOKUP(CI39,'Tech Tree Node Parameters'!$A$3:$B$218,2,FALSE))</f>
        <v/>
      </c>
      <c r="CJ40" s="62" t="str">
        <f>IF(CJ39="","",VLOOKUP(CJ39,'Tech Tree Node Parameters'!$A$3:$B$218,2,FALSE))</f>
        <v/>
      </c>
      <c r="CK40" s="62" t="str">
        <f>IF(CK39="","",VLOOKUP(CK39,'Tech Tree Node Parameters'!$A$3:$B$218,2,FALSE))</f>
        <v/>
      </c>
      <c r="CL40" s="62" t="str">
        <f>IF(CL39="","",VLOOKUP(CL39,'Tech Tree Node Parameters'!$A$3:$B$218,2,FALSE))</f>
        <v/>
      </c>
      <c r="CM40" s="62" t="str">
        <f>IF(CM39="","",VLOOKUP(CM39,'Tech Tree Node Parameters'!$A$3:$B$218,2,FALSE))</f>
        <v/>
      </c>
      <c r="CN40" s="62" t="str">
        <f>IF(CN39="","",VLOOKUP(CN39,'Tech Tree Node Parameters'!$A$3:$B$218,2,FALSE))</f>
        <v/>
      </c>
      <c r="CO40" s="62" t="str">
        <f>IF(CO39="","",VLOOKUP(CO39,'Tech Tree Node Parameters'!$A$3:$B$218,2,FALSE))</f>
        <v/>
      </c>
      <c r="CP40" s="62" t="str">
        <f>IF(CP39="","",VLOOKUP(CP39,'Tech Tree Node Parameters'!$A$3:$B$218,2,FALSE))</f>
        <v/>
      </c>
      <c r="CQ40" s="62" t="str">
        <f>IF(CQ39="","",VLOOKUP(CQ39,'Tech Tree Node Parameters'!$A$3:$B$218,2,FALSE))</f>
        <v/>
      </c>
      <c r="CR40" s="62" t="str">
        <f>IF(CR39="","",VLOOKUP(CR39,'Tech Tree Node Parameters'!$A$3:$B$218,2,FALSE))</f>
        <v/>
      </c>
      <c r="CS40" s="62" t="str">
        <f>IF(CS39="","",VLOOKUP(CS39,'Tech Tree Node Parameters'!$A$3:$B$218,2,FALSE))</f>
        <v/>
      </c>
      <c r="CT40" s="62" t="str">
        <f>IF(CT39="","",VLOOKUP(CT39,'Tech Tree Node Parameters'!$A$3:$B$218,2,FALSE))</f>
        <v/>
      </c>
      <c r="CU40" s="62" t="str">
        <f>IF(CU39="","",VLOOKUP(CU39,'Tech Tree Node Parameters'!$A$3:$B$218,2,FALSE))</f>
        <v/>
      </c>
      <c r="CV40" s="62" t="str">
        <f>IF(CV39="","",VLOOKUP(CV39,'Tech Tree Node Parameters'!$A$3:$B$218,2,FALSE))</f>
        <v/>
      </c>
      <c r="CW40" s="62" t="str">
        <f>IF(CW39="","",VLOOKUP(CW39,'Tech Tree Node Parameters'!$A$3:$B$218,2,FALSE))</f>
        <v/>
      </c>
      <c r="CX40" s="62" t="str">
        <f>IF(CX39="","",VLOOKUP(CX39,'Tech Tree Node Parameters'!$A$3:$B$218,2,FALSE))</f>
        <v/>
      </c>
      <c r="CY40" s="36" t="str">
        <f>IF(CY39="","",VLOOKUP(CY39,'Tech Tree Node Parameters'!$A$3:$B$218,2,FALSE))</f>
        <v/>
      </c>
    </row>
    <row r="41" spans="1:103" s="47" customFormat="1" x14ac:dyDescent="0.25">
      <c r="A41" s="72">
        <f t="shared" si="10"/>
        <v>43</v>
      </c>
      <c r="B41" s="69">
        <f>B43+$D$6</f>
        <v>1671</v>
      </c>
      <c r="C41" s="39"/>
      <c r="D41" s="61"/>
      <c r="E41" s="61"/>
      <c r="F41" s="61"/>
      <c r="G41" s="61"/>
      <c r="H41" s="61"/>
      <c r="I41" s="61"/>
      <c r="J41" s="61"/>
      <c r="K41" s="61"/>
      <c r="L41" s="61"/>
      <c r="M41" s="61"/>
      <c r="N41" s="61"/>
      <c r="O41" s="61"/>
      <c r="P41" s="61"/>
      <c r="Q41" s="61"/>
      <c r="R41" s="61"/>
      <c r="S41" s="61"/>
      <c r="T41" s="61"/>
      <c r="U41" s="61"/>
      <c r="V41" s="61"/>
      <c r="W41" s="61"/>
      <c r="X41" s="61"/>
      <c r="Y41" s="61"/>
      <c r="Z41" s="61"/>
      <c r="AA41" s="61"/>
      <c r="AB41" s="61"/>
      <c r="AC41" s="61"/>
      <c r="AD41" s="61"/>
      <c r="AE41" s="61"/>
      <c r="AF41" s="61"/>
      <c r="AG41" s="61"/>
      <c r="AH41" s="61"/>
      <c r="AI41" s="61"/>
      <c r="AJ41" s="61"/>
      <c r="AK41" s="61"/>
      <c r="AL41" s="61"/>
      <c r="AM41" s="61"/>
      <c r="AN41" s="61"/>
      <c r="AO41" s="61"/>
      <c r="AP41" s="61"/>
      <c r="AQ41" s="61"/>
      <c r="AR41" s="61"/>
      <c r="AS41" s="61"/>
      <c r="AT41" s="61"/>
      <c r="AU41" s="61"/>
      <c r="AV41" s="61"/>
      <c r="AW41" s="61"/>
      <c r="AX41" s="61"/>
      <c r="AY41" s="61"/>
      <c r="AZ41" s="61"/>
      <c r="BA41" s="61"/>
      <c r="BB41" s="61"/>
      <c r="BC41" s="61"/>
      <c r="BD41" s="61"/>
      <c r="BE41" s="61"/>
      <c r="BF41" s="61"/>
      <c r="BG41" s="61"/>
      <c r="BH41" s="61"/>
      <c r="BI41" s="61" t="s">
        <v>17</v>
      </c>
      <c r="BJ41" s="61"/>
      <c r="BK41" s="61" t="s">
        <v>24</v>
      </c>
      <c r="BL41" s="61"/>
      <c r="BM41" s="61" t="s">
        <v>16</v>
      </c>
      <c r="BN41" s="61"/>
      <c r="BO41" s="61" t="s">
        <v>14</v>
      </c>
      <c r="BP41" s="61"/>
      <c r="BQ41" s="61"/>
      <c r="BR41" s="61"/>
      <c r="BS41" s="61"/>
      <c r="BT41" s="61"/>
      <c r="BU41" s="61"/>
      <c r="BV41" s="61"/>
      <c r="BW41" s="61"/>
      <c r="BX41" s="61"/>
      <c r="BY41" s="61"/>
      <c r="BZ41" s="61"/>
      <c r="CA41" s="61"/>
      <c r="CB41" s="61"/>
      <c r="CC41" s="61"/>
      <c r="CD41" s="61"/>
      <c r="CE41" s="61"/>
      <c r="CF41" s="61"/>
      <c r="CG41" s="61"/>
      <c r="CH41" s="61"/>
      <c r="CI41" s="61"/>
      <c r="CJ41" s="61"/>
      <c r="CK41" s="61"/>
      <c r="CL41" s="61"/>
      <c r="CM41" s="61"/>
      <c r="CN41" s="61"/>
      <c r="CO41" s="61"/>
      <c r="CP41" s="61"/>
      <c r="CQ41" s="61"/>
      <c r="CR41" s="61"/>
      <c r="CS41" s="61"/>
      <c r="CT41" s="61"/>
      <c r="CU41" s="61"/>
      <c r="CV41" s="61"/>
      <c r="CW41" s="61"/>
      <c r="CX41" s="61"/>
      <c r="CY41" s="35"/>
    </row>
    <row r="42" spans="1:103" s="47" customFormat="1" x14ac:dyDescent="0.25">
      <c r="A42" s="72"/>
      <c r="B42" s="70"/>
      <c r="C42" s="40"/>
      <c r="D42" s="62" t="str">
        <f>IF(D41="","",VLOOKUP(D41,'Tech Tree Node Parameters'!$A$3:$B$218,2,FALSE))</f>
        <v/>
      </c>
      <c r="E42" s="62" t="str">
        <f>IF(E41="","",VLOOKUP(E41,'Tech Tree Node Parameters'!$A$3:$B$218,2,FALSE))</f>
        <v/>
      </c>
      <c r="F42" s="62" t="str">
        <f>IF(F41="","",VLOOKUP(F41,'Tech Tree Node Parameters'!$A$3:$B$218,2,FALSE))</f>
        <v/>
      </c>
      <c r="G42" s="62" t="str">
        <f>IF(G41="","",VLOOKUP(G41,'Tech Tree Node Parameters'!$A$3:$B$218,2,FALSE))</f>
        <v/>
      </c>
      <c r="H42" s="62" t="str">
        <f>IF(H41="","",VLOOKUP(H41,'Tech Tree Node Parameters'!$A$3:$B$218,2,FALSE))</f>
        <v/>
      </c>
      <c r="I42" s="62" t="str">
        <f>IF(I41="","",VLOOKUP(I41,'Tech Tree Node Parameters'!$A$3:$B$218,2,FALSE))</f>
        <v/>
      </c>
      <c r="J42" s="62" t="str">
        <f>IF(J41="","",VLOOKUP(J41,'Tech Tree Node Parameters'!$A$3:$B$218,2,FALSE))</f>
        <v/>
      </c>
      <c r="K42" s="62" t="str">
        <f>IF(K41="","",VLOOKUP(K41,'Tech Tree Node Parameters'!$A$3:$B$218,2,FALSE))</f>
        <v/>
      </c>
      <c r="L42" s="62" t="str">
        <f>IF(L41="","",VLOOKUP(L41,'Tech Tree Node Parameters'!$A$3:$B$218,2,FALSE))</f>
        <v/>
      </c>
      <c r="M42" s="62" t="str">
        <f>IF(M41="","",VLOOKUP(M41,'Tech Tree Node Parameters'!$A$3:$B$218,2,FALSE))</f>
        <v/>
      </c>
      <c r="N42" s="62" t="str">
        <f>IF(N41="","",VLOOKUP(N41,'Tech Tree Node Parameters'!$A$3:$B$218,2,FALSE))</f>
        <v/>
      </c>
      <c r="O42" s="62" t="str">
        <f>IF(O41="","",VLOOKUP(O41,'Tech Tree Node Parameters'!$A$3:$B$218,2,FALSE))</f>
        <v/>
      </c>
      <c r="P42" s="62" t="str">
        <f>IF(P41="","",VLOOKUP(P41,'Tech Tree Node Parameters'!$A$3:$B$218,2,FALSE))</f>
        <v/>
      </c>
      <c r="Q42" s="62" t="str">
        <f>IF(Q41="","",VLOOKUP(Q41,'Tech Tree Node Parameters'!$A$3:$B$218,2,FALSE))</f>
        <v/>
      </c>
      <c r="R42" s="62" t="str">
        <f>IF(R41="","",VLOOKUP(R41,'Tech Tree Node Parameters'!$A$3:$B$218,2,FALSE))</f>
        <v/>
      </c>
      <c r="S42" s="62" t="str">
        <f>IF(S41="","",VLOOKUP(S41,'Tech Tree Node Parameters'!$A$3:$B$218,2,FALSE))</f>
        <v/>
      </c>
      <c r="T42" s="62" t="str">
        <f>IF(T41="","",VLOOKUP(T41,'Tech Tree Node Parameters'!$A$3:$B$218,2,FALSE))</f>
        <v/>
      </c>
      <c r="U42" s="62" t="str">
        <f>IF(U41="","",VLOOKUP(U41,'Tech Tree Node Parameters'!$A$3:$B$218,2,FALSE))</f>
        <v/>
      </c>
      <c r="V42" s="62" t="str">
        <f>IF(V41="","",VLOOKUP(V41,'Tech Tree Node Parameters'!$A$3:$B$218,2,FALSE))</f>
        <v/>
      </c>
      <c r="W42" s="62" t="str">
        <f>IF(W41="","",VLOOKUP(W41,'Tech Tree Node Parameters'!$A$3:$B$218,2,FALSE))</f>
        <v/>
      </c>
      <c r="X42" s="62" t="str">
        <f>IF(X41="","",VLOOKUP(X41,'Tech Tree Node Parameters'!$A$3:$B$218,2,FALSE))</f>
        <v/>
      </c>
      <c r="Y42" s="62" t="str">
        <f>IF(Y41="","",VLOOKUP(Y41,'Tech Tree Node Parameters'!$A$3:$B$218,2,FALSE))</f>
        <v/>
      </c>
      <c r="Z42" s="62" t="str">
        <f>IF(Z41="","",VLOOKUP(Z41,'Tech Tree Node Parameters'!$A$3:$B$218,2,FALSE))</f>
        <v/>
      </c>
      <c r="AA42" s="62" t="str">
        <f>IF(AA41="","",VLOOKUP(AA41,'Tech Tree Node Parameters'!$A$3:$B$218,2,FALSE))</f>
        <v/>
      </c>
      <c r="AB42" s="62" t="str">
        <f>IF(AB41="","",VLOOKUP(AB41,'Tech Tree Node Parameters'!$A$3:$B$218,2,FALSE))</f>
        <v/>
      </c>
      <c r="AC42" s="62" t="str">
        <f>IF(AC41="","",VLOOKUP(AC41,'Tech Tree Node Parameters'!$A$3:$B$218,2,FALSE))</f>
        <v/>
      </c>
      <c r="AD42" s="62" t="str">
        <f>IF(AD41="","",VLOOKUP(AD41,'Tech Tree Node Parameters'!$A$3:$B$218,2,FALSE))</f>
        <v/>
      </c>
      <c r="AE42" s="62" t="str">
        <f>IF(AE41="","",VLOOKUP(AE41,'Tech Tree Node Parameters'!$A$3:$B$218,2,FALSE))</f>
        <v/>
      </c>
      <c r="AF42" s="62" t="str">
        <f>IF(AF41="","",VLOOKUP(AF41,'Tech Tree Node Parameters'!$A$3:$B$218,2,FALSE))</f>
        <v/>
      </c>
      <c r="AG42" s="62" t="str">
        <f>IF(AG41="","",VLOOKUP(AG41,'Tech Tree Node Parameters'!$A$3:$B$218,2,FALSE))</f>
        <v/>
      </c>
      <c r="AH42" s="62" t="str">
        <f>IF(AH41="","",VLOOKUP(AH41,'Tech Tree Node Parameters'!$A$3:$B$218,2,FALSE))</f>
        <v/>
      </c>
      <c r="AI42" s="62" t="str">
        <f>IF(AI41="","",VLOOKUP(AI41,'Tech Tree Node Parameters'!$A$3:$B$218,2,FALSE))</f>
        <v/>
      </c>
      <c r="AJ42" s="62" t="str">
        <f>IF(AJ41="","",VLOOKUP(AJ41,'Tech Tree Node Parameters'!$A$3:$B$218,2,FALSE))</f>
        <v/>
      </c>
      <c r="AK42" s="62" t="str">
        <f>IF(AK41="","",VLOOKUP(AK41,'Tech Tree Node Parameters'!$A$3:$B$218,2,FALSE))</f>
        <v/>
      </c>
      <c r="AL42" s="62" t="str">
        <f>IF(AL41="","",VLOOKUP(AL41,'Tech Tree Node Parameters'!$A$3:$B$218,2,FALSE))</f>
        <v/>
      </c>
      <c r="AM42" s="62" t="str">
        <f>IF(AM41="","",VLOOKUP(AM41,'Tech Tree Node Parameters'!$A$3:$B$218,2,FALSE))</f>
        <v/>
      </c>
      <c r="AN42" s="62" t="str">
        <f>IF(AN41="","",VLOOKUP(AN41,'Tech Tree Node Parameters'!$A$3:$B$218,2,FALSE))</f>
        <v/>
      </c>
      <c r="AO42" s="62" t="str">
        <f>IF(AO41="","",VLOOKUP(AO41,'Tech Tree Node Parameters'!$A$3:$B$218,2,FALSE))</f>
        <v/>
      </c>
      <c r="AP42" s="62" t="str">
        <f>IF(AP41="","",VLOOKUP(AP41,'Tech Tree Node Parameters'!$A$3:$B$218,2,FALSE))</f>
        <v/>
      </c>
      <c r="AQ42" s="62" t="str">
        <f>IF(AQ41="","",VLOOKUP(AQ41,'Tech Tree Node Parameters'!$A$3:$B$218,2,FALSE))</f>
        <v/>
      </c>
      <c r="AR42" s="62" t="str">
        <f>IF(AR41="","",VLOOKUP(AR41,'Tech Tree Node Parameters'!$A$3:$B$218,2,FALSE))</f>
        <v/>
      </c>
      <c r="AS42" s="62" t="str">
        <f>IF(AS41="","",VLOOKUP(AS41,'Tech Tree Node Parameters'!$A$3:$B$218,2,FALSE))</f>
        <v/>
      </c>
      <c r="AT42" s="62" t="str">
        <f>IF(AT41="","",VLOOKUP(AT41,'Tech Tree Node Parameters'!$A$3:$B$218,2,FALSE))</f>
        <v/>
      </c>
      <c r="AU42" s="62" t="str">
        <f>IF(AU41="","",VLOOKUP(AU41,'Tech Tree Node Parameters'!$A$3:$B$218,2,FALSE))</f>
        <v/>
      </c>
      <c r="AV42" s="62" t="str">
        <f>IF(AV41="","",VLOOKUP(AV41,'Tech Tree Node Parameters'!$A$3:$B$218,2,FALSE))</f>
        <v/>
      </c>
      <c r="AW42" s="62" t="str">
        <f>IF(AW41="","",VLOOKUP(AW41,'Tech Tree Node Parameters'!$A$3:$B$218,2,FALSE))</f>
        <v/>
      </c>
      <c r="AX42" s="62" t="str">
        <f>IF(AX41="","",VLOOKUP(AX41,'Tech Tree Node Parameters'!$A$3:$B$218,2,FALSE))</f>
        <v/>
      </c>
      <c r="AY42" s="62" t="str">
        <f>IF(AY41="","",VLOOKUP(AY41,'Tech Tree Node Parameters'!$A$3:$B$218,2,FALSE))</f>
        <v/>
      </c>
      <c r="AZ42" s="62" t="str">
        <f>IF(AZ41="","",VLOOKUP(AZ41,'Tech Tree Node Parameters'!$A$3:$B$218,2,FALSE))</f>
        <v/>
      </c>
      <c r="BA42" s="62" t="str">
        <f>IF(BA41="","",VLOOKUP(BA41,'Tech Tree Node Parameters'!$A$3:$B$218,2,FALSE))</f>
        <v/>
      </c>
      <c r="BB42" s="62" t="str">
        <f>IF(BB41="","",VLOOKUP(BB41,'Tech Tree Node Parameters'!$A$3:$B$218,2,FALSE))</f>
        <v/>
      </c>
      <c r="BC42" s="62" t="str">
        <f>IF(BC41="","",VLOOKUP(BC41,'Tech Tree Node Parameters'!$A$3:$B$218,2,FALSE))</f>
        <v/>
      </c>
      <c r="BD42" s="62" t="str">
        <f>IF(BD41="","",VLOOKUP(BD41,'Tech Tree Node Parameters'!$A$3:$B$218,2,FALSE))</f>
        <v/>
      </c>
      <c r="BE42" s="62" t="str">
        <f>IF(BE41="","",VLOOKUP(BE41,'Tech Tree Node Parameters'!$A$3:$B$218,2,FALSE))</f>
        <v/>
      </c>
      <c r="BF42" s="62" t="str">
        <f>IF(BF41="","",VLOOKUP(BF41,'Tech Tree Node Parameters'!$A$3:$B$218,2,FALSE))</f>
        <v/>
      </c>
      <c r="BG42" s="62" t="str">
        <f>IF(BG41="","",VLOOKUP(BG41,'Tech Tree Node Parameters'!$A$3:$B$218,2,FALSE))</f>
        <v/>
      </c>
      <c r="BH42" s="62" t="str">
        <f>IF(BH41="","",VLOOKUP(BH41,'Tech Tree Node Parameters'!$A$3:$B$218,2,FALSE))</f>
        <v/>
      </c>
      <c r="BI42" s="62" t="str">
        <f>IF(BI41="","",VLOOKUP(BI41,'Tech Tree Node Parameters'!$A$3:$B$218,2,FALSE))</f>
        <v>Simple Command Modules</v>
      </c>
      <c r="BJ42" s="62" t="str">
        <f>IF(BJ41="","",VLOOKUP(BJ41,'Tech Tree Node Parameters'!$A$3:$B$218,2,FALSE))</f>
        <v/>
      </c>
      <c r="BK42" s="62" t="str">
        <f>IF(BK41="","",VLOOKUP(BK41,'Tech Tree Node Parameters'!$A$3:$B$218,2,FALSE))</f>
        <v>Command Modules</v>
      </c>
      <c r="BL42" s="62" t="str">
        <f>IF(BL41="","",VLOOKUP(BL41,'Tech Tree Node Parameters'!$A$3:$B$218,2,FALSE))</f>
        <v/>
      </c>
      <c r="BM42" s="62" t="str">
        <f>IF(BM41="","",VLOOKUP(BM41,'Tech Tree Node Parameters'!$A$3:$B$218,2,FALSE))</f>
        <v>Heavy Command Modules</v>
      </c>
      <c r="BN42" s="62" t="str">
        <f>IF(BN41="","",VLOOKUP(BN41,'Tech Tree Node Parameters'!$A$3:$B$218,2,FALSE))</f>
        <v/>
      </c>
      <c r="BO42" s="62" t="str">
        <f>IF(BO41="","",VLOOKUP(BO41,'Tech Tree Node Parameters'!$A$3:$B$218,2,FALSE))</f>
        <v>Specialized Command Modules</v>
      </c>
      <c r="BP42" s="62" t="str">
        <f>IF(BP41="","",VLOOKUP(BP41,'Tech Tree Node Parameters'!$A$3:$B$218,2,FALSE))</f>
        <v/>
      </c>
      <c r="BQ42" s="62" t="str">
        <f>IF(BQ41="","",VLOOKUP(BQ41,'Tech Tree Node Parameters'!$A$3:$B$218,2,FALSE))</f>
        <v/>
      </c>
      <c r="BR42" s="62" t="str">
        <f>IF(BR41="","",VLOOKUP(BR41,'Tech Tree Node Parameters'!$A$3:$B$218,2,FALSE))</f>
        <v/>
      </c>
      <c r="BS42" s="62" t="str">
        <f>IF(BS41="","",VLOOKUP(BS41,'Tech Tree Node Parameters'!$A$3:$B$218,2,FALSE))</f>
        <v/>
      </c>
      <c r="BT42" s="62" t="str">
        <f>IF(BT41="","",VLOOKUP(BT41,'Tech Tree Node Parameters'!$A$3:$B$218,2,FALSE))</f>
        <v/>
      </c>
      <c r="BU42" s="62" t="str">
        <f>IF(BU41="","",VLOOKUP(BU41,'Tech Tree Node Parameters'!$A$3:$B$218,2,FALSE))</f>
        <v/>
      </c>
      <c r="BV42" s="62" t="str">
        <f>IF(BV41="","",VLOOKUP(BV41,'Tech Tree Node Parameters'!$A$3:$B$218,2,FALSE))</f>
        <v/>
      </c>
      <c r="BW42" s="62" t="str">
        <f>IF(BW41="","",VLOOKUP(BW41,'Tech Tree Node Parameters'!$A$3:$B$218,2,FALSE))</f>
        <v/>
      </c>
      <c r="BX42" s="62" t="str">
        <f>IF(BX41="","",VLOOKUP(BX41,'Tech Tree Node Parameters'!$A$3:$B$218,2,FALSE))</f>
        <v/>
      </c>
      <c r="BY42" s="62" t="str">
        <f>IF(BY41="","",VLOOKUP(BY41,'Tech Tree Node Parameters'!$A$3:$B$218,2,FALSE))</f>
        <v/>
      </c>
      <c r="BZ42" s="62" t="str">
        <f>IF(BZ41="","",VLOOKUP(BZ41,'Tech Tree Node Parameters'!$A$3:$B$218,2,FALSE))</f>
        <v/>
      </c>
      <c r="CA42" s="62" t="str">
        <f>IF(CA41="","",VLOOKUP(CA41,'Tech Tree Node Parameters'!$A$3:$B$218,2,FALSE))</f>
        <v/>
      </c>
      <c r="CB42" s="62" t="str">
        <f>IF(CB41="","",VLOOKUP(CB41,'Tech Tree Node Parameters'!$A$3:$B$218,2,FALSE))</f>
        <v/>
      </c>
      <c r="CC42" s="62" t="str">
        <f>IF(CC41="","",VLOOKUP(CC41,'Tech Tree Node Parameters'!$A$3:$B$218,2,FALSE))</f>
        <v/>
      </c>
      <c r="CD42" s="62" t="str">
        <f>IF(CD41="","",VLOOKUP(CD41,'Tech Tree Node Parameters'!$A$3:$B$218,2,FALSE))</f>
        <v/>
      </c>
      <c r="CE42" s="62" t="str">
        <f>IF(CE41="","",VLOOKUP(CE41,'Tech Tree Node Parameters'!$A$3:$B$218,2,FALSE))</f>
        <v/>
      </c>
      <c r="CF42" s="62" t="str">
        <f>IF(CF41="","",VLOOKUP(CF41,'Tech Tree Node Parameters'!$A$3:$B$218,2,FALSE))</f>
        <v/>
      </c>
      <c r="CG42" s="62" t="str">
        <f>IF(CG41="","",VLOOKUP(CG41,'Tech Tree Node Parameters'!$A$3:$B$218,2,FALSE))</f>
        <v/>
      </c>
      <c r="CH42" s="62" t="str">
        <f>IF(CH41="","",VLOOKUP(CH41,'Tech Tree Node Parameters'!$A$3:$B$218,2,FALSE))</f>
        <v/>
      </c>
      <c r="CI42" s="62" t="str">
        <f>IF(CI41="","",VLOOKUP(CI41,'Tech Tree Node Parameters'!$A$3:$B$218,2,FALSE))</f>
        <v/>
      </c>
      <c r="CJ42" s="62" t="str">
        <f>IF(CJ41="","",VLOOKUP(CJ41,'Tech Tree Node Parameters'!$A$3:$B$218,2,FALSE))</f>
        <v/>
      </c>
      <c r="CK42" s="62" t="str">
        <f>IF(CK41="","",VLOOKUP(CK41,'Tech Tree Node Parameters'!$A$3:$B$218,2,FALSE))</f>
        <v/>
      </c>
      <c r="CL42" s="62" t="str">
        <f>IF(CL41="","",VLOOKUP(CL41,'Tech Tree Node Parameters'!$A$3:$B$218,2,FALSE))</f>
        <v/>
      </c>
      <c r="CM42" s="62" t="str">
        <f>IF(CM41="","",VLOOKUP(CM41,'Tech Tree Node Parameters'!$A$3:$B$218,2,FALSE))</f>
        <v/>
      </c>
      <c r="CN42" s="62" t="str">
        <f>IF(CN41="","",VLOOKUP(CN41,'Tech Tree Node Parameters'!$A$3:$B$218,2,FALSE))</f>
        <v/>
      </c>
      <c r="CO42" s="62" t="str">
        <f>IF(CO41="","",VLOOKUP(CO41,'Tech Tree Node Parameters'!$A$3:$B$218,2,FALSE))</f>
        <v/>
      </c>
      <c r="CP42" s="62" t="str">
        <f>IF(CP41="","",VLOOKUP(CP41,'Tech Tree Node Parameters'!$A$3:$B$218,2,FALSE))</f>
        <v/>
      </c>
      <c r="CQ42" s="62" t="str">
        <f>IF(CQ41="","",VLOOKUP(CQ41,'Tech Tree Node Parameters'!$A$3:$B$218,2,FALSE))</f>
        <v/>
      </c>
      <c r="CR42" s="62" t="str">
        <f>IF(CR41="","",VLOOKUP(CR41,'Tech Tree Node Parameters'!$A$3:$B$218,2,FALSE))</f>
        <v/>
      </c>
      <c r="CS42" s="62" t="str">
        <f>IF(CS41="","",VLOOKUP(CS41,'Tech Tree Node Parameters'!$A$3:$B$218,2,FALSE))</f>
        <v/>
      </c>
      <c r="CT42" s="62" t="str">
        <f>IF(CT41="","",VLOOKUP(CT41,'Tech Tree Node Parameters'!$A$3:$B$218,2,FALSE))</f>
        <v/>
      </c>
      <c r="CU42" s="62" t="str">
        <f>IF(CU41="","",VLOOKUP(CU41,'Tech Tree Node Parameters'!$A$3:$B$218,2,FALSE))</f>
        <v/>
      </c>
      <c r="CV42" s="62" t="str">
        <f>IF(CV41="","",VLOOKUP(CV41,'Tech Tree Node Parameters'!$A$3:$B$218,2,FALSE))</f>
        <v/>
      </c>
      <c r="CW42" s="62" t="str">
        <f>IF(CW41="","",VLOOKUP(CW41,'Tech Tree Node Parameters'!$A$3:$B$218,2,FALSE))</f>
        <v/>
      </c>
      <c r="CX42" s="62" t="str">
        <f>IF(CX41="","",VLOOKUP(CX41,'Tech Tree Node Parameters'!$A$3:$B$218,2,FALSE))</f>
        <v/>
      </c>
      <c r="CY42" s="36" t="str">
        <f>IF(CY41="","",VLOOKUP(CY41,'Tech Tree Node Parameters'!$A$3:$B$218,2,FALSE))</f>
        <v/>
      </c>
    </row>
    <row r="43" spans="1:103" s="49" customFormat="1" x14ac:dyDescent="0.25">
      <c r="A43" s="72">
        <f t="shared" si="10"/>
        <v>42</v>
      </c>
      <c r="B43" s="69">
        <f>B45+$D$6</f>
        <v>1633</v>
      </c>
      <c r="C43" s="39"/>
      <c r="D43" s="61"/>
      <c r="E43" s="61"/>
      <c r="F43" s="61"/>
      <c r="G43" s="61"/>
      <c r="H43" s="61"/>
      <c r="I43" s="61"/>
      <c r="J43" s="61"/>
      <c r="K43" s="61"/>
      <c r="L43" s="61"/>
      <c r="M43" s="61"/>
      <c r="N43" s="61"/>
      <c r="O43" s="61"/>
      <c r="P43" s="61"/>
      <c r="Q43" s="61"/>
      <c r="R43" s="61"/>
      <c r="S43" s="61"/>
      <c r="T43" s="61"/>
      <c r="U43" s="61"/>
      <c r="V43" s="61"/>
      <c r="W43" s="61"/>
      <c r="X43" s="61"/>
      <c r="Y43" s="61"/>
      <c r="Z43" s="61"/>
      <c r="AA43" s="61" t="s">
        <v>825</v>
      </c>
      <c r="AB43" s="61"/>
      <c r="AC43" s="61" t="s">
        <v>22</v>
      </c>
      <c r="AD43" s="61"/>
      <c r="AE43" s="61"/>
      <c r="AF43" s="61"/>
      <c r="AG43" s="61"/>
      <c r="AH43" s="61"/>
      <c r="AI43" s="61"/>
      <c r="AJ43" s="61"/>
      <c r="AK43" s="61"/>
      <c r="AL43" s="61"/>
      <c r="AM43" s="61"/>
      <c r="AN43" s="61"/>
      <c r="AO43" s="61" t="s">
        <v>12</v>
      </c>
      <c r="AP43" s="61"/>
      <c r="AQ43" s="61" t="s">
        <v>517</v>
      </c>
      <c r="AR43" s="61"/>
      <c r="AS43" s="61" t="s">
        <v>514</v>
      </c>
      <c r="AT43" s="61"/>
      <c r="AU43" s="61" t="s">
        <v>551</v>
      </c>
      <c r="AV43" s="61"/>
      <c r="AW43" s="61" t="s">
        <v>539</v>
      </c>
      <c r="AX43" s="61"/>
      <c r="AY43" s="61" t="s">
        <v>538</v>
      </c>
      <c r="AZ43" s="61"/>
      <c r="BA43" s="61"/>
      <c r="BB43" s="61"/>
      <c r="BC43" s="61"/>
      <c r="BD43" s="61"/>
      <c r="BE43" s="61"/>
      <c r="BF43" s="61"/>
      <c r="BG43" s="61"/>
      <c r="BH43" s="61"/>
      <c r="BI43" s="61"/>
      <c r="BJ43" s="61"/>
      <c r="BK43" s="61"/>
      <c r="BL43" s="61"/>
      <c r="BM43" s="61"/>
      <c r="BN43" s="61"/>
      <c r="BO43" s="61"/>
      <c r="BP43" s="61"/>
      <c r="BQ43" s="61"/>
      <c r="BR43" s="61"/>
      <c r="BS43" s="61"/>
      <c r="BT43" s="61"/>
      <c r="BU43" s="61"/>
      <c r="BV43" s="61"/>
      <c r="BW43" s="61"/>
      <c r="BX43" s="61"/>
      <c r="BY43" s="61"/>
      <c r="BZ43" s="61"/>
      <c r="CA43" s="61"/>
      <c r="CB43" s="61"/>
      <c r="CC43" s="61"/>
      <c r="CD43" s="61"/>
      <c r="CE43" s="61"/>
      <c r="CF43" s="61"/>
      <c r="CG43" s="61"/>
      <c r="CH43" s="61"/>
      <c r="CI43" s="61"/>
      <c r="CJ43" s="61"/>
      <c r="CK43" s="61"/>
      <c r="CL43" s="61"/>
      <c r="CM43" s="61"/>
      <c r="CN43" s="61"/>
      <c r="CO43" s="61"/>
      <c r="CP43" s="61"/>
      <c r="CQ43" s="61"/>
      <c r="CR43" s="61"/>
      <c r="CS43" s="61"/>
      <c r="CT43" s="61"/>
      <c r="CU43" s="61"/>
      <c r="CV43" s="61"/>
      <c r="CW43" s="61"/>
      <c r="CX43" s="61"/>
      <c r="CY43" s="35"/>
    </row>
    <row r="44" spans="1:103" s="49" customFormat="1" x14ac:dyDescent="0.25">
      <c r="A44" s="72"/>
      <c r="B44" s="70"/>
      <c r="C44" s="40"/>
      <c r="D44" s="62" t="str">
        <f>IF(D43="","",VLOOKUP(D43,'Tech Tree Node Parameters'!$A$3:$B$218,2,FALSE))</f>
        <v/>
      </c>
      <c r="E44" s="62" t="str">
        <f>IF(E43="","",VLOOKUP(E43,'Tech Tree Node Parameters'!$A$3:$B$218,2,FALSE))</f>
        <v/>
      </c>
      <c r="F44" s="62" t="str">
        <f>IF(F43="","",VLOOKUP(F43,'Tech Tree Node Parameters'!$A$3:$B$218,2,FALSE))</f>
        <v/>
      </c>
      <c r="G44" s="62" t="str">
        <f>IF(G43="","",VLOOKUP(G43,'Tech Tree Node Parameters'!$A$3:$B$218,2,FALSE))</f>
        <v/>
      </c>
      <c r="H44" s="62" t="str">
        <f>IF(H43="","",VLOOKUP(H43,'Tech Tree Node Parameters'!$A$3:$B$218,2,FALSE))</f>
        <v/>
      </c>
      <c r="I44" s="62" t="str">
        <f>IF(I43="","",VLOOKUP(I43,'Tech Tree Node Parameters'!$A$3:$B$218,2,FALSE))</f>
        <v/>
      </c>
      <c r="J44" s="62" t="str">
        <f>IF(J43="","",VLOOKUP(J43,'Tech Tree Node Parameters'!$A$3:$B$218,2,FALSE))</f>
        <v/>
      </c>
      <c r="K44" s="62" t="str">
        <f>IF(K43="","",VLOOKUP(K43,'Tech Tree Node Parameters'!$A$3:$B$218,2,FALSE))</f>
        <v/>
      </c>
      <c r="L44" s="62" t="str">
        <f>IF(L43="","",VLOOKUP(L43,'Tech Tree Node Parameters'!$A$3:$B$218,2,FALSE))</f>
        <v/>
      </c>
      <c r="M44" s="62" t="str">
        <f>IF(M43="","",VLOOKUP(M43,'Tech Tree Node Parameters'!$A$3:$B$218,2,FALSE))</f>
        <v/>
      </c>
      <c r="N44" s="62" t="str">
        <f>IF(N43="","",VLOOKUP(N43,'Tech Tree Node Parameters'!$A$3:$B$218,2,FALSE))</f>
        <v/>
      </c>
      <c r="O44" s="62" t="str">
        <f>IF(O43="","",VLOOKUP(O43,'Tech Tree Node Parameters'!$A$3:$B$218,2,FALSE))</f>
        <v/>
      </c>
      <c r="P44" s="62" t="str">
        <f>IF(P43="","",VLOOKUP(P43,'Tech Tree Node Parameters'!$A$3:$B$218,2,FALSE))</f>
        <v/>
      </c>
      <c r="Q44" s="62" t="str">
        <f>IF(Q43="","",VLOOKUP(Q43,'Tech Tree Node Parameters'!$A$3:$B$218,2,FALSE))</f>
        <v/>
      </c>
      <c r="R44" s="62" t="str">
        <f>IF(R43="","",VLOOKUP(R43,'Tech Tree Node Parameters'!$A$3:$B$218,2,FALSE))</f>
        <v/>
      </c>
      <c r="S44" s="62" t="str">
        <f>IF(S43="","",VLOOKUP(S43,'Tech Tree Node Parameters'!$A$3:$B$218,2,FALSE))</f>
        <v/>
      </c>
      <c r="T44" s="62" t="str">
        <f>IF(T43="","",VLOOKUP(T43,'Tech Tree Node Parameters'!$A$3:$B$218,2,FALSE))</f>
        <v/>
      </c>
      <c r="U44" s="62" t="str">
        <f>IF(U43="","",VLOOKUP(U43,'Tech Tree Node Parameters'!$A$3:$B$218,2,FALSE))</f>
        <v/>
      </c>
      <c r="V44" s="62" t="str">
        <f>IF(V43="","",VLOOKUP(V43,'Tech Tree Node Parameters'!$A$3:$B$218,2,FALSE))</f>
        <v/>
      </c>
      <c r="W44" s="62" t="str">
        <f>IF(W43="","",VLOOKUP(W43,'Tech Tree Node Parameters'!$A$3:$B$218,2,FALSE))</f>
        <v/>
      </c>
      <c r="X44" s="62" t="str">
        <f>IF(X43="","",VLOOKUP(X43,'Tech Tree Node Parameters'!$A$3:$B$218,2,FALSE))</f>
        <v/>
      </c>
      <c r="Y44" s="62" t="str">
        <f>IF(Y43="","",VLOOKUP(Y43,'Tech Tree Node Parameters'!$A$3:$B$218,2,FALSE))</f>
        <v/>
      </c>
      <c r="Z44" s="62" t="str">
        <f>IF(Z43="","",VLOOKUP(Z43,'Tech Tree Node Parameters'!$A$3:$B$218,2,FALSE))</f>
        <v/>
      </c>
      <c r="AA44" s="62" t="str">
        <f>IF(AA43="","",VLOOKUP(AA43,'Tech Tree Node Parameters'!$A$3:$B$218,2,FALSE))</f>
        <v>Advanced 7.75m Rocketry</v>
      </c>
      <c r="AB44" s="62" t="str">
        <f>IF(AB43="","",VLOOKUP(AB43,'Tech Tree Node Parameters'!$A$3:$B$218,2,FALSE))</f>
        <v/>
      </c>
      <c r="AC44" s="62" t="str">
        <f>IF(AC43="","",VLOOKUP(AC43,'Tech Tree Node Parameters'!$A$3:$B$218,2,FALSE))</f>
        <v>7.75m Rocketry</v>
      </c>
      <c r="AD44" s="62" t="str">
        <f>IF(AD43="","",VLOOKUP(AD43,'Tech Tree Node Parameters'!$A$3:$B$218,2,FALSE))</f>
        <v/>
      </c>
      <c r="AE44" s="62" t="str">
        <f>IF(AE43="","",VLOOKUP(AE43,'Tech Tree Node Parameters'!$A$3:$B$218,2,FALSE))</f>
        <v/>
      </c>
      <c r="AF44" s="62" t="str">
        <f>IF(AF43="","",VLOOKUP(AF43,'Tech Tree Node Parameters'!$A$3:$B$218,2,FALSE))</f>
        <v/>
      </c>
      <c r="AG44" s="62" t="str">
        <f>IF(AG43="","",VLOOKUP(AG43,'Tech Tree Node Parameters'!$A$3:$B$218,2,FALSE))</f>
        <v/>
      </c>
      <c r="AH44" s="62" t="str">
        <f>IF(AH43="","",VLOOKUP(AH43,'Tech Tree Node Parameters'!$A$3:$B$218,2,FALSE))</f>
        <v/>
      </c>
      <c r="AI44" s="62" t="str">
        <f>IF(AI43="","",VLOOKUP(AI43,'Tech Tree Node Parameters'!$A$3:$B$218,2,FALSE))</f>
        <v/>
      </c>
      <c r="AJ44" s="62" t="str">
        <f>IF(AJ43="","",VLOOKUP(AJ43,'Tech Tree Node Parameters'!$A$3:$B$218,2,FALSE))</f>
        <v/>
      </c>
      <c r="AK44" s="62" t="str">
        <f>IF(AK43="","",VLOOKUP(AK43,'Tech Tree Node Parameters'!$A$3:$B$218,2,FALSE))</f>
        <v/>
      </c>
      <c r="AL44" s="62" t="str">
        <f>IF(AL43="","",VLOOKUP(AL43,'Tech Tree Node Parameters'!$A$3:$B$218,2,FALSE))</f>
        <v/>
      </c>
      <c r="AM44" s="62" t="str">
        <f>IF(AM43="","",VLOOKUP(AM43,'Tech Tree Node Parameters'!$A$3:$B$218,2,FALSE))</f>
        <v/>
      </c>
      <c r="AN44" s="62" t="str">
        <f>IF(AN43="","",VLOOKUP(AN43,'Tech Tree Node Parameters'!$A$3:$B$218,2,FALSE))</f>
        <v/>
      </c>
      <c r="AO44" s="62" t="str">
        <f>IF(AO43="","",VLOOKUP(AO43,'Tech Tree Node Parameters'!$A$3:$B$218,2,FALSE))</f>
        <v>Improved Nuclear Power</v>
      </c>
      <c r="AP44" s="62" t="str">
        <f>IF(AP43="","",VLOOKUP(AP43,'Tech Tree Node Parameters'!$A$3:$B$218,2,FALSE))</f>
        <v/>
      </c>
      <c r="AQ44" s="62" t="str">
        <f>IF(AQ43="","",VLOOKUP(AQ43,'Tech Tree Node Parameters'!$A$3:$B$218,2,FALSE))</f>
        <v>Low Bypass Turbofan Engines</v>
      </c>
      <c r="AR44" s="62" t="str">
        <f>IF(AR43="","",VLOOKUP(AR43,'Tech Tree Node Parameters'!$A$3:$B$218,2,FALSE))</f>
        <v/>
      </c>
      <c r="AS44" s="62" t="str">
        <f>IF(AS43="","",VLOOKUP(AS43,'Tech Tree Node Parameters'!$A$3:$B$218,2,FALSE))</f>
        <v>Turboshaft Engines</v>
      </c>
      <c r="AT44" s="62" t="str">
        <f>IF(AT43="","",VLOOKUP(AT43,'Tech Tree Node Parameters'!$A$3:$B$218,2,FALSE))</f>
        <v/>
      </c>
      <c r="AU44" s="62" t="str">
        <f>IF(AU43="","",VLOOKUP(AU43,'Tech Tree Node Parameters'!$A$3:$B$218,2,FALSE))</f>
        <v>Experimental Trimming</v>
      </c>
      <c r="AV44" s="62" t="str">
        <f>IF(AV43="","",VLOOKUP(AV43,'Tech Tree Node Parameters'!$A$3:$B$218,2,FALSE))</f>
        <v/>
      </c>
      <c r="AW44" s="62" t="str">
        <f>IF(AW43="","",VLOOKUP(AW43,'Tech Tree Node Parameters'!$A$3:$B$218,2,FALSE))</f>
        <v>Ballasting &amp; Bouyancy</v>
      </c>
      <c r="AX44" s="62" t="str">
        <f>IF(AX43="","",VLOOKUP(AX43,'Tech Tree Node Parameters'!$A$3:$B$218,2,FALSE))</f>
        <v/>
      </c>
      <c r="AY44" s="62" t="str">
        <f>IF(AY43="","",VLOOKUP(AY43,'Tech Tree Node Parameters'!$A$3:$B$218,2,FALSE))</f>
        <v>Marine Engineering</v>
      </c>
      <c r="AZ44" s="62" t="str">
        <f>IF(AZ43="","",VLOOKUP(AZ43,'Tech Tree Node Parameters'!$A$3:$B$218,2,FALSE))</f>
        <v/>
      </c>
      <c r="BA44" s="62" t="str">
        <f>IF(BA43="","",VLOOKUP(BA43,'Tech Tree Node Parameters'!$A$3:$B$218,2,FALSE))</f>
        <v/>
      </c>
      <c r="BB44" s="62" t="str">
        <f>IF(BB43="","",VLOOKUP(BB43,'Tech Tree Node Parameters'!$A$3:$B$218,2,FALSE))</f>
        <v/>
      </c>
      <c r="BC44" s="62" t="str">
        <f>IF(BC43="","",VLOOKUP(BC43,'Tech Tree Node Parameters'!$A$3:$B$218,2,FALSE))</f>
        <v/>
      </c>
      <c r="BD44" s="62" t="str">
        <f>IF(BD43="","",VLOOKUP(BD43,'Tech Tree Node Parameters'!$A$3:$B$218,2,FALSE))</f>
        <v/>
      </c>
      <c r="BE44" s="62" t="str">
        <f>IF(BE43="","",VLOOKUP(BE43,'Tech Tree Node Parameters'!$A$3:$B$218,2,FALSE))</f>
        <v/>
      </c>
      <c r="BF44" s="62" t="str">
        <f>IF(BF43="","",VLOOKUP(BF43,'Tech Tree Node Parameters'!$A$3:$B$218,2,FALSE))</f>
        <v/>
      </c>
      <c r="BG44" s="62" t="str">
        <f>IF(BG43="","",VLOOKUP(BG43,'Tech Tree Node Parameters'!$A$3:$B$218,2,FALSE))</f>
        <v/>
      </c>
      <c r="BH44" s="62" t="str">
        <f>IF(BH43="","",VLOOKUP(BH43,'Tech Tree Node Parameters'!$A$3:$B$218,2,FALSE))</f>
        <v/>
      </c>
      <c r="BI44" s="62" t="str">
        <f>IF(BI43="","",VLOOKUP(BI43,'Tech Tree Node Parameters'!$A$3:$B$218,2,FALSE))</f>
        <v/>
      </c>
      <c r="BJ44" s="62" t="str">
        <f>IF(BJ43="","",VLOOKUP(BJ43,'Tech Tree Node Parameters'!$A$3:$B$218,2,FALSE))</f>
        <v/>
      </c>
      <c r="BK44" s="62" t="str">
        <f>IF(BK43="","",VLOOKUP(BK43,'Tech Tree Node Parameters'!$A$3:$B$218,2,FALSE))</f>
        <v/>
      </c>
      <c r="BL44" s="62" t="str">
        <f>IF(BL43="","",VLOOKUP(BL43,'Tech Tree Node Parameters'!$A$3:$B$218,2,FALSE))</f>
        <v/>
      </c>
      <c r="BM44" s="62" t="str">
        <f>IF(BM43="","",VLOOKUP(BM43,'Tech Tree Node Parameters'!$A$3:$B$218,2,FALSE))</f>
        <v/>
      </c>
      <c r="BN44" s="62" t="str">
        <f>IF(BN43="","",VLOOKUP(BN43,'Tech Tree Node Parameters'!$A$3:$B$218,2,FALSE))</f>
        <v/>
      </c>
      <c r="BO44" s="62" t="str">
        <f>IF(BO43="","",VLOOKUP(BO43,'Tech Tree Node Parameters'!$A$3:$B$218,2,FALSE))</f>
        <v/>
      </c>
      <c r="BP44" s="62" t="str">
        <f>IF(BP43="","",VLOOKUP(BP43,'Tech Tree Node Parameters'!$A$3:$B$218,2,FALSE))</f>
        <v/>
      </c>
      <c r="BQ44" s="62" t="str">
        <f>IF(BQ43="","",VLOOKUP(BQ43,'Tech Tree Node Parameters'!$A$3:$B$218,2,FALSE))</f>
        <v/>
      </c>
      <c r="BR44" s="62" t="str">
        <f>IF(BR43="","",VLOOKUP(BR43,'Tech Tree Node Parameters'!$A$3:$B$218,2,FALSE))</f>
        <v/>
      </c>
      <c r="BS44" s="62" t="str">
        <f>IF(BS43="","",VLOOKUP(BS43,'Tech Tree Node Parameters'!$A$3:$B$218,2,FALSE))</f>
        <v/>
      </c>
      <c r="BT44" s="62" t="str">
        <f>IF(BT43="","",VLOOKUP(BT43,'Tech Tree Node Parameters'!$A$3:$B$218,2,FALSE))</f>
        <v/>
      </c>
      <c r="BU44" s="62" t="str">
        <f>IF(BU43="","",VLOOKUP(BU43,'Tech Tree Node Parameters'!$A$3:$B$218,2,FALSE))</f>
        <v/>
      </c>
      <c r="BV44" s="62" t="str">
        <f>IF(BV43="","",VLOOKUP(BV43,'Tech Tree Node Parameters'!$A$3:$B$218,2,FALSE))</f>
        <v/>
      </c>
      <c r="BW44" s="62" t="str">
        <f>IF(BW43="","",VLOOKUP(BW43,'Tech Tree Node Parameters'!$A$3:$B$218,2,FALSE))</f>
        <v/>
      </c>
      <c r="BX44" s="62" t="str">
        <f>IF(BX43="","",VLOOKUP(BX43,'Tech Tree Node Parameters'!$A$3:$B$218,2,FALSE))</f>
        <v/>
      </c>
      <c r="BY44" s="62" t="str">
        <f>IF(BY43="","",VLOOKUP(BY43,'Tech Tree Node Parameters'!$A$3:$B$218,2,FALSE))</f>
        <v/>
      </c>
      <c r="BZ44" s="62" t="str">
        <f>IF(BZ43="","",VLOOKUP(BZ43,'Tech Tree Node Parameters'!$A$3:$B$218,2,FALSE))</f>
        <v/>
      </c>
      <c r="CA44" s="62" t="str">
        <f>IF(CA43="","",VLOOKUP(CA43,'Tech Tree Node Parameters'!$A$3:$B$218,2,FALSE))</f>
        <v/>
      </c>
      <c r="CB44" s="62" t="str">
        <f>IF(CB43="","",VLOOKUP(CB43,'Tech Tree Node Parameters'!$A$3:$B$218,2,FALSE))</f>
        <v/>
      </c>
      <c r="CC44" s="62" t="str">
        <f>IF(CC43="","",VLOOKUP(CC43,'Tech Tree Node Parameters'!$A$3:$B$218,2,FALSE))</f>
        <v/>
      </c>
      <c r="CD44" s="62" t="str">
        <f>IF(CD43="","",VLOOKUP(CD43,'Tech Tree Node Parameters'!$A$3:$B$218,2,FALSE))</f>
        <v/>
      </c>
      <c r="CE44" s="62" t="str">
        <f>IF(CE43="","",VLOOKUP(CE43,'Tech Tree Node Parameters'!$A$3:$B$218,2,FALSE))</f>
        <v/>
      </c>
      <c r="CF44" s="62" t="str">
        <f>IF(CF43="","",VLOOKUP(CF43,'Tech Tree Node Parameters'!$A$3:$B$218,2,FALSE))</f>
        <v/>
      </c>
      <c r="CG44" s="62" t="str">
        <f>IF(CG43="","",VLOOKUP(CG43,'Tech Tree Node Parameters'!$A$3:$B$218,2,FALSE))</f>
        <v/>
      </c>
      <c r="CH44" s="62" t="str">
        <f>IF(CH43="","",VLOOKUP(CH43,'Tech Tree Node Parameters'!$A$3:$B$218,2,FALSE))</f>
        <v/>
      </c>
      <c r="CI44" s="62" t="str">
        <f>IF(CI43="","",VLOOKUP(CI43,'Tech Tree Node Parameters'!$A$3:$B$218,2,FALSE))</f>
        <v/>
      </c>
      <c r="CJ44" s="62" t="str">
        <f>IF(CJ43="","",VLOOKUP(CJ43,'Tech Tree Node Parameters'!$A$3:$B$218,2,FALSE))</f>
        <v/>
      </c>
      <c r="CK44" s="62" t="str">
        <f>IF(CK43="","",VLOOKUP(CK43,'Tech Tree Node Parameters'!$A$3:$B$218,2,FALSE))</f>
        <v/>
      </c>
      <c r="CL44" s="62" t="str">
        <f>IF(CL43="","",VLOOKUP(CL43,'Tech Tree Node Parameters'!$A$3:$B$218,2,FALSE))</f>
        <v/>
      </c>
      <c r="CM44" s="62" t="str">
        <f>IF(CM43="","",VLOOKUP(CM43,'Tech Tree Node Parameters'!$A$3:$B$218,2,FALSE))</f>
        <v/>
      </c>
      <c r="CN44" s="62" t="str">
        <f>IF(CN43="","",VLOOKUP(CN43,'Tech Tree Node Parameters'!$A$3:$B$218,2,FALSE))</f>
        <v/>
      </c>
      <c r="CO44" s="62" t="str">
        <f>IF(CO43="","",VLOOKUP(CO43,'Tech Tree Node Parameters'!$A$3:$B$218,2,FALSE))</f>
        <v/>
      </c>
      <c r="CP44" s="62" t="str">
        <f>IF(CP43="","",VLOOKUP(CP43,'Tech Tree Node Parameters'!$A$3:$B$218,2,FALSE))</f>
        <v/>
      </c>
      <c r="CQ44" s="62" t="str">
        <f>IF(CQ43="","",VLOOKUP(CQ43,'Tech Tree Node Parameters'!$A$3:$B$218,2,FALSE))</f>
        <v/>
      </c>
      <c r="CR44" s="62" t="str">
        <f>IF(CR43="","",VLOOKUP(CR43,'Tech Tree Node Parameters'!$A$3:$B$218,2,FALSE))</f>
        <v/>
      </c>
      <c r="CS44" s="62" t="str">
        <f>IF(CS43="","",VLOOKUP(CS43,'Tech Tree Node Parameters'!$A$3:$B$218,2,FALSE))</f>
        <v/>
      </c>
      <c r="CT44" s="62" t="str">
        <f>IF(CT43="","",VLOOKUP(CT43,'Tech Tree Node Parameters'!$A$3:$B$218,2,FALSE))</f>
        <v/>
      </c>
      <c r="CU44" s="62" t="str">
        <f>IF(CU43="","",VLOOKUP(CU43,'Tech Tree Node Parameters'!$A$3:$B$218,2,FALSE))</f>
        <v/>
      </c>
      <c r="CV44" s="62" t="str">
        <f>IF(CV43="","",VLOOKUP(CV43,'Tech Tree Node Parameters'!$A$3:$B$218,2,FALSE))</f>
        <v/>
      </c>
      <c r="CW44" s="62" t="str">
        <f>IF(CW43="","",VLOOKUP(CW43,'Tech Tree Node Parameters'!$A$3:$B$218,2,FALSE))</f>
        <v/>
      </c>
      <c r="CX44" s="62" t="str">
        <f>IF(CX43="","",VLOOKUP(CX43,'Tech Tree Node Parameters'!$A$3:$B$218,2,FALSE))</f>
        <v/>
      </c>
      <c r="CY44" s="36" t="str">
        <f>IF(CY43="","",VLOOKUP(CY43,'Tech Tree Node Parameters'!$A$3:$B$218,2,FALSE))</f>
        <v/>
      </c>
    </row>
    <row r="45" spans="1:103" s="49" customFormat="1" x14ac:dyDescent="0.25">
      <c r="A45" s="72">
        <f t="shared" si="10"/>
        <v>41</v>
      </c>
      <c r="B45" s="69">
        <f>B47+$D$6</f>
        <v>1595</v>
      </c>
      <c r="C45" s="39"/>
      <c r="D45" s="61"/>
      <c r="E45" s="61"/>
      <c r="F45" s="61"/>
      <c r="G45" s="61"/>
      <c r="H45" s="61"/>
      <c r="I45" s="61"/>
      <c r="J45" s="61"/>
      <c r="K45" s="61"/>
      <c r="L45" s="61"/>
      <c r="M45" s="61"/>
      <c r="N45" s="61"/>
      <c r="O45" s="61"/>
      <c r="P45" s="61"/>
      <c r="Q45" s="61"/>
      <c r="R45" s="61"/>
      <c r="S45" s="61"/>
      <c r="T45" s="61"/>
      <c r="U45" s="61"/>
      <c r="V45" s="61"/>
      <c r="W45" s="61"/>
      <c r="X45" s="61"/>
      <c r="Y45" s="61"/>
      <c r="Z45" s="61"/>
      <c r="AA45" s="61"/>
      <c r="AB45" s="61"/>
      <c r="AC45" s="61"/>
      <c r="AD45" s="61"/>
      <c r="AE45" s="61"/>
      <c r="AF45" s="61"/>
      <c r="AG45" s="61"/>
      <c r="AH45" s="61"/>
      <c r="AI45" s="61"/>
      <c r="AJ45" s="61"/>
      <c r="AK45" s="61"/>
      <c r="AL45" s="61"/>
      <c r="AM45" s="61"/>
      <c r="AN45" s="61"/>
      <c r="AO45" s="61"/>
      <c r="AP45" s="61"/>
      <c r="AQ45" s="61"/>
      <c r="AR45" s="61"/>
      <c r="AS45" s="61"/>
      <c r="AT45" s="61"/>
      <c r="AU45" s="61"/>
      <c r="AV45" s="61"/>
      <c r="AW45" s="61"/>
      <c r="AX45" s="61"/>
      <c r="AY45" s="61"/>
      <c r="AZ45" s="61"/>
      <c r="BA45" s="61"/>
      <c r="BB45" s="61"/>
      <c r="BC45" s="61"/>
      <c r="BD45" s="61"/>
      <c r="BE45" s="61"/>
      <c r="BF45" s="61"/>
      <c r="BG45" s="61"/>
      <c r="BH45" s="61"/>
      <c r="BI45" s="61"/>
      <c r="BJ45" s="61"/>
      <c r="BK45" s="61"/>
      <c r="BL45" s="61"/>
      <c r="BM45" s="61"/>
      <c r="BN45" s="61"/>
      <c r="BO45" s="61" t="s">
        <v>643</v>
      </c>
      <c r="BP45" s="61"/>
      <c r="BQ45" s="61" t="s">
        <v>447</v>
      </c>
      <c r="BR45" s="61"/>
      <c r="BS45" s="61"/>
      <c r="BT45" s="61"/>
      <c r="BU45" s="61"/>
      <c r="BV45" s="61"/>
      <c r="BW45" s="61"/>
      <c r="BX45" s="61"/>
      <c r="BY45" s="61"/>
      <c r="BZ45" s="61"/>
      <c r="CA45" s="61"/>
      <c r="CB45" s="61"/>
      <c r="CC45" s="61"/>
      <c r="CD45" s="61"/>
      <c r="CE45" s="61"/>
      <c r="CF45" s="61"/>
      <c r="CG45" s="61"/>
      <c r="CH45" s="61"/>
      <c r="CI45" s="61"/>
      <c r="CJ45" s="61"/>
      <c r="CK45" s="61"/>
      <c r="CL45" s="61"/>
      <c r="CM45" s="61"/>
      <c r="CN45" s="61"/>
      <c r="CO45" s="61"/>
      <c r="CP45" s="61"/>
      <c r="CQ45" s="61"/>
      <c r="CR45" s="61"/>
      <c r="CS45" s="61"/>
      <c r="CT45" s="61"/>
      <c r="CU45" s="61"/>
      <c r="CV45" s="61"/>
      <c r="CW45" s="61"/>
      <c r="CX45" s="61"/>
      <c r="CY45" s="35"/>
    </row>
    <row r="46" spans="1:103" s="49" customFormat="1" x14ac:dyDescent="0.25">
      <c r="A46" s="72"/>
      <c r="B46" s="70"/>
      <c r="C46" s="40"/>
      <c r="D46" s="62" t="str">
        <f>IF(D45="","",VLOOKUP(D45,'Tech Tree Node Parameters'!$A$3:$B$218,2,FALSE))</f>
        <v/>
      </c>
      <c r="E46" s="62" t="str">
        <f>IF(E45="","",VLOOKUP(E45,'Tech Tree Node Parameters'!$A$3:$B$218,2,FALSE))</f>
        <v/>
      </c>
      <c r="F46" s="62" t="str">
        <f>IF(F45="","",VLOOKUP(F45,'Tech Tree Node Parameters'!$A$3:$B$218,2,FALSE))</f>
        <v/>
      </c>
      <c r="G46" s="62" t="str">
        <f>IF(G45="","",VLOOKUP(G45,'Tech Tree Node Parameters'!$A$3:$B$218,2,FALSE))</f>
        <v/>
      </c>
      <c r="H46" s="62" t="str">
        <f>IF(H45="","",VLOOKUP(H45,'Tech Tree Node Parameters'!$A$3:$B$218,2,FALSE))</f>
        <v/>
      </c>
      <c r="I46" s="62" t="str">
        <f>IF(I45="","",VLOOKUP(I45,'Tech Tree Node Parameters'!$A$3:$B$218,2,FALSE))</f>
        <v/>
      </c>
      <c r="J46" s="62" t="str">
        <f>IF(J45="","",VLOOKUP(J45,'Tech Tree Node Parameters'!$A$3:$B$218,2,FALSE))</f>
        <v/>
      </c>
      <c r="K46" s="62" t="str">
        <f>IF(K45="","",VLOOKUP(K45,'Tech Tree Node Parameters'!$A$3:$B$218,2,FALSE))</f>
        <v/>
      </c>
      <c r="L46" s="62" t="str">
        <f>IF(L45="","",VLOOKUP(L45,'Tech Tree Node Parameters'!$A$3:$B$218,2,FALSE))</f>
        <v/>
      </c>
      <c r="M46" s="62" t="str">
        <f>IF(M45="","",VLOOKUP(M45,'Tech Tree Node Parameters'!$A$3:$B$218,2,FALSE))</f>
        <v/>
      </c>
      <c r="N46" s="62" t="str">
        <f>IF(N45="","",VLOOKUP(N45,'Tech Tree Node Parameters'!$A$3:$B$218,2,FALSE))</f>
        <v/>
      </c>
      <c r="O46" s="62" t="str">
        <f>IF(O45="","",VLOOKUP(O45,'Tech Tree Node Parameters'!$A$3:$B$218,2,FALSE))</f>
        <v/>
      </c>
      <c r="P46" s="62" t="str">
        <f>IF(P45="","",VLOOKUP(P45,'Tech Tree Node Parameters'!$A$3:$B$218,2,FALSE))</f>
        <v/>
      </c>
      <c r="Q46" s="62" t="str">
        <f>IF(Q45="","",VLOOKUP(Q45,'Tech Tree Node Parameters'!$A$3:$B$218,2,FALSE))</f>
        <v/>
      </c>
      <c r="R46" s="62" t="str">
        <f>IF(R45="","",VLOOKUP(R45,'Tech Tree Node Parameters'!$A$3:$B$218,2,FALSE))</f>
        <v/>
      </c>
      <c r="S46" s="62" t="str">
        <f>IF(S45="","",VLOOKUP(S45,'Tech Tree Node Parameters'!$A$3:$B$218,2,FALSE))</f>
        <v/>
      </c>
      <c r="T46" s="62" t="str">
        <f>IF(T45="","",VLOOKUP(T45,'Tech Tree Node Parameters'!$A$3:$B$218,2,FALSE))</f>
        <v/>
      </c>
      <c r="U46" s="62" t="str">
        <f>IF(U45="","",VLOOKUP(U45,'Tech Tree Node Parameters'!$A$3:$B$218,2,FALSE))</f>
        <v/>
      </c>
      <c r="V46" s="62" t="str">
        <f>IF(V45="","",VLOOKUP(V45,'Tech Tree Node Parameters'!$A$3:$B$218,2,FALSE))</f>
        <v/>
      </c>
      <c r="W46" s="62" t="str">
        <f>IF(W45="","",VLOOKUP(W45,'Tech Tree Node Parameters'!$A$3:$B$218,2,FALSE))</f>
        <v/>
      </c>
      <c r="X46" s="62" t="str">
        <f>IF(X45="","",VLOOKUP(X45,'Tech Tree Node Parameters'!$A$3:$B$218,2,FALSE))</f>
        <v/>
      </c>
      <c r="Y46" s="62" t="str">
        <f>IF(Y45="","",VLOOKUP(Y45,'Tech Tree Node Parameters'!$A$3:$B$218,2,FALSE))</f>
        <v/>
      </c>
      <c r="Z46" s="62" t="str">
        <f>IF(Z45="","",VLOOKUP(Z45,'Tech Tree Node Parameters'!$A$3:$B$218,2,FALSE))</f>
        <v/>
      </c>
      <c r="AA46" s="62" t="str">
        <f>IF(AA45="","",VLOOKUP(AA45,'Tech Tree Node Parameters'!$A$3:$B$218,2,FALSE))</f>
        <v/>
      </c>
      <c r="AB46" s="62" t="str">
        <f>IF(AB45="","",VLOOKUP(AB45,'Tech Tree Node Parameters'!$A$3:$B$218,2,FALSE))</f>
        <v/>
      </c>
      <c r="AC46" s="62" t="str">
        <f>IF(AC45="","",VLOOKUP(AC45,'Tech Tree Node Parameters'!$A$3:$B$218,2,FALSE))</f>
        <v/>
      </c>
      <c r="AD46" s="62" t="str">
        <f>IF(AD45="","",VLOOKUP(AD45,'Tech Tree Node Parameters'!$A$3:$B$218,2,FALSE))</f>
        <v/>
      </c>
      <c r="AE46" s="62" t="str">
        <f>IF(AE45="","",VLOOKUP(AE45,'Tech Tree Node Parameters'!$A$3:$B$218,2,FALSE))</f>
        <v/>
      </c>
      <c r="AF46" s="62" t="str">
        <f>IF(AF45="","",VLOOKUP(AF45,'Tech Tree Node Parameters'!$A$3:$B$218,2,FALSE))</f>
        <v/>
      </c>
      <c r="AG46" s="62" t="str">
        <f>IF(AG45="","",VLOOKUP(AG45,'Tech Tree Node Parameters'!$A$3:$B$218,2,FALSE))</f>
        <v/>
      </c>
      <c r="AH46" s="62" t="str">
        <f>IF(AH45="","",VLOOKUP(AH45,'Tech Tree Node Parameters'!$A$3:$B$218,2,FALSE))</f>
        <v/>
      </c>
      <c r="AI46" s="62" t="str">
        <f>IF(AI45="","",VLOOKUP(AI45,'Tech Tree Node Parameters'!$A$3:$B$218,2,FALSE))</f>
        <v/>
      </c>
      <c r="AJ46" s="62" t="str">
        <f>IF(AJ45="","",VLOOKUP(AJ45,'Tech Tree Node Parameters'!$A$3:$B$218,2,FALSE))</f>
        <v/>
      </c>
      <c r="AK46" s="62" t="str">
        <f>IF(AK45="","",VLOOKUP(AK45,'Tech Tree Node Parameters'!$A$3:$B$218,2,FALSE))</f>
        <v/>
      </c>
      <c r="AL46" s="62" t="str">
        <f>IF(AL45="","",VLOOKUP(AL45,'Tech Tree Node Parameters'!$A$3:$B$218,2,FALSE))</f>
        <v/>
      </c>
      <c r="AM46" s="62" t="str">
        <f>IF(AM45="","",VLOOKUP(AM45,'Tech Tree Node Parameters'!$A$3:$B$218,2,FALSE))</f>
        <v/>
      </c>
      <c r="AN46" s="62" t="str">
        <f>IF(AN45="","",VLOOKUP(AN45,'Tech Tree Node Parameters'!$A$3:$B$218,2,FALSE))</f>
        <v/>
      </c>
      <c r="AO46" s="62" t="str">
        <f>IF(AO45="","",VLOOKUP(AO45,'Tech Tree Node Parameters'!$A$3:$B$218,2,FALSE))</f>
        <v/>
      </c>
      <c r="AP46" s="62" t="str">
        <f>IF(AP45="","",VLOOKUP(AP45,'Tech Tree Node Parameters'!$A$3:$B$218,2,FALSE))</f>
        <v/>
      </c>
      <c r="AQ46" s="62" t="str">
        <f>IF(AQ45="","",VLOOKUP(AQ45,'Tech Tree Node Parameters'!$A$3:$B$218,2,FALSE))</f>
        <v/>
      </c>
      <c r="AR46" s="62" t="str">
        <f>IF(AR45="","",VLOOKUP(AR45,'Tech Tree Node Parameters'!$A$3:$B$218,2,FALSE))</f>
        <v/>
      </c>
      <c r="AS46" s="62" t="str">
        <f>IF(AS45="","",VLOOKUP(AS45,'Tech Tree Node Parameters'!$A$3:$B$218,2,FALSE))</f>
        <v/>
      </c>
      <c r="AT46" s="62" t="str">
        <f>IF(AT45="","",VLOOKUP(AT45,'Tech Tree Node Parameters'!$A$3:$B$218,2,FALSE))</f>
        <v/>
      </c>
      <c r="AU46" s="62" t="str">
        <f>IF(AU45="","",VLOOKUP(AU45,'Tech Tree Node Parameters'!$A$3:$B$218,2,FALSE))</f>
        <v/>
      </c>
      <c r="AV46" s="62" t="str">
        <f>IF(AV45="","",VLOOKUP(AV45,'Tech Tree Node Parameters'!$A$3:$B$218,2,FALSE))</f>
        <v/>
      </c>
      <c r="AW46" s="62" t="str">
        <f>IF(AW45="","",VLOOKUP(AW45,'Tech Tree Node Parameters'!$A$3:$B$218,2,FALSE))</f>
        <v/>
      </c>
      <c r="AX46" s="62" t="str">
        <f>IF(AX45="","",VLOOKUP(AX45,'Tech Tree Node Parameters'!$A$3:$B$218,2,FALSE))</f>
        <v/>
      </c>
      <c r="AY46" s="62" t="str">
        <f>IF(AY45="","",VLOOKUP(AY45,'Tech Tree Node Parameters'!$A$3:$B$218,2,FALSE))</f>
        <v/>
      </c>
      <c r="AZ46" s="62" t="str">
        <f>IF(AZ45="","",VLOOKUP(AZ45,'Tech Tree Node Parameters'!$A$3:$B$218,2,FALSE))</f>
        <v/>
      </c>
      <c r="BA46" s="62" t="str">
        <f>IF(BA45="","",VLOOKUP(BA45,'Tech Tree Node Parameters'!$A$3:$B$218,2,FALSE))</f>
        <v/>
      </c>
      <c r="BB46" s="62" t="str">
        <f>IF(BB45="","",VLOOKUP(BB45,'Tech Tree Node Parameters'!$A$3:$B$218,2,FALSE))</f>
        <v/>
      </c>
      <c r="BC46" s="62"/>
      <c r="BD46" s="62" t="str">
        <f>IF(BD45="","",VLOOKUP(BD45,'Tech Tree Node Parameters'!$A$3:$B$218,2,FALSE))</f>
        <v/>
      </c>
      <c r="BE46" s="62" t="str">
        <f>IF(BE45="","",VLOOKUP(BE45,'Tech Tree Node Parameters'!$A$3:$B$218,2,FALSE))</f>
        <v/>
      </c>
      <c r="BF46" s="62" t="str">
        <f>IF(BF45="","",VLOOKUP(BF45,'Tech Tree Node Parameters'!$A$3:$B$218,2,FALSE))</f>
        <v/>
      </c>
      <c r="BG46" s="62" t="str">
        <f>IF(BG45="","",VLOOKUP(BG45,'Tech Tree Node Parameters'!$A$3:$B$218,2,FALSE))</f>
        <v/>
      </c>
      <c r="BH46" s="62" t="str">
        <f>IF(BH45="","",VLOOKUP(BH45,'Tech Tree Node Parameters'!$A$3:$B$218,2,FALSE))</f>
        <v/>
      </c>
      <c r="BI46" s="62" t="str">
        <f>IF(BI45="","",VLOOKUP(BI45,'Tech Tree Node Parameters'!$A$3:$B$218,2,FALSE))</f>
        <v/>
      </c>
      <c r="BJ46" s="62" t="str">
        <f>IF(BJ45="","",VLOOKUP(BJ45,'Tech Tree Node Parameters'!$A$3:$B$218,2,FALSE))</f>
        <v/>
      </c>
      <c r="BK46" s="62" t="str">
        <f>IF(BK45="","",VLOOKUP(BK45,'Tech Tree Node Parameters'!$A$3:$B$218,2,FALSE))</f>
        <v/>
      </c>
      <c r="BL46" s="62" t="str">
        <f>IF(BL45="","",VLOOKUP(BL45,'Tech Tree Node Parameters'!$A$3:$B$218,2,FALSE))</f>
        <v/>
      </c>
      <c r="BM46" s="62" t="str">
        <f>IF(BM45="","",VLOOKUP(BM45,'Tech Tree Node Parameters'!$A$3:$B$218,2,FALSE))</f>
        <v/>
      </c>
      <c r="BN46" s="62" t="str">
        <f>IF(BN45="","",VLOOKUP(BN45,'Tech Tree Node Parameters'!$A$3:$B$218,2,FALSE))</f>
        <v/>
      </c>
      <c r="BO46" s="62" t="str">
        <f>IF(BO45="","",VLOOKUP(BO45,'Tech Tree Node Parameters'!$A$3:$B$218,2,FALSE))</f>
        <v>Heavy Command Centers</v>
      </c>
      <c r="BP46" s="62" t="str">
        <f>IF(BP45="","",VLOOKUP(BP45,'Tech Tree Node Parameters'!$A$3:$B$218,2,FALSE))</f>
        <v/>
      </c>
      <c r="BQ46" s="62" t="str">
        <f>IF(BQ45="","",VLOOKUP(BQ45,'Tech Tree Node Parameters'!$A$3:$B$218,2,FALSE))</f>
        <v>Specialized Command Centers</v>
      </c>
      <c r="BR46" s="62" t="str">
        <f>IF(BR45="","",VLOOKUP(BR45,'Tech Tree Node Parameters'!$A$3:$B$218,2,FALSE))</f>
        <v/>
      </c>
      <c r="BS46" s="62" t="str">
        <f>IF(BS45="","",VLOOKUP(BS45,'Tech Tree Node Parameters'!$A$3:$B$218,2,FALSE))</f>
        <v/>
      </c>
      <c r="BT46" s="62" t="str">
        <f>IF(BT45="","",VLOOKUP(BT45,'Tech Tree Node Parameters'!$A$3:$B$218,2,FALSE))</f>
        <v/>
      </c>
      <c r="BU46" s="62" t="str">
        <f>IF(BU45="","",VLOOKUP(BU45,'Tech Tree Node Parameters'!$A$3:$B$218,2,FALSE))</f>
        <v/>
      </c>
      <c r="BV46" s="62" t="str">
        <f>IF(BV45="","",VLOOKUP(BV45,'Tech Tree Node Parameters'!$A$3:$B$218,2,FALSE))</f>
        <v/>
      </c>
      <c r="BW46" s="62" t="str">
        <f>IF(BW45="","",VLOOKUP(BW45,'Tech Tree Node Parameters'!$A$3:$B$218,2,FALSE))</f>
        <v/>
      </c>
      <c r="BX46" s="62" t="str">
        <f>IF(BX45="","",VLOOKUP(BX45,'Tech Tree Node Parameters'!$A$3:$B$218,2,FALSE))</f>
        <v/>
      </c>
      <c r="BY46" s="62" t="str">
        <f>IF(BY45="","",VLOOKUP(BY45,'Tech Tree Node Parameters'!$A$3:$B$218,2,FALSE))</f>
        <v/>
      </c>
      <c r="BZ46" s="62" t="str">
        <f>IF(BZ45="","",VLOOKUP(BZ45,'Tech Tree Node Parameters'!$A$3:$B$218,2,FALSE))</f>
        <v/>
      </c>
      <c r="CA46" s="62" t="str">
        <f>IF(CA45="","",VLOOKUP(CA45,'Tech Tree Node Parameters'!$A$3:$B$218,2,FALSE))</f>
        <v/>
      </c>
      <c r="CB46" s="62" t="str">
        <f>IF(CB45="","",VLOOKUP(CB45,'Tech Tree Node Parameters'!$A$3:$B$218,2,FALSE))</f>
        <v/>
      </c>
      <c r="CC46" s="62" t="str">
        <f>IF(CC45="","",VLOOKUP(CC45,'Tech Tree Node Parameters'!$A$3:$B$218,2,FALSE))</f>
        <v/>
      </c>
      <c r="CD46" s="62" t="str">
        <f>IF(CD45="","",VLOOKUP(CD45,'Tech Tree Node Parameters'!$A$3:$B$218,2,FALSE))</f>
        <v/>
      </c>
      <c r="CE46" s="62" t="str">
        <f>IF(CE45="","",VLOOKUP(CE45,'Tech Tree Node Parameters'!$A$3:$B$218,2,FALSE))</f>
        <v/>
      </c>
      <c r="CF46" s="62" t="str">
        <f>IF(CF45="","",VLOOKUP(CF45,'Tech Tree Node Parameters'!$A$3:$B$218,2,FALSE))</f>
        <v/>
      </c>
      <c r="CG46" s="62" t="str">
        <f>IF(CG45="","",VLOOKUP(CG45,'Tech Tree Node Parameters'!$A$3:$B$218,2,FALSE))</f>
        <v/>
      </c>
      <c r="CH46" s="62" t="str">
        <f>IF(CH45="","",VLOOKUP(CH45,'Tech Tree Node Parameters'!$A$3:$B$218,2,FALSE))</f>
        <v/>
      </c>
      <c r="CI46" s="62" t="str">
        <f>IF(CI45="","",VLOOKUP(CI45,'Tech Tree Node Parameters'!$A$3:$B$218,2,FALSE))</f>
        <v/>
      </c>
      <c r="CJ46" s="62" t="str">
        <f>IF(CJ45="","",VLOOKUP(CJ45,'Tech Tree Node Parameters'!$A$3:$B$218,2,FALSE))</f>
        <v/>
      </c>
      <c r="CK46" s="62" t="str">
        <f>IF(CK45="","",VLOOKUP(CK45,'Tech Tree Node Parameters'!$A$3:$B$218,2,FALSE))</f>
        <v/>
      </c>
      <c r="CL46" s="62" t="str">
        <f>IF(CL45="","",VLOOKUP(CL45,'Tech Tree Node Parameters'!$A$3:$B$218,2,FALSE))</f>
        <v/>
      </c>
      <c r="CM46" s="62" t="str">
        <f>IF(CM45="","",VLOOKUP(CM45,'Tech Tree Node Parameters'!$A$3:$B$218,2,FALSE))</f>
        <v/>
      </c>
      <c r="CN46" s="62" t="str">
        <f>IF(CN45="","",VLOOKUP(CN45,'Tech Tree Node Parameters'!$A$3:$B$218,2,FALSE))</f>
        <v/>
      </c>
      <c r="CO46" s="62" t="str">
        <f>IF(CO45="","",VLOOKUP(CO45,'Tech Tree Node Parameters'!$A$3:$B$218,2,FALSE))</f>
        <v/>
      </c>
      <c r="CP46" s="62" t="str">
        <f>IF(CP45="","",VLOOKUP(CP45,'Tech Tree Node Parameters'!$A$3:$B$218,2,FALSE))</f>
        <v/>
      </c>
      <c r="CQ46" s="62" t="str">
        <f>IF(CQ45="","",VLOOKUP(CQ45,'Tech Tree Node Parameters'!$A$3:$B$218,2,FALSE))</f>
        <v/>
      </c>
      <c r="CR46" s="62" t="str">
        <f>IF(CR45="","",VLOOKUP(CR45,'Tech Tree Node Parameters'!$A$3:$B$218,2,FALSE))</f>
        <v/>
      </c>
      <c r="CS46" s="62" t="str">
        <f>IF(CS45="","",VLOOKUP(CS45,'Tech Tree Node Parameters'!$A$3:$B$218,2,FALSE))</f>
        <v/>
      </c>
      <c r="CT46" s="62" t="str">
        <f>IF(CT45="","",VLOOKUP(CT45,'Tech Tree Node Parameters'!$A$3:$B$218,2,FALSE))</f>
        <v/>
      </c>
      <c r="CU46" s="62" t="str">
        <f>IF(CU45="","",VLOOKUP(CU45,'Tech Tree Node Parameters'!$A$3:$B$218,2,FALSE))</f>
        <v/>
      </c>
      <c r="CV46" s="62" t="str">
        <f>IF(CV45="","",VLOOKUP(CV45,'Tech Tree Node Parameters'!$A$3:$B$218,2,FALSE))</f>
        <v/>
      </c>
      <c r="CW46" s="62" t="str">
        <f>IF(CW45="","",VLOOKUP(CW45,'Tech Tree Node Parameters'!$A$3:$B$218,2,FALSE))</f>
        <v/>
      </c>
      <c r="CX46" s="62" t="str">
        <f>IF(CX45="","",VLOOKUP(CX45,'Tech Tree Node Parameters'!$A$3:$B$218,2,FALSE))</f>
        <v/>
      </c>
      <c r="CY46" s="36" t="str">
        <f>IF(CY45="","",VLOOKUP(CY45,'Tech Tree Node Parameters'!$A$3:$B$218,2,FALSE))</f>
        <v/>
      </c>
    </row>
    <row r="47" spans="1:103" s="47" customFormat="1" x14ac:dyDescent="0.25">
      <c r="A47" s="72">
        <f t="shared" si="10"/>
        <v>40</v>
      </c>
      <c r="B47" s="69">
        <f>B49+$D$6</f>
        <v>1557</v>
      </c>
      <c r="C47" s="39"/>
      <c r="D47" s="61"/>
      <c r="E47" s="61"/>
      <c r="F47" s="61"/>
      <c r="G47" s="61"/>
      <c r="H47" s="61"/>
      <c r="I47" s="61"/>
      <c r="J47" s="61"/>
      <c r="K47" s="61"/>
      <c r="L47" s="61"/>
      <c r="M47" s="61"/>
      <c r="N47" s="61"/>
      <c r="O47" s="61"/>
      <c r="P47" s="61"/>
      <c r="Q47" s="61"/>
      <c r="R47" s="61"/>
      <c r="S47" s="61"/>
      <c r="T47" s="61"/>
      <c r="U47" s="61"/>
      <c r="V47" s="61"/>
      <c r="W47" s="61"/>
      <c r="X47" s="61"/>
      <c r="Y47" s="61"/>
      <c r="Z47" s="61"/>
      <c r="AA47" s="61" t="s">
        <v>480</v>
      </c>
      <c r="AB47" s="61"/>
      <c r="AC47" s="61" t="s">
        <v>481</v>
      </c>
      <c r="AD47" s="61"/>
      <c r="AE47" s="61" t="s">
        <v>198</v>
      </c>
      <c r="AF47" s="61"/>
      <c r="AG47" s="61"/>
      <c r="AH47" s="61"/>
      <c r="AI47" s="61"/>
      <c r="AJ47" s="61"/>
      <c r="AK47" s="61"/>
      <c r="AL47" s="61"/>
      <c r="AM47" s="61"/>
      <c r="AN47" s="61"/>
      <c r="AO47" s="61" t="s">
        <v>13</v>
      </c>
      <c r="AP47" s="61"/>
      <c r="AQ47" s="61" t="s">
        <v>516</v>
      </c>
      <c r="AR47" s="61"/>
      <c r="AS47" s="61"/>
      <c r="AT47" s="61"/>
      <c r="AU47" s="61"/>
      <c r="AV47" s="61"/>
      <c r="AW47" s="61"/>
      <c r="AX47" s="61"/>
      <c r="AY47" s="61"/>
      <c r="AZ47" s="61"/>
      <c r="BA47" s="61"/>
      <c r="BB47" s="61"/>
      <c r="BC47" s="61"/>
      <c r="BD47" s="61"/>
      <c r="BE47" s="61"/>
      <c r="BF47" s="61"/>
      <c r="BG47" s="61"/>
      <c r="BH47" s="61"/>
      <c r="BI47" s="61"/>
      <c r="BJ47" s="61"/>
      <c r="BK47" s="61"/>
      <c r="BL47" s="61"/>
      <c r="BM47" s="61"/>
      <c r="BN47" s="61"/>
      <c r="BO47" s="61"/>
      <c r="BP47" s="61"/>
      <c r="BQ47" s="61"/>
      <c r="BR47" s="61"/>
      <c r="BS47" s="61"/>
      <c r="BT47" s="61"/>
      <c r="BU47" s="61"/>
      <c r="BV47" s="61"/>
      <c r="BW47" s="61"/>
      <c r="BX47" s="61"/>
      <c r="BY47" s="61"/>
      <c r="BZ47" s="61"/>
      <c r="CA47" s="61"/>
      <c r="CB47" s="61"/>
      <c r="CC47" s="61"/>
      <c r="CD47" s="61"/>
      <c r="CE47" s="61"/>
      <c r="CF47" s="61"/>
      <c r="CG47" s="61"/>
      <c r="CH47" s="61"/>
      <c r="CI47" s="61"/>
      <c r="CJ47" s="61"/>
      <c r="CK47" s="61"/>
      <c r="CL47" s="61"/>
      <c r="CM47" s="61"/>
      <c r="CN47" s="61"/>
      <c r="CO47" s="61"/>
      <c r="CP47" s="61"/>
      <c r="CQ47" s="61"/>
      <c r="CR47" s="61"/>
      <c r="CS47" s="61"/>
      <c r="CT47" s="61"/>
      <c r="CU47" s="61"/>
      <c r="CV47" s="61"/>
      <c r="CW47" s="61"/>
      <c r="CX47" s="61"/>
      <c r="CY47" s="35"/>
    </row>
    <row r="48" spans="1:103" s="47" customFormat="1" x14ac:dyDescent="0.25">
      <c r="A48" s="72"/>
      <c r="B48" s="70"/>
      <c r="C48" s="40"/>
      <c r="D48" s="62" t="str">
        <f>IF(D47="","",VLOOKUP(D47,'Tech Tree Node Parameters'!$A$3:$B$218,2,FALSE))</f>
        <v/>
      </c>
      <c r="E48" s="62" t="str">
        <f>IF(E47="","",VLOOKUP(E47,'Tech Tree Node Parameters'!$A$3:$B$218,2,FALSE))</f>
        <v/>
      </c>
      <c r="F48" s="62" t="str">
        <f>IF(F47="","",VLOOKUP(F47,'Tech Tree Node Parameters'!$A$3:$B$218,2,FALSE))</f>
        <v/>
      </c>
      <c r="G48" s="62" t="str">
        <f>IF(G47="","",VLOOKUP(G47,'Tech Tree Node Parameters'!$A$3:$B$218,2,FALSE))</f>
        <v/>
      </c>
      <c r="H48" s="62" t="str">
        <f>IF(H47="","",VLOOKUP(H47,'Tech Tree Node Parameters'!$A$3:$B$218,2,FALSE))</f>
        <v/>
      </c>
      <c r="I48" s="62" t="str">
        <f>IF(I47="","",VLOOKUP(I47,'Tech Tree Node Parameters'!$A$3:$B$218,2,FALSE))</f>
        <v/>
      </c>
      <c r="J48" s="62" t="str">
        <f>IF(J47="","",VLOOKUP(J47,'Tech Tree Node Parameters'!$A$3:$B$218,2,FALSE))</f>
        <v/>
      </c>
      <c r="K48" s="62" t="str">
        <f>IF(K47="","",VLOOKUP(K47,'Tech Tree Node Parameters'!$A$3:$B$218,2,FALSE))</f>
        <v/>
      </c>
      <c r="L48" s="62" t="str">
        <f>IF(L47="","",VLOOKUP(L47,'Tech Tree Node Parameters'!$A$3:$B$218,2,FALSE))</f>
        <v/>
      </c>
      <c r="M48" s="62" t="str">
        <f>IF(M47="","",VLOOKUP(M47,'Tech Tree Node Parameters'!$A$3:$B$218,2,FALSE))</f>
        <v/>
      </c>
      <c r="N48" s="62" t="str">
        <f>IF(N47="","",VLOOKUP(N47,'Tech Tree Node Parameters'!$A$3:$B$218,2,FALSE))</f>
        <v/>
      </c>
      <c r="O48" s="62" t="str">
        <f>IF(O47="","",VLOOKUP(O47,'Tech Tree Node Parameters'!$A$3:$B$218,2,FALSE))</f>
        <v/>
      </c>
      <c r="P48" s="62" t="str">
        <f>IF(P47="","",VLOOKUP(P47,'Tech Tree Node Parameters'!$A$3:$B$218,2,FALSE))</f>
        <v/>
      </c>
      <c r="Q48" s="62" t="str">
        <f>IF(Q47="","",VLOOKUP(Q47,'Tech Tree Node Parameters'!$A$3:$B$218,2,FALSE))</f>
        <v/>
      </c>
      <c r="R48" s="62" t="str">
        <f>IF(R47="","",VLOOKUP(R47,'Tech Tree Node Parameters'!$A$3:$B$218,2,FALSE))</f>
        <v/>
      </c>
      <c r="S48" s="62" t="str">
        <f>IF(S47="","",VLOOKUP(S47,'Tech Tree Node Parameters'!$A$3:$B$218,2,FALSE))</f>
        <v/>
      </c>
      <c r="T48" s="62" t="str">
        <f>IF(T47="","",VLOOKUP(T47,'Tech Tree Node Parameters'!$A$3:$B$218,2,FALSE))</f>
        <v/>
      </c>
      <c r="U48" s="62" t="str">
        <f>IF(U47="","",VLOOKUP(U47,'Tech Tree Node Parameters'!$A$3:$B$218,2,FALSE))</f>
        <v/>
      </c>
      <c r="V48" s="62" t="str">
        <f>IF(V47="","",VLOOKUP(V47,'Tech Tree Node Parameters'!$A$3:$B$218,2,FALSE))</f>
        <v/>
      </c>
      <c r="W48" s="62" t="str">
        <f>IF(W47="","",VLOOKUP(W47,'Tech Tree Node Parameters'!$A$3:$B$218,2,FALSE))</f>
        <v/>
      </c>
      <c r="X48" s="62" t="str">
        <f>IF(X47="","",VLOOKUP(X47,'Tech Tree Node Parameters'!$A$3:$B$218,2,FALSE))</f>
        <v/>
      </c>
      <c r="Y48" s="62" t="str">
        <f>IF(Y47="","",VLOOKUP(Y47,'Tech Tree Node Parameters'!$A$3:$B$218,2,FALSE))</f>
        <v/>
      </c>
      <c r="Z48" s="62" t="str">
        <f>IF(Z47="","",VLOOKUP(Z47,'Tech Tree Node Parameters'!$A$3:$B$218,2,FALSE))</f>
        <v/>
      </c>
      <c r="AA48" s="62" t="str">
        <f>IF(AA47="","",VLOOKUP(AA47,'Tech Tree Node Parameters'!$A$3:$B$218,2,FALSE))</f>
        <v>Experimental 5m Rocketry</v>
      </c>
      <c r="AB48" s="62" t="str">
        <f>IF(AB47="","",VLOOKUP(AB47,'Tech Tree Node Parameters'!$A$3:$B$218,2,FALSE))</f>
        <v/>
      </c>
      <c r="AC48" s="62" t="str">
        <f>IF(AC47="","",VLOOKUP(AC47,'Tech Tree Node Parameters'!$A$3:$B$218,2,FALSE))</f>
        <v>Advanced 5m Rocketry</v>
      </c>
      <c r="AD48" s="62" t="str">
        <f>IF(AD47="","",VLOOKUP(AD47,'Tech Tree Node Parameters'!$A$3:$B$218,2,FALSE))</f>
        <v/>
      </c>
      <c r="AE48" s="62" t="str">
        <f>IF(AE47="","",VLOOKUP(AE47,'Tech Tree Node Parameters'!$A$3:$B$218,2,FALSE))</f>
        <v>5m Rocketry</v>
      </c>
      <c r="AF48" s="62" t="str">
        <f>IF(AF47="","",VLOOKUP(AF47,'Tech Tree Node Parameters'!$A$3:$B$218,2,FALSE))</f>
        <v/>
      </c>
      <c r="AG48" s="62" t="str">
        <f>IF(AG47="","",VLOOKUP(AG47,'Tech Tree Node Parameters'!$A$3:$B$218,2,FALSE))</f>
        <v/>
      </c>
      <c r="AH48" s="62" t="str">
        <f>IF(AH47="","",VLOOKUP(AH47,'Tech Tree Node Parameters'!$A$3:$B$218,2,FALSE))</f>
        <v/>
      </c>
      <c r="AI48" s="62" t="str">
        <f>IF(AI47="","",VLOOKUP(AI47,'Tech Tree Node Parameters'!$A$3:$B$218,2,FALSE))</f>
        <v/>
      </c>
      <c r="AJ48" s="62" t="str">
        <f>IF(AJ47="","",VLOOKUP(AJ47,'Tech Tree Node Parameters'!$A$3:$B$218,2,FALSE))</f>
        <v/>
      </c>
      <c r="AK48" s="62" t="str">
        <f>IF(AK47="","",VLOOKUP(AK47,'Tech Tree Node Parameters'!$A$3:$B$218,2,FALSE))</f>
        <v/>
      </c>
      <c r="AL48" s="62" t="str">
        <f>IF(AL47="","",VLOOKUP(AL47,'Tech Tree Node Parameters'!$A$3:$B$218,2,FALSE))</f>
        <v/>
      </c>
      <c r="AM48" s="62" t="str">
        <f>IF(AM47="","",VLOOKUP(AM47,'Tech Tree Node Parameters'!$A$3:$B$218,2,FALSE))</f>
        <v/>
      </c>
      <c r="AN48" s="62" t="str">
        <f>IF(AN47="","",VLOOKUP(AN47,'Tech Tree Node Parameters'!$A$3:$B$218,2,FALSE))</f>
        <v/>
      </c>
      <c r="AO48" s="62" t="str">
        <f>IF(AO47="","",VLOOKUP(AO47,'Tech Tree Node Parameters'!$A$3:$B$218,2,FALSE))</f>
        <v>Nuclear Engineering</v>
      </c>
      <c r="AP48" s="62" t="str">
        <f>IF(AP47="","",VLOOKUP(AP47,'Tech Tree Node Parameters'!$A$3:$B$218,2,FALSE))</f>
        <v/>
      </c>
      <c r="AQ48" s="62" t="str">
        <f>IF(AQ47="","",VLOOKUP(AQ47,'Tech Tree Node Parameters'!$A$3:$B$218,2,FALSE))</f>
        <v>Turbojet Engines</v>
      </c>
      <c r="AR48" s="62" t="str">
        <f>IF(AR47="","",VLOOKUP(AR47,'Tech Tree Node Parameters'!$A$3:$B$218,2,FALSE))</f>
        <v/>
      </c>
      <c r="AS48" s="62" t="str">
        <f>IF(AS47="","",VLOOKUP(AS47,'Tech Tree Node Parameters'!$A$3:$B$218,2,FALSE))</f>
        <v/>
      </c>
      <c r="AT48" s="62" t="str">
        <f>IF(AT47="","",VLOOKUP(AT47,'Tech Tree Node Parameters'!$A$3:$B$218,2,FALSE))</f>
        <v/>
      </c>
      <c r="AU48" s="62" t="str">
        <f>IF(AU47="","",VLOOKUP(AU47,'Tech Tree Node Parameters'!$A$3:$B$218,2,FALSE))</f>
        <v/>
      </c>
      <c r="AV48" s="62" t="str">
        <f>IF(AV47="","",VLOOKUP(AV47,'Tech Tree Node Parameters'!$A$3:$B$218,2,FALSE))</f>
        <v/>
      </c>
      <c r="AW48" s="62" t="str">
        <f>IF(AW47="","",VLOOKUP(AW47,'Tech Tree Node Parameters'!$A$3:$B$218,2,FALSE))</f>
        <v/>
      </c>
      <c r="AX48" s="62" t="str">
        <f>IF(AX47="","",VLOOKUP(AX47,'Tech Tree Node Parameters'!$A$3:$B$218,2,FALSE))</f>
        <v/>
      </c>
      <c r="AY48" s="62" t="str">
        <f>IF(AY47="","",VLOOKUP(AY47,'Tech Tree Node Parameters'!$A$3:$B$218,2,FALSE))</f>
        <v/>
      </c>
      <c r="AZ48" s="62" t="str">
        <f>IF(AZ47="","",VLOOKUP(AZ47,'Tech Tree Node Parameters'!$A$3:$B$218,2,FALSE))</f>
        <v/>
      </c>
      <c r="BA48" s="62" t="str">
        <f>IF(BA47="","",VLOOKUP(BA47,'Tech Tree Node Parameters'!$A$3:$B$218,2,FALSE))</f>
        <v/>
      </c>
      <c r="BB48" s="62" t="str">
        <f>IF(BB47="","",VLOOKUP(BB47,'Tech Tree Node Parameters'!$A$3:$B$218,2,FALSE))</f>
        <v/>
      </c>
      <c r="BC48" s="62"/>
      <c r="BD48" s="62" t="str">
        <f>IF(BD47="","",VLOOKUP(BD47,'Tech Tree Node Parameters'!$A$3:$B$218,2,FALSE))</f>
        <v/>
      </c>
      <c r="BE48" s="62" t="str">
        <f>IF(BE47="","",VLOOKUP(BE47,'Tech Tree Node Parameters'!$A$3:$B$218,2,FALSE))</f>
        <v/>
      </c>
      <c r="BF48" s="62" t="str">
        <f>IF(BF47="","",VLOOKUP(BF47,'Tech Tree Node Parameters'!$A$3:$B$218,2,FALSE))</f>
        <v/>
      </c>
      <c r="BG48" s="62" t="str">
        <f>IF(BG47="","",VLOOKUP(BG47,'Tech Tree Node Parameters'!$A$3:$B$218,2,FALSE))</f>
        <v/>
      </c>
      <c r="BH48" s="62" t="str">
        <f>IF(BH47="","",VLOOKUP(BH47,'Tech Tree Node Parameters'!$A$3:$B$218,2,FALSE))</f>
        <v/>
      </c>
      <c r="BI48" s="62" t="str">
        <f>IF(BI47="","",VLOOKUP(BI47,'Tech Tree Node Parameters'!$A$3:$B$218,2,FALSE))</f>
        <v/>
      </c>
      <c r="BJ48" s="62" t="str">
        <f>IF(BJ47="","",VLOOKUP(BJ47,'Tech Tree Node Parameters'!$A$3:$B$218,2,FALSE))</f>
        <v/>
      </c>
      <c r="BK48" s="62" t="str">
        <f>IF(BK47="","",VLOOKUP(BK47,'Tech Tree Node Parameters'!$A$3:$B$218,2,FALSE))</f>
        <v/>
      </c>
      <c r="BL48" s="62" t="str">
        <f>IF(BL47="","",VLOOKUP(BL47,'Tech Tree Node Parameters'!$A$3:$B$218,2,FALSE))</f>
        <v/>
      </c>
      <c r="BM48" s="62" t="str">
        <f>IF(BM47="","",VLOOKUP(BM47,'Tech Tree Node Parameters'!$A$3:$B$218,2,FALSE))</f>
        <v/>
      </c>
      <c r="BN48" s="62" t="str">
        <f>IF(BN47="","",VLOOKUP(BN47,'Tech Tree Node Parameters'!$A$3:$B$218,2,FALSE))</f>
        <v/>
      </c>
      <c r="BO48" s="62" t="str">
        <f>IF(BO47="","",VLOOKUP(BO47,'Tech Tree Node Parameters'!$A$3:$B$218,2,FALSE))</f>
        <v/>
      </c>
      <c r="BP48" s="62" t="str">
        <f>IF(BP47="","",VLOOKUP(BP47,'Tech Tree Node Parameters'!$A$3:$B$218,2,FALSE))</f>
        <v/>
      </c>
      <c r="BQ48" s="62" t="str">
        <f>IF(BQ47="","",VLOOKUP(BQ47,'Tech Tree Node Parameters'!$A$3:$B$218,2,FALSE))</f>
        <v/>
      </c>
      <c r="BR48" s="62" t="str">
        <f>IF(BR47="","",VLOOKUP(BR47,'Tech Tree Node Parameters'!$A$3:$B$218,2,FALSE))</f>
        <v/>
      </c>
      <c r="BS48" s="62" t="s">
        <v>2076</v>
      </c>
      <c r="BT48" s="62" t="str">
        <f>IF(BT47="","",VLOOKUP(BT47,'Tech Tree Node Parameters'!$A$3:$B$218,2,FALSE))</f>
        <v/>
      </c>
      <c r="BU48" s="62" t="str">
        <f>IF(BU47="","",VLOOKUP(BU47,'Tech Tree Node Parameters'!$A$3:$B$218,2,FALSE))</f>
        <v/>
      </c>
      <c r="BV48" s="62" t="str">
        <f>IF(BV47="","",VLOOKUP(BV47,'Tech Tree Node Parameters'!$A$3:$B$218,2,FALSE))</f>
        <v/>
      </c>
      <c r="BW48" s="62" t="str">
        <f>IF(BW47="","",VLOOKUP(BW47,'Tech Tree Node Parameters'!$A$3:$B$218,2,FALSE))</f>
        <v/>
      </c>
      <c r="BX48" s="62" t="str">
        <f>IF(BX47="","",VLOOKUP(BX47,'Tech Tree Node Parameters'!$A$3:$B$218,2,FALSE))</f>
        <v/>
      </c>
      <c r="BY48" s="62" t="str">
        <f>IF(BY47="","",VLOOKUP(BY47,'Tech Tree Node Parameters'!$A$3:$B$218,2,FALSE))</f>
        <v/>
      </c>
      <c r="BZ48" s="62" t="str">
        <f>IF(BZ47="","",VLOOKUP(BZ47,'Tech Tree Node Parameters'!$A$3:$B$218,2,FALSE))</f>
        <v/>
      </c>
      <c r="CA48" s="62" t="str">
        <f>IF(CA47="","",VLOOKUP(CA47,'Tech Tree Node Parameters'!$A$3:$B$218,2,FALSE))</f>
        <v/>
      </c>
      <c r="CB48" s="62" t="str">
        <f>IF(CB47="","",VLOOKUP(CB47,'Tech Tree Node Parameters'!$A$3:$B$218,2,FALSE))</f>
        <v/>
      </c>
      <c r="CC48" s="62" t="str">
        <f>IF(CC47="","",VLOOKUP(CC47,'Tech Tree Node Parameters'!$A$3:$B$218,2,FALSE))</f>
        <v/>
      </c>
      <c r="CD48" s="62" t="str">
        <f>IF(CD47="","",VLOOKUP(CD47,'Tech Tree Node Parameters'!$A$3:$B$218,2,FALSE))</f>
        <v/>
      </c>
      <c r="CE48" s="62" t="str">
        <f>IF(CE47="","",VLOOKUP(CE47,'Tech Tree Node Parameters'!$A$3:$B$218,2,FALSE))</f>
        <v/>
      </c>
      <c r="CF48" s="62" t="str">
        <f>IF(CF47="","",VLOOKUP(CF47,'Tech Tree Node Parameters'!$A$3:$B$218,2,FALSE))</f>
        <v/>
      </c>
      <c r="CG48" s="62" t="str">
        <f>IF(CG47="","",VLOOKUP(CG47,'Tech Tree Node Parameters'!$A$3:$B$218,2,FALSE))</f>
        <v/>
      </c>
      <c r="CH48" s="62" t="str">
        <f>IF(CH47="","",VLOOKUP(CH47,'Tech Tree Node Parameters'!$A$3:$B$218,2,FALSE))</f>
        <v/>
      </c>
      <c r="CI48" s="62" t="str">
        <f>IF(CI47="","",VLOOKUP(CI47,'Tech Tree Node Parameters'!$A$3:$B$218,2,FALSE))</f>
        <v/>
      </c>
      <c r="CJ48" s="62" t="str">
        <f>IF(CJ47="","",VLOOKUP(CJ47,'Tech Tree Node Parameters'!$A$3:$B$218,2,FALSE))</f>
        <v/>
      </c>
      <c r="CK48" s="62" t="str">
        <f>IF(CK47="","",VLOOKUP(CK47,'Tech Tree Node Parameters'!$A$3:$B$218,2,FALSE))</f>
        <v/>
      </c>
      <c r="CL48" s="62" t="str">
        <f>IF(CL47="","",VLOOKUP(CL47,'Tech Tree Node Parameters'!$A$3:$B$218,2,FALSE))</f>
        <v/>
      </c>
      <c r="CM48" s="62" t="str">
        <f>IF(CM47="","",VLOOKUP(CM47,'Tech Tree Node Parameters'!$A$3:$B$218,2,FALSE))</f>
        <v/>
      </c>
      <c r="CN48" s="62" t="str">
        <f>IF(CN47="","",VLOOKUP(CN47,'Tech Tree Node Parameters'!$A$3:$B$218,2,FALSE))</f>
        <v/>
      </c>
      <c r="CO48" s="62" t="str">
        <f>IF(CO47="","",VLOOKUP(CO47,'Tech Tree Node Parameters'!$A$3:$B$218,2,FALSE))</f>
        <v/>
      </c>
      <c r="CP48" s="62" t="str">
        <f>IF(CP47="","",VLOOKUP(CP47,'Tech Tree Node Parameters'!$A$3:$B$218,2,FALSE))</f>
        <v/>
      </c>
      <c r="CQ48" s="62" t="str">
        <f>IF(CQ47="","",VLOOKUP(CQ47,'Tech Tree Node Parameters'!$A$3:$B$218,2,FALSE))</f>
        <v/>
      </c>
      <c r="CR48" s="62" t="str">
        <f>IF(CR47="","",VLOOKUP(CR47,'Tech Tree Node Parameters'!$A$3:$B$218,2,FALSE))</f>
        <v/>
      </c>
      <c r="CS48" s="62" t="str">
        <f>IF(CS47="","",VLOOKUP(CS47,'Tech Tree Node Parameters'!$A$3:$B$218,2,FALSE))</f>
        <v/>
      </c>
      <c r="CT48" s="62" t="str">
        <f>IF(CT47="","",VLOOKUP(CT47,'Tech Tree Node Parameters'!$A$3:$B$218,2,FALSE))</f>
        <v/>
      </c>
      <c r="CU48" s="62" t="str">
        <f>IF(CU47="","",VLOOKUP(CU47,'Tech Tree Node Parameters'!$A$3:$B$218,2,FALSE))</f>
        <v/>
      </c>
      <c r="CV48" s="62" t="str">
        <f>IF(CV47="","",VLOOKUP(CV47,'Tech Tree Node Parameters'!$A$3:$B$218,2,FALSE))</f>
        <v/>
      </c>
      <c r="CW48" s="62" t="str">
        <f>IF(CW47="","",VLOOKUP(CW47,'Tech Tree Node Parameters'!$A$3:$B$218,2,FALSE))</f>
        <v/>
      </c>
      <c r="CX48" s="62" t="str">
        <f>IF(CX47="","",VLOOKUP(CX47,'Tech Tree Node Parameters'!$A$3:$B$218,2,FALSE))</f>
        <v/>
      </c>
      <c r="CY48" s="36" t="str">
        <f>IF(CY47="","",VLOOKUP(CY47,'Tech Tree Node Parameters'!$A$3:$B$218,2,FALSE))</f>
        <v/>
      </c>
    </row>
    <row r="49" spans="1:103" s="47" customFormat="1" x14ac:dyDescent="0.25">
      <c r="A49" s="72">
        <f t="shared" si="10"/>
        <v>39</v>
      </c>
      <c r="B49" s="69">
        <f>B51+$D$6</f>
        <v>1519</v>
      </c>
      <c r="C49" s="39"/>
      <c r="D49" s="61"/>
      <c r="E49" s="61"/>
      <c r="F49" s="61"/>
      <c r="G49" s="61"/>
      <c r="H49" s="61"/>
      <c r="I49" s="61"/>
      <c r="J49" s="61"/>
      <c r="K49" s="61"/>
      <c r="L49" s="61"/>
      <c r="M49" s="61"/>
      <c r="N49" s="61"/>
      <c r="O49" s="61"/>
      <c r="P49" s="61"/>
      <c r="Q49" s="61"/>
      <c r="R49" s="61"/>
      <c r="S49" s="61"/>
      <c r="T49" s="61"/>
      <c r="U49" s="61"/>
      <c r="V49" s="61"/>
      <c r="W49" s="61"/>
      <c r="X49" s="61"/>
      <c r="Y49" s="61"/>
      <c r="Z49" s="61"/>
      <c r="AA49" s="61"/>
      <c r="AB49" s="61"/>
      <c r="AC49" s="61"/>
      <c r="AD49" s="61"/>
      <c r="AE49" s="61"/>
      <c r="AF49" s="61"/>
      <c r="AG49" s="61"/>
      <c r="AH49" s="61"/>
      <c r="AI49" s="61"/>
      <c r="AJ49" s="61"/>
      <c r="AK49" s="61"/>
      <c r="AL49" s="61"/>
      <c r="AM49" s="61"/>
      <c r="AN49" s="61"/>
      <c r="AO49" s="61"/>
      <c r="AP49" s="61"/>
      <c r="AQ49" s="61"/>
      <c r="AR49" s="61"/>
      <c r="AS49" s="61"/>
      <c r="AT49" s="61"/>
      <c r="AU49" s="61"/>
      <c r="AV49" s="61"/>
      <c r="AW49" s="61"/>
      <c r="AX49" s="61"/>
      <c r="AY49" s="61"/>
      <c r="AZ49" s="61"/>
      <c r="BA49" s="61"/>
      <c r="BB49" s="61"/>
      <c r="BC49" s="61"/>
      <c r="BD49" s="61"/>
      <c r="BE49" s="61" t="s">
        <v>83</v>
      </c>
      <c r="BF49" s="61"/>
      <c r="BG49" s="61" t="s">
        <v>527</v>
      </c>
      <c r="BH49" s="61"/>
      <c r="BI49" s="61" t="s">
        <v>134</v>
      </c>
      <c r="BJ49" s="61"/>
      <c r="BK49" s="61"/>
      <c r="BL49" s="61"/>
      <c r="BM49" s="61"/>
      <c r="BN49" s="61"/>
      <c r="BO49" s="61"/>
      <c r="BP49" s="61"/>
      <c r="BQ49" s="61"/>
      <c r="BR49" s="61"/>
      <c r="BS49" s="61"/>
      <c r="BT49" s="61"/>
      <c r="BU49" s="61"/>
      <c r="BV49" s="61"/>
      <c r="BW49" s="61"/>
      <c r="BX49" s="61"/>
      <c r="BY49" s="61"/>
      <c r="BZ49" s="61"/>
      <c r="CA49" s="61"/>
      <c r="CB49" s="61"/>
      <c r="CC49" s="61"/>
      <c r="CD49" s="61"/>
      <c r="CE49" s="61"/>
      <c r="CF49" s="61"/>
      <c r="CG49" s="61"/>
      <c r="CH49" s="61"/>
      <c r="CI49" s="61"/>
      <c r="CJ49" s="61"/>
      <c r="CK49" s="61"/>
      <c r="CL49" s="61"/>
      <c r="CM49" s="61"/>
      <c r="CN49" s="61"/>
      <c r="CO49" s="61"/>
      <c r="CP49" s="61"/>
      <c r="CQ49" s="61"/>
      <c r="CR49" s="61"/>
      <c r="CS49" s="61"/>
      <c r="CT49" s="61"/>
      <c r="CU49" s="61"/>
      <c r="CV49" s="61"/>
      <c r="CW49" s="61"/>
      <c r="CX49" s="61"/>
      <c r="CY49" s="35"/>
    </row>
    <row r="50" spans="1:103" s="47" customFormat="1" x14ac:dyDescent="0.25">
      <c r="A50" s="72"/>
      <c r="B50" s="70"/>
      <c r="C50" s="40"/>
      <c r="D50" s="62" t="str">
        <f>IF(D49="","",VLOOKUP(D49,'Tech Tree Node Parameters'!$A$3:$B$218,2,FALSE))</f>
        <v/>
      </c>
      <c r="E50" s="62" t="str">
        <f>IF(E49="","",VLOOKUP(E49,'Tech Tree Node Parameters'!$A$3:$B$218,2,FALSE))</f>
        <v/>
      </c>
      <c r="F50" s="62" t="str">
        <f>IF(F49="","",VLOOKUP(F49,'Tech Tree Node Parameters'!$A$3:$B$218,2,FALSE))</f>
        <v/>
      </c>
      <c r="G50" s="62" t="str">
        <f>IF(G49="","",VLOOKUP(G49,'Tech Tree Node Parameters'!$A$3:$B$218,2,FALSE))</f>
        <v/>
      </c>
      <c r="H50" s="62" t="str">
        <f>IF(H49="","",VLOOKUP(H49,'Tech Tree Node Parameters'!$A$3:$B$218,2,FALSE))</f>
        <v/>
      </c>
      <c r="I50" s="62" t="str">
        <f>IF(I49="","",VLOOKUP(I49,'Tech Tree Node Parameters'!$A$3:$B$218,2,FALSE))</f>
        <v/>
      </c>
      <c r="J50" s="62" t="str">
        <f>IF(J49="","",VLOOKUP(J49,'Tech Tree Node Parameters'!$A$3:$B$218,2,FALSE))</f>
        <v/>
      </c>
      <c r="K50" s="62" t="str">
        <f>IF(K49="","",VLOOKUP(K49,'Tech Tree Node Parameters'!$A$3:$B$218,2,FALSE))</f>
        <v/>
      </c>
      <c r="L50" s="62" t="str">
        <f>IF(L49="","",VLOOKUP(L49,'Tech Tree Node Parameters'!$A$3:$B$218,2,FALSE))</f>
        <v/>
      </c>
      <c r="M50" s="62" t="str">
        <f>IF(M49="","",VLOOKUP(M49,'Tech Tree Node Parameters'!$A$3:$B$218,2,FALSE))</f>
        <v/>
      </c>
      <c r="N50" s="62" t="str">
        <f>IF(N49="","",VLOOKUP(N49,'Tech Tree Node Parameters'!$A$3:$B$218,2,FALSE))</f>
        <v/>
      </c>
      <c r="O50" s="62" t="str">
        <f>IF(O49="","",VLOOKUP(O49,'Tech Tree Node Parameters'!$A$3:$B$218,2,FALSE))</f>
        <v/>
      </c>
      <c r="P50" s="62" t="str">
        <f>IF(P49="","",VLOOKUP(P49,'Tech Tree Node Parameters'!$A$3:$B$218,2,FALSE))</f>
        <v/>
      </c>
      <c r="Q50" s="62" t="str">
        <f>IF(Q49="","",VLOOKUP(Q49,'Tech Tree Node Parameters'!$A$3:$B$218,2,FALSE))</f>
        <v/>
      </c>
      <c r="R50" s="62" t="str">
        <f>IF(R49="","",VLOOKUP(R49,'Tech Tree Node Parameters'!$A$3:$B$218,2,FALSE))</f>
        <v/>
      </c>
      <c r="S50" s="62" t="str">
        <f>IF(S49="","",VLOOKUP(S49,'Tech Tree Node Parameters'!$A$3:$B$218,2,FALSE))</f>
        <v/>
      </c>
      <c r="T50" s="62" t="str">
        <f>IF(T49="","",VLOOKUP(T49,'Tech Tree Node Parameters'!$A$3:$B$218,2,FALSE))</f>
        <v/>
      </c>
      <c r="U50" s="62" t="str">
        <f>IF(U49="","",VLOOKUP(U49,'Tech Tree Node Parameters'!$A$3:$B$218,2,FALSE))</f>
        <v/>
      </c>
      <c r="V50" s="62" t="str">
        <f>IF(V49="","",VLOOKUP(V49,'Tech Tree Node Parameters'!$A$3:$B$218,2,FALSE))</f>
        <v/>
      </c>
      <c r="W50" s="62" t="str">
        <f>IF(W49="","",VLOOKUP(W49,'Tech Tree Node Parameters'!$A$3:$B$218,2,FALSE))</f>
        <v/>
      </c>
      <c r="X50" s="62" t="str">
        <f>IF(X49="","",VLOOKUP(X49,'Tech Tree Node Parameters'!$A$3:$B$218,2,FALSE))</f>
        <v/>
      </c>
      <c r="Y50" s="62" t="str">
        <f>IF(Y49="","",VLOOKUP(Y49,'Tech Tree Node Parameters'!$A$3:$B$218,2,FALSE))</f>
        <v/>
      </c>
      <c r="Z50" s="62" t="str">
        <f>IF(Z49="","",VLOOKUP(Z49,'Tech Tree Node Parameters'!$A$3:$B$218,2,FALSE))</f>
        <v/>
      </c>
      <c r="AA50" s="62" t="str">
        <f>IF(AA49="","",VLOOKUP(AA49,'Tech Tree Node Parameters'!$A$3:$B$218,2,FALSE))</f>
        <v/>
      </c>
      <c r="AB50" s="62" t="str">
        <f>IF(AB49="","",VLOOKUP(AB49,'Tech Tree Node Parameters'!$A$3:$B$218,2,FALSE))</f>
        <v/>
      </c>
      <c r="AC50" s="62" t="str">
        <f>IF(AC49="","",VLOOKUP(AC49,'Tech Tree Node Parameters'!$A$3:$B$218,2,FALSE))</f>
        <v/>
      </c>
      <c r="AD50" s="62" t="str">
        <f>IF(AD49="","",VLOOKUP(AD49,'Tech Tree Node Parameters'!$A$3:$B$218,2,FALSE))</f>
        <v/>
      </c>
      <c r="AE50" s="62" t="str">
        <f>IF(AE49="","",VLOOKUP(AE49,'Tech Tree Node Parameters'!$A$3:$B$218,2,FALSE))</f>
        <v/>
      </c>
      <c r="AF50" s="62" t="str">
        <f>IF(AF49="","",VLOOKUP(AF49,'Tech Tree Node Parameters'!$A$3:$B$218,2,FALSE))</f>
        <v/>
      </c>
      <c r="AG50" s="62" t="str">
        <f>IF(AG49="","",VLOOKUP(AG49,'Tech Tree Node Parameters'!$A$3:$B$218,2,FALSE))</f>
        <v/>
      </c>
      <c r="AH50" s="62" t="str">
        <f>IF(AH49="","",VLOOKUP(AH49,'Tech Tree Node Parameters'!$A$3:$B$218,2,FALSE))</f>
        <v/>
      </c>
      <c r="AI50" s="62" t="str">
        <f>IF(AI49="","",VLOOKUP(AI49,'Tech Tree Node Parameters'!$A$3:$B$218,2,FALSE))</f>
        <v/>
      </c>
      <c r="AJ50" s="62" t="str">
        <f>IF(AJ49="","",VLOOKUP(AJ49,'Tech Tree Node Parameters'!$A$3:$B$218,2,FALSE))</f>
        <v/>
      </c>
      <c r="AK50" s="62" t="str">
        <f>IF(AK49="","",VLOOKUP(AK49,'Tech Tree Node Parameters'!$A$3:$B$218,2,FALSE))</f>
        <v/>
      </c>
      <c r="AL50" s="62" t="str">
        <f>IF(AL49="","",VLOOKUP(AL49,'Tech Tree Node Parameters'!$A$3:$B$218,2,FALSE))</f>
        <v/>
      </c>
      <c r="AM50" s="62" t="str">
        <f>IF(AM49="","",VLOOKUP(AM49,'Tech Tree Node Parameters'!$A$3:$B$218,2,FALSE))</f>
        <v/>
      </c>
      <c r="AN50" s="62" t="str">
        <f>IF(AN49="","",VLOOKUP(AN49,'Tech Tree Node Parameters'!$A$3:$B$218,2,FALSE))</f>
        <v/>
      </c>
      <c r="AO50" s="62" t="str">
        <f>IF(AO49="","",VLOOKUP(AO49,'Tech Tree Node Parameters'!$A$3:$B$218,2,FALSE))</f>
        <v/>
      </c>
      <c r="AP50" s="62" t="str">
        <f>IF(AP49="","",VLOOKUP(AP49,'Tech Tree Node Parameters'!$A$3:$B$218,2,FALSE))</f>
        <v/>
      </c>
      <c r="AQ50" s="62" t="str">
        <f>IF(AQ49="","",VLOOKUP(AQ49,'Tech Tree Node Parameters'!$A$3:$B$218,2,FALSE))</f>
        <v/>
      </c>
      <c r="AR50" s="62" t="str">
        <f>IF(AR49="","",VLOOKUP(AR49,'Tech Tree Node Parameters'!$A$3:$B$218,2,FALSE))</f>
        <v/>
      </c>
      <c r="AS50" s="62" t="str">
        <f>IF(AS49="","",VLOOKUP(AS49,'Tech Tree Node Parameters'!$A$3:$B$218,2,FALSE))</f>
        <v/>
      </c>
      <c r="AT50" s="62" t="str">
        <f>IF(AT49="","",VLOOKUP(AT49,'Tech Tree Node Parameters'!$A$3:$B$218,2,FALSE))</f>
        <v/>
      </c>
      <c r="AU50" s="62" t="str">
        <f>IF(AU49="","",VLOOKUP(AU49,'Tech Tree Node Parameters'!$A$3:$B$218,2,FALSE))</f>
        <v/>
      </c>
      <c r="AV50" s="62" t="str">
        <f>IF(AV49="","",VLOOKUP(AV49,'Tech Tree Node Parameters'!$A$3:$B$218,2,FALSE))</f>
        <v/>
      </c>
      <c r="AW50" s="62" t="str">
        <f>IF(AW49="","",VLOOKUP(AW49,'Tech Tree Node Parameters'!$A$3:$B$218,2,FALSE))</f>
        <v/>
      </c>
      <c r="AX50" s="62" t="str">
        <f>IF(AX49="","",VLOOKUP(AX49,'Tech Tree Node Parameters'!$A$3:$B$218,2,FALSE))</f>
        <v/>
      </c>
      <c r="AY50" s="62" t="str">
        <f>IF(AY49="","",VLOOKUP(AY49,'Tech Tree Node Parameters'!$A$3:$B$218,2,FALSE))</f>
        <v/>
      </c>
      <c r="AZ50" s="62" t="str">
        <f>IF(AZ49="","",VLOOKUP(AZ49,'Tech Tree Node Parameters'!$A$3:$B$218,2,FALSE))</f>
        <v/>
      </c>
      <c r="BA50" s="62" t="str">
        <f>IF(BA49="","",VLOOKUP(BA49,'Tech Tree Node Parameters'!$A$3:$B$218,2,FALSE))</f>
        <v/>
      </c>
      <c r="BB50" s="62" t="str">
        <f>IF(BB49="","",VLOOKUP(BB49,'Tech Tree Node Parameters'!$A$3:$B$218,2,FALSE))</f>
        <v/>
      </c>
      <c r="BC50" s="62"/>
      <c r="BD50" s="62" t="str">
        <f>IF(BD49="","",VLOOKUP(BD49,'Tech Tree Node Parameters'!$A$3:$B$218,2,FALSE))</f>
        <v/>
      </c>
      <c r="BE50" s="62" t="str">
        <f>IF(BE49="","",VLOOKUP(BE49,'Tech Tree Node Parameters'!$A$3:$B$218,2,FALSE))</f>
        <v>Basic Parachutes</v>
      </c>
      <c r="BF50" s="62" t="str">
        <f>IF(BF49="","",VLOOKUP(BF49,'Tech Tree Node Parameters'!$A$3:$B$218,2,FALSE))</f>
        <v/>
      </c>
      <c r="BG50" s="62" t="str">
        <f>IF(BG49="","",VLOOKUP(BG49,'Tech Tree Node Parameters'!$A$3:$B$218,2,FALSE))</f>
        <v>Advanced Parachutes</v>
      </c>
      <c r="BH50" s="62" t="str">
        <f>IF(BH49="","",VLOOKUP(BH49,'Tech Tree Node Parameters'!$A$3:$B$218,2,FALSE))</f>
        <v/>
      </c>
      <c r="BI50" s="62" t="str">
        <f>IF(BI49="","",VLOOKUP(BI49,'Tech Tree Node Parameters'!$A$3:$B$218,2,FALSE))</f>
        <v>Enhanced Survivability</v>
      </c>
      <c r="BJ50" s="62" t="str">
        <f>IF(BJ49="","",VLOOKUP(BJ49,'Tech Tree Node Parameters'!$A$3:$B$218,2,FALSE))</f>
        <v/>
      </c>
      <c r="BK50" s="62" t="str">
        <f>IF(BK49="","",VLOOKUP(BK49,'Tech Tree Node Parameters'!$A$3:$B$218,2,FALSE))</f>
        <v/>
      </c>
      <c r="BL50" s="62" t="str">
        <f>IF(BL49="","",VLOOKUP(BL49,'Tech Tree Node Parameters'!$A$3:$B$218,2,FALSE))</f>
        <v/>
      </c>
      <c r="BM50" s="62" t="str">
        <f>IF(BM49="","",VLOOKUP(BM49,'Tech Tree Node Parameters'!$A$3:$B$218,2,FALSE))</f>
        <v/>
      </c>
      <c r="BN50" s="62" t="str">
        <f>IF(BN49="","",VLOOKUP(BN49,'Tech Tree Node Parameters'!$A$3:$B$218,2,FALSE))</f>
        <v/>
      </c>
      <c r="BO50" s="62" t="str">
        <f>IF(BO49="","",VLOOKUP(BO49,'Tech Tree Node Parameters'!$A$3:$B$218,2,FALSE))</f>
        <v/>
      </c>
      <c r="BP50" s="62" t="str">
        <f>IF(BP49="","",VLOOKUP(BP49,'Tech Tree Node Parameters'!$A$3:$B$218,2,FALSE))</f>
        <v/>
      </c>
      <c r="BQ50" s="62" t="str">
        <f>IF(BQ49="","",VLOOKUP(BQ49,'Tech Tree Node Parameters'!$A$3:$B$218,2,FALSE))</f>
        <v/>
      </c>
      <c r="BR50" s="62" t="str">
        <f>IF(BR49="","",VLOOKUP(BR49,'Tech Tree Node Parameters'!$A$3:$B$218,2,FALSE))</f>
        <v/>
      </c>
      <c r="BS50" s="62" t="str">
        <f>IF(BS49="","",VLOOKUP(BS49,'Tech Tree Node Parameters'!$A$3:$B$218,2,FALSE))</f>
        <v/>
      </c>
      <c r="BT50" s="62" t="str">
        <f>IF(BT49="","",VLOOKUP(BT49,'Tech Tree Node Parameters'!$A$3:$B$218,2,FALSE))</f>
        <v/>
      </c>
      <c r="BU50" s="62" t="str">
        <f>IF(BU49="","",VLOOKUP(BU49,'Tech Tree Node Parameters'!$A$3:$B$218,2,FALSE))</f>
        <v/>
      </c>
      <c r="BV50" s="62" t="str">
        <f>IF(BV49="","",VLOOKUP(BV49,'Tech Tree Node Parameters'!$A$3:$B$218,2,FALSE))</f>
        <v/>
      </c>
      <c r="BW50" s="62" t="str">
        <f>IF(BW49="","",VLOOKUP(BW49,'Tech Tree Node Parameters'!$A$3:$B$218,2,FALSE))</f>
        <v/>
      </c>
      <c r="BX50" s="62" t="str">
        <f>IF(BX49="","",VLOOKUP(BX49,'Tech Tree Node Parameters'!$A$3:$B$218,2,FALSE))</f>
        <v/>
      </c>
      <c r="BY50" s="62" t="str">
        <f>IF(BY49="","",VLOOKUP(BY49,'Tech Tree Node Parameters'!$A$3:$B$218,2,FALSE))</f>
        <v/>
      </c>
      <c r="BZ50" s="62" t="str">
        <f>IF(BZ49="","",VLOOKUP(BZ49,'Tech Tree Node Parameters'!$A$3:$B$218,2,FALSE))</f>
        <v/>
      </c>
      <c r="CA50" s="62" t="str">
        <f>IF(CA49="","",VLOOKUP(CA49,'Tech Tree Node Parameters'!$A$3:$B$218,2,FALSE))</f>
        <v/>
      </c>
      <c r="CB50" s="62" t="str">
        <f>IF(CB49="","",VLOOKUP(CB49,'Tech Tree Node Parameters'!$A$3:$B$218,2,FALSE))</f>
        <v/>
      </c>
      <c r="CC50" s="62" t="str">
        <f>IF(CC49="","",VLOOKUP(CC49,'Tech Tree Node Parameters'!$A$3:$B$218,2,FALSE))</f>
        <v/>
      </c>
      <c r="CD50" s="62" t="str">
        <f>IF(CD49="","",VLOOKUP(CD49,'Tech Tree Node Parameters'!$A$3:$B$218,2,FALSE))</f>
        <v/>
      </c>
      <c r="CE50" s="62" t="str">
        <f>IF(CE49="","",VLOOKUP(CE49,'Tech Tree Node Parameters'!$A$3:$B$218,2,FALSE))</f>
        <v/>
      </c>
      <c r="CF50" s="62" t="str">
        <f>IF(CF49="","",VLOOKUP(CF49,'Tech Tree Node Parameters'!$A$3:$B$218,2,FALSE))</f>
        <v/>
      </c>
      <c r="CG50" s="62" t="str">
        <f>IF(CG49="","",VLOOKUP(CG49,'Tech Tree Node Parameters'!$A$3:$B$218,2,FALSE))</f>
        <v/>
      </c>
      <c r="CH50" s="62" t="str">
        <f>IF(CH49="","",VLOOKUP(CH49,'Tech Tree Node Parameters'!$A$3:$B$218,2,FALSE))</f>
        <v/>
      </c>
      <c r="CI50" s="62" t="str">
        <f>IF(CI49="","",VLOOKUP(CI49,'Tech Tree Node Parameters'!$A$3:$B$218,2,FALSE))</f>
        <v/>
      </c>
      <c r="CJ50" s="62" t="str">
        <f>IF(CJ49="","",VLOOKUP(CJ49,'Tech Tree Node Parameters'!$A$3:$B$218,2,FALSE))</f>
        <v/>
      </c>
      <c r="CK50" s="62" t="str">
        <f>IF(CK49="","",VLOOKUP(CK49,'Tech Tree Node Parameters'!$A$3:$B$218,2,FALSE))</f>
        <v/>
      </c>
      <c r="CL50" s="62" t="str">
        <f>IF(CL49="","",VLOOKUP(CL49,'Tech Tree Node Parameters'!$A$3:$B$218,2,FALSE))</f>
        <v/>
      </c>
      <c r="CM50" s="62" t="str">
        <f>IF(CM49="","",VLOOKUP(CM49,'Tech Tree Node Parameters'!$A$3:$B$218,2,FALSE))</f>
        <v/>
      </c>
      <c r="CN50" s="62" t="str">
        <f>IF(CN49="","",VLOOKUP(CN49,'Tech Tree Node Parameters'!$A$3:$B$218,2,FALSE))</f>
        <v/>
      </c>
      <c r="CO50" s="62" t="str">
        <f>IF(CO49="","",VLOOKUP(CO49,'Tech Tree Node Parameters'!$A$3:$B$218,2,FALSE))</f>
        <v/>
      </c>
      <c r="CP50" s="62" t="str">
        <f>IF(CP49="","",VLOOKUP(CP49,'Tech Tree Node Parameters'!$A$3:$B$218,2,FALSE))</f>
        <v/>
      </c>
      <c r="CQ50" s="62" t="str">
        <f>IF(CQ49="","",VLOOKUP(CQ49,'Tech Tree Node Parameters'!$A$3:$B$218,2,FALSE))</f>
        <v/>
      </c>
      <c r="CR50" s="62" t="str">
        <f>IF(CR49="","",VLOOKUP(CR49,'Tech Tree Node Parameters'!$A$3:$B$218,2,FALSE))</f>
        <v/>
      </c>
      <c r="CS50" s="62" t="str">
        <f>IF(CS49="","",VLOOKUP(CS49,'Tech Tree Node Parameters'!$A$3:$B$218,2,FALSE))</f>
        <v/>
      </c>
      <c r="CT50" s="62" t="str">
        <f>IF(CT49="","",VLOOKUP(CT49,'Tech Tree Node Parameters'!$A$3:$B$218,2,FALSE))</f>
        <v/>
      </c>
      <c r="CU50" s="62" t="str">
        <f>IF(CU49="","",VLOOKUP(CU49,'Tech Tree Node Parameters'!$A$3:$B$218,2,FALSE))</f>
        <v/>
      </c>
      <c r="CV50" s="62" t="str">
        <f>IF(CV49="","",VLOOKUP(CV49,'Tech Tree Node Parameters'!$A$3:$B$218,2,FALSE))</f>
        <v/>
      </c>
      <c r="CW50" s="62" t="str">
        <f>IF(CW49="","",VLOOKUP(CW49,'Tech Tree Node Parameters'!$A$3:$B$218,2,FALSE))</f>
        <v/>
      </c>
      <c r="CX50" s="62" t="str">
        <f>IF(CX49="","",VLOOKUP(CX49,'Tech Tree Node Parameters'!$A$3:$B$218,2,FALSE))</f>
        <v/>
      </c>
      <c r="CY50" s="36" t="str">
        <f>IF(CY49="","",VLOOKUP(CY49,'Tech Tree Node Parameters'!$A$3:$B$218,2,FALSE))</f>
        <v/>
      </c>
    </row>
    <row r="51" spans="1:103" s="47" customFormat="1" x14ac:dyDescent="0.25">
      <c r="A51" s="72">
        <f t="shared" si="10"/>
        <v>38</v>
      </c>
      <c r="B51" s="69">
        <f>B53+$D$6</f>
        <v>1481</v>
      </c>
      <c r="C51" s="39"/>
      <c r="D51" s="61"/>
      <c r="E51" s="61"/>
      <c r="F51" s="61"/>
      <c r="G51" s="61"/>
      <c r="H51" s="61"/>
      <c r="I51" s="61"/>
      <c r="J51" s="61"/>
      <c r="K51" s="61"/>
      <c r="L51" s="61"/>
      <c r="M51" s="61"/>
      <c r="N51" s="61"/>
      <c r="O51" s="61"/>
      <c r="P51" s="61"/>
      <c r="Q51" s="61"/>
      <c r="R51" s="61"/>
      <c r="S51" s="61"/>
      <c r="T51" s="61"/>
      <c r="U51" s="61"/>
      <c r="V51" s="61"/>
      <c r="W51" s="61"/>
      <c r="X51" s="61"/>
      <c r="Y51" s="61"/>
      <c r="Z51" s="61"/>
      <c r="AA51" s="61"/>
      <c r="AB51" s="61"/>
      <c r="AC51" s="61" t="s">
        <v>483</v>
      </c>
      <c r="AD51" s="61"/>
      <c r="AE51" s="61" t="s">
        <v>482</v>
      </c>
      <c r="AF51" s="61"/>
      <c r="AG51" s="61" t="s">
        <v>193</v>
      </c>
      <c r="AH51" s="61"/>
      <c r="AI51" s="61"/>
      <c r="AJ51" s="61"/>
      <c r="AK51" s="61"/>
      <c r="AL51" s="61"/>
      <c r="AM51" s="61"/>
      <c r="AN51" s="61"/>
      <c r="AO51" s="61"/>
      <c r="AP51" s="61"/>
      <c r="AQ51" s="61"/>
      <c r="AR51" s="61"/>
      <c r="AS51" s="61" t="s">
        <v>515</v>
      </c>
      <c r="AT51" s="61"/>
      <c r="AU51" s="61" t="s">
        <v>520</v>
      </c>
      <c r="AV51" s="61"/>
      <c r="AW51" s="61" t="s">
        <v>519</v>
      </c>
      <c r="AX51" s="61"/>
      <c r="AY51" s="61"/>
      <c r="AZ51" s="61"/>
      <c r="BA51" s="61"/>
      <c r="BB51" s="61"/>
      <c r="BC51" s="61"/>
      <c r="BD51" s="61"/>
      <c r="BE51" s="61"/>
      <c r="BF51" s="61"/>
      <c r="BG51" s="61"/>
      <c r="BH51" s="61"/>
      <c r="BI51" s="61"/>
      <c r="BJ51" s="61"/>
      <c r="BK51" s="61" t="s">
        <v>640</v>
      </c>
      <c r="BL51" s="61"/>
      <c r="BM51" s="61" t="s">
        <v>635</v>
      </c>
      <c r="BN51" s="61"/>
      <c r="BO51" s="61" t="s">
        <v>172</v>
      </c>
      <c r="BP51" s="61"/>
      <c r="BQ51" s="61" t="s">
        <v>170</v>
      </c>
      <c r="BR51" s="61"/>
      <c r="BS51" s="61" t="s">
        <v>38</v>
      </c>
      <c r="BT51" s="61"/>
      <c r="BU51" s="61" t="s">
        <v>183</v>
      </c>
      <c r="BV51" s="61"/>
      <c r="BW51" s="61" t="s">
        <v>1344</v>
      </c>
      <c r="BX51" s="61"/>
      <c r="BY51" s="61"/>
      <c r="BZ51" s="61"/>
      <c r="CA51" s="61"/>
      <c r="CB51" s="61"/>
      <c r="CC51" s="61"/>
      <c r="CD51" s="61"/>
      <c r="CE51" s="61"/>
      <c r="CF51" s="61"/>
      <c r="CG51" s="61"/>
      <c r="CH51" s="61"/>
      <c r="CI51" s="61"/>
      <c r="CJ51" s="61"/>
      <c r="CK51" s="61"/>
      <c r="CL51" s="61"/>
      <c r="CM51" s="61"/>
      <c r="CN51" s="61"/>
      <c r="CO51" s="61"/>
      <c r="CP51" s="61"/>
      <c r="CQ51" s="61"/>
      <c r="CR51" s="61"/>
      <c r="CS51" s="61"/>
      <c r="CT51" s="61"/>
      <c r="CU51" s="61"/>
      <c r="CV51" s="61"/>
      <c r="CW51" s="61"/>
      <c r="CX51" s="61"/>
      <c r="CY51" s="35"/>
    </row>
    <row r="52" spans="1:103" s="47" customFormat="1" x14ac:dyDescent="0.25">
      <c r="A52" s="72"/>
      <c r="B52" s="70"/>
      <c r="C52" s="40"/>
      <c r="D52" s="62" t="str">
        <f>IF(D51="","",VLOOKUP(D51,'Tech Tree Node Parameters'!$A$3:$B$218,2,FALSE))</f>
        <v/>
      </c>
      <c r="E52" s="62" t="str">
        <f>IF(E51="","",VLOOKUP(E51,'Tech Tree Node Parameters'!$A$3:$B$218,2,FALSE))</f>
        <v/>
      </c>
      <c r="F52" s="62" t="str">
        <f>IF(F51="","",VLOOKUP(F51,'Tech Tree Node Parameters'!$A$3:$B$218,2,FALSE))</f>
        <v/>
      </c>
      <c r="G52" s="62" t="str">
        <f>IF(G51="","",VLOOKUP(G51,'Tech Tree Node Parameters'!$A$3:$B$218,2,FALSE))</f>
        <v/>
      </c>
      <c r="H52" s="62" t="str">
        <f>IF(H51="","",VLOOKUP(H51,'Tech Tree Node Parameters'!$A$3:$B$218,2,FALSE))</f>
        <v/>
      </c>
      <c r="I52" s="62" t="str">
        <f>IF(I51="","",VLOOKUP(I51,'Tech Tree Node Parameters'!$A$3:$B$218,2,FALSE))</f>
        <v/>
      </c>
      <c r="J52" s="62" t="str">
        <f>IF(J51="","",VLOOKUP(J51,'Tech Tree Node Parameters'!$A$3:$B$218,2,FALSE))</f>
        <v/>
      </c>
      <c r="K52" s="62" t="str">
        <f>IF(K51="","",VLOOKUP(K51,'Tech Tree Node Parameters'!$A$3:$B$218,2,FALSE))</f>
        <v/>
      </c>
      <c r="L52" s="62" t="str">
        <f>IF(L51="","",VLOOKUP(L51,'Tech Tree Node Parameters'!$A$3:$B$218,2,FALSE))</f>
        <v/>
      </c>
      <c r="M52" s="62" t="str">
        <f>IF(M51="","",VLOOKUP(M51,'Tech Tree Node Parameters'!$A$3:$B$218,2,FALSE))</f>
        <v/>
      </c>
      <c r="N52" s="62" t="str">
        <f>IF(N51="","",VLOOKUP(N51,'Tech Tree Node Parameters'!$A$3:$B$218,2,FALSE))</f>
        <v/>
      </c>
      <c r="O52" s="62" t="str">
        <f>IF(O51="","",VLOOKUP(O51,'Tech Tree Node Parameters'!$A$3:$B$218,2,FALSE))</f>
        <v/>
      </c>
      <c r="P52" s="62" t="str">
        <f>IF(P51="","",VLOOKUP(P51,'Tech Tree Node Parameters'!$A$3:$B$218,2,FALSE))</f>
        <v/>
      </c>
      <c r="Q52" s="62" t="str">
        <f>IF(Q51="","",VLOOKUP(Q51,'Tech Tree Node Parameters'!$A$3:$B$218,2,FALSE))</f>
        <v/>
      </c>
      <c r="R52" s="62" t="str">
        <f>IF(R51="","",VLOOKUP(R51,'Tech Tree Node Parameters'!$A$3:$B$218,2,FALSE))</f>
        <v/>
      </c>
      <c r="S52" s="62" t="str">
        <f>IF(S51="","",VLOOKUP(S51,'Tech Tree Node Parameters'!$A$3:$B$218,2,FALSE))</f>
        <v/>
      </c>
      <c r="T52" s="62" t="str">
        <f>IF(T51="","",VLOOKUP(T51,'Tech Tree Node Parameters'!$A$3:$B$218,2,FALSE))</f>
        <v/>
      </c>
      <c r="U52" s="62" t="str">
        <f>IF(U51="","",VLOOKUP(U51,'Tech Tree Node Parameters'!$A$3:$B$218,2,FALSE))</f>
        <v/>
      </c>
      <c r="V52" s="62" t="str">
        <f>IF(V51="","",VLOOKUP(V51,'Tech Tree Node Parameters'!$A$3:$B$218,2,FALSE))</f>
        <v/>
      </c>
      <c r="W52" s="62" t="str">
        <f>IF(W51="","",VLOOKUP(W51,'Tech Tree Node Parameters'!$A$3:$B$218,2,FALSE))</f>
        <v/>
      </c>
      <c r="X52" s="62" t="str">
        <f>IF(X51="","",VLOOKUP(X51,'Tech Tree Node Parameters'!$A$3:$B$218,2,FALSE))</f>
        <v/>
      </c>
      <c r="Y52" s="62" t="str">
        <f>IF(Y51="","",VLOOKUP(Y51,'Tech Tree Node Parameters'!$A$3:$B$218,2,FALSE))</f>
        <v/>
      </c>
      <c r="Z52" s="62" t="str">
        <f>IF(Z51="","",VLOOKUP(Z51,'Tech Tree Node Parameters'!$A$3:$B$218,2,FALSE))</f>
        <v/>
      </c>
      <c r="AA52" s="62" t="str">
        <f>IF(AA51="","",VLOOKUP(AA51,'Tech Tree Node Parameters'!$A$3:$B$218,2,FALSE))</f>
        <v/>
      </c>
      <c r="AB52" s="62" t="str">
        <f>IF(AB51="","",VLOOKUP(AB51,'Tech Tree Node Parameters'!$A$3:$B$218,2,FALSE))</f>
        <v/>
      </c>
      <c r="AC52" s="62" t="str">
        <f>IF(AC51="","",VLOOKUP(AC51,'Tech Tree Node Parameters'!$A$3:$B$218,2,FALSE))</f>
        <v>Experimental 3.75m Rocketry</v>
      </c>
      <c r="AD52" s="62" t="str">
        <f>IF(AD51="","",VLOOKUP(AD51,'Tech Tree Node Parameters'!$A$3:$B$218,2,FALSE))</f>
        <v/>
      </c>
      <c r="AE52" s="62" t="str">
        <f>IF(AE51="","",VLOOKUP(AE51,'Tech Tree Node Parameters'!$A$3:$B$218,2,FALSE))</f>
        <v>Advanced 3.75m Rocketry</v>
      </c>
      <c r="AF52" s="62" t="str">
        <f>IF(AF51="","",VLOOKUP(AF51,'Tech Tree Node Parameters'!$A$3:$B$218,2,FALSE))</f>
        <v/>
      </c>
      <c r="AG52" s="62" t="str">
        <f>IF(AG51="","",VLOOKUP(AG51,'Tech Tree Node Parameters'!$A$3:$B$218,2,FALSE))</f>
        <v>3.75m Rocketry</v>
      </c>
      <c r="AH52" s="62" t="str">
        <f>IF(AH51="","",VLOOKUP(AH51,'Tech Tree Node Parameters'!$A$3:$B$218,2,FALSE))</f>
        <v/>
      </c>
      <c r="AI52" s="62" t="str">
        <f>IF(AI51="","",VLOOKUP(AI51,'Tech Tree Node Parameters'!$A$3:$B$218,2,FALSE))</f>
        <v/>
      </c>
      <c r="AJ52" s="62" t="str">
        <f>IF(AJ51="","",VLOOKUP(AJ51,'Tech Tree Node Parameters'!$A$3:$B$218,2,FALSE))</f>
        <v/>
      </c>
      <c r="AK52" s="62" t="str">
        <f>IF(AK51="","",VLOOKUP(AK51,'Tech Tree Node Parameters'!$A$3:$B$218,2,FALSE))</f>
        <v/>
      </c>
      <c r="AL52" s="62" t="str">
        <f>IF(AL51="","",VLOOKUP(AL51,'Tech Tree Node Parameters'!$A$3:$B$218,2,FALSE))</f>
        <v/>
      </c>
      <c r="AM52" s="62" t="str">
        <f>IF(AM51="","",VLOOKUP(AM51,'Tech Tree Node Parameters'!$A$3:$B$218,2,FALSE))</f>
        <v/>
      </c>
      <c r="AN52" s="62" t="str">
        <f>IF(AN51="","",VLOOKUP(AN51,'Tech Tree Node Parameters'!$A$3:$B$218,2,FALSE))</f>
        <v/>
      </c>
      <c r="AO52" s="62" t="str">
        <f>IF(AO51="","",VLOOKUP(AO51,'Tech Tree Node Parameters'!$A$3:$B$218,2,FALSE))</f>
        <v/>
      </c>
      <c r="AP52" s="62" t="str">
        <f>IF(AP51="","",VLOOKUP(AP51,'Tech Tree Node Parameters'!$A$3:$B$218,2,FALSE))</f>
        <v/>
      </c>
      <c r="AQ52" s="62" t="str">
        <f>IF(AQ51="","",VLOOKUP(AQ51,'Tech Tree Node Parameters'!$A$3:$B$218,2,FALSE))</f>
        <v/>
      </c>
      <c r="AR52" s="62" t="str">
        <f>IF(AR51="","",VLOOKUP(AR51,'Tech Tree Node Parameters'!$A$3:$B$218,2,FALSE))</f>
        <v/>
      </c>
      <c r="AS52" s="62" t="str">
        <f>IF(AS51="","",VLOOKUP(AS51,'Tech Tree Node Parameters'!$A$3:$B$218,2,FALSE))</f>
        <v>Advanced Propeller Engines</v>
      </c>
      <c r="AT52" s="62" t="str">
        <f>IF(AT51="","",VLOOKUP(AT51,'Tech Tree Node Parameters'!$A$3:$B$218,2,FALSE))</f>
        <v/>
      </c>
      <c r="AU52" s="62" t="str">
        <f>IF(AU51="","",VLOOKUP(AU51,'Tech Tree Node Parameters'!$A$3:$B$218,2,FALSE))</f>
        <v>Large Propeller Engines</v>
      </c>
      <c r="AV52" s="62" t="str">
        <f>IF(AV51="","",VLOOKUP(AV51,'Tech Tree Node Parameters'!$A$3:$B$218,2,FALSE))</f>
        <v/>
      </c>
      <c r="AW52" s="62" t="str">
        <f>IF(AW51="","",VLOOKUP(AW51,'Tech Tree Node Parameters'!$A$3:$B$218,2,FALSE))</f>
        <v>Early Propeller Engines</v>
      </c>
      <c r="AX52" s="62" t="str">
        <f>IF(AX51="","",VLOOKUP(AX51,'Tech Tree Node Parameters'!$A$3:$B$218,2,FALSE))</f>
        <v/>
      </c>
      <c r="AY52" s="62" t="str">
        <f>IF(AY51="","",VLOOKUP(AY51,'Tech Tree Node Parameters'!$A$3:$B$218,2,FALSE))</f>
        <v/>
      </c>
      <c r="AZ52" s="62" t="str">
        <f>IF(AZ51="","",VLOOKUP(AZ51,'Tech Tree Node Parameters'!$A$3:$B$218,2,FALSE))</f>
        <v/>
      </c>
      <c r="BA52" s="62" t="str">
        <f>IF(BA51="","",VLOOKUP(BA51,'Tech Tree Node Parameters'!$A$3:$B$218,2,FALSE))</f>
        <v/>
      </c>
      <c r="BB52" s="62" t="str">
        <f>IF(BB51="","",VLOOKUP(BB51,'Tech Tree Node Parameters'!$A$3:$B$218,2,FALSE))</f>
        <v/>
      </c>
      <c r="BC52" s="62" t="str">
        <f>IF(BC51="","",VLOOKUP(BC51,'Tech Tree Node Parameters'!$A$3:$B$218,2,FALSE))</f>
        <v/>
      </c>
      <c r="BD52" s="62" t="str">
        <f>IF(BD51="","",VLOOKUP(BD51,'Tech Tree Node Parameters'!$A$3:$B$218,2,FALSE))</f>
        <v/>
      </c>
      <c r="BE52" s="62" t="str">
        <f>IF(BE51="","",VLOOKUP(BE51,'Tech Tree Node Parameters'!$A$3:$B$218,2,FALSE))</f>
        <v/>
      </c>
      <c r="BF52" s="62" t="str">
        <f>IF(BF51="","",VLOOKUP(BF51,'Tech Tree Node Parameters'!$A$3:$B$218,2,FALSE))</f>
        <v/>
      </c>
      <c r="BG52" s="62" t="str">
        <f>IF(BG51="","",VLOOKUP(BG51,'Tech Tree Node Parameters'!$A$3:$B$218,2,FALSE))</f>
        <v/>
      </c>
      <c r="BH52" s="62" t="str">
        <f>IF(BH51="","",VLOOKUP(BH51,'Tech Tree Node Parameters'!$A$3:$B$218,2,FALSE))</f>
        <v/>
      </c>
      <c r="BI52" s="62" t="str">
        <f>IF(BI51="","",VLOOKUP(BI51,'Tech Tree Node Parameters'!$A$3:$B$218,2,FALSE))</f>
        <v/>
      </c>
      <c r="BJ52" s="62" t="str">
        <f>IF(BJ51="","",VLOOKUP(BJ51,'Tech Tree Node Parameters'!$A$3:$B$218,2,FALSE))</f>
        <v/>
      </c>
      <c r="BK52" s="62" t="str">
        <f>IF(BK51="","",VLOOKUP(BK51,'Tech Tree Node Parameters'!$A$3:$B$218,2,FALSE))</f>
        <v>Landers</v>
      </c>
      <c r="BL52" s="62" t="str">
        <f>IF(BL51="","",VLOOKUP(BL51,'Tech Tree Node Parameters'!$A$3:$B$218,2,FALSE))</f>
        <v/>
      </c>
      <c r="BM52" s="62" t="str">
        <f>IF(BM51="","",VLOOKUP(BM51,'Tech Tree Node Parameters'!$A$3:$B$218,2,FALSE))</f>
        <v>Specialized Landers</v>
      </c>
      <c r="BN52" s="62" t="str">
        <f>IF(BN51="","",VLOOKUP(BN51,'Tech Tree Node Parameters'!$A$3:$B$218,2,FALSE))</f>
        <v/>
      </c>
      <c r="BO52" s="62" t="str">
        <f>IF(BO51="","",VLOOKUP(BO51,'Tech Tree Node Parameters'!$A$3:$B$218,2,FALSE))</f>
        <v>Logistics Engineering</v>
      </c>
      <c r="BP52" s="62" t="str">
        <f>IF(BP51="","",VLOOKUP(BP51,'Tech Tree Node Parameters'!$A$3:$B$218,2,FALSE))</f>
        <v/>
      </c>
      <c r="BQ52" s="62" t="str">
        <f>IF(BQ51="","",VLOOKUP(BQ51,'Tech Tree Node Parameters'!$A$3:$B$218,2,FALSE))</f>
        <v>Advanced Logistics</v>
      </c>
      <c r="BR52" s="62" t="str">
        <f>IF(BR51="","",VLOOKUP(BR51,'Tech Tree Node Parameters'!$A$3:$B$218,2,FALSE))</f>
        <v/>
      </c>
      <c r="BS52" s="62"/>
      <c r="BT52" s="62" t="str">
        <f>IF(BT51="","",VLOOKUP(BT51,'Tech Tree Node Parameters'!$A$3:$B$218,2,FALSE))</f>
        <v/>
      </c>
      <c r="BU52" s="62" t="str">
        <f>IF(BU51="","",VLOOKUP(BU51,'Tech Tree Node Parameters'!$A$3:$B$218,2,FALSE))</f>
        <v>Advanced Colonization</v>
      </c>
      <c r="BV52" s="62" t="str">
        <f>IF(BV51="","",VLOOKUP(BV51,'Tech Tree Node Parameters'!$A$3:$B$218,2,FALSE))</f>
        <v/>
      </c>
      <c r="BW52" s="62" t="str">
        <f>IF(BW51="","",VLOOKUP(BW51,'Tech Tree Node Parameters'!$A$3:$B$218,2,FALSE))</f>
        <v>Off-world Launchsites</v>
      </c>
      <c r="BX52" s="62" t="str">
        <f>IF(BX51="","",VLOOKUP(BX51,'Tech Tree Node Parameters'!$A$3:$B$218,2,FALSE))</f>
        <v/>
      </c>
      <c r="BY52" s="62" t="str">
        <f>IF(BY51="","",VLOOKUP(BY51,'Tech Tree Node Parameters'!$A$3:$B$218,2,FALSE))</f>
        <v/>
      </c>
      <c r="BZ52" s="62" t="str">
        <f>IF(BZ51="","",VLOOKUP(BZ51,'Tech Tree Node Parameters'!$A$3:$B$218,2,FALSE))</f>
        <v/>
      </c>
      <c r="CA52" s="62" t="str">
        <f>IF(CA51="","",VLOOKUP(CA51,'Tech Tree Node Parameters'!$A$3:$B$218,2,FALSE))</f>
        <v/>
      </c>
      <c r="CB52" s="62" t="str">
        <f>IF(CB51="","",VLOOKUP(CB51,'Tech Tree Node Parameters'!$A$3:$B$218,2,FALSE))</f>
        <v/>
      </c>
      <c r="CC52" s="62" t="str">
        <f>IF(CC51="","",VLOOKUP(CC51,'Tech Tree Node Parameters'!$A$3:$B$218,2,FALSE))</f>
        <v/>
      </c>
      <c r="CD52" s="62" t="str">
        <f>IF(CD51="","",VLOOKUP(CD51,'Tech Tree Node Parameters'!$A$3:$B$218,2,FALSE))</f>
        <v/>
      </c>
      <c r="CE52" s="62" t="str">
        <f>IF(CE51="","",VLOOKUP(CE51,'Tech Tree Node Parameters'!$A$3:$B$218,2,FALSE))</f>
        <v/>
      </c>
      <c r="CF52" s="62" t="str">
        <f>IF(CF51="","",VLOOKUP(CF51,'Tech Tree Node Parameters'!$A$3:$B$218,2,FALSE))</f>
        <v/>
      </c>
      <c r="CG52" s="62" t="str">
        <f>IF(CG51="","",VLOOKUP(CG51,'Tech Tree Node Parameters'!$A$3:$B$218,2,FALSE))</f>
        <v/>
      </c>
      <c r="CH52" s="62" t="str">
        <f>IF(CH51="","",VLOOKUP(CH51,'Tech Tree Node Parameters'!$A$3:$B$218,2,FALSE))</f>
        <v/>
      </c>
      <c r="CI52" s="62" t="str">
        <f>IF(CI51="","",VLOOKUP(CI51,'Tech Tree Node Parameters'!$A$3:$B$218,2,FALSE))</f>
        <v/>
      </c>
      <c r="CJ52" s="62" t="str">
        <f>IF(CJ51="","",VLOOKUP(CJ51,'Tech Tree Node Parameters'!$A$3:$B$218,2,FALSE))</f>
        <v/>
      </c>
      <c r="CK52" s="62" t="str">
        <f>IF(CK51="","",VLOOKUP(CK51,'Tech Tree Node Parameters'!$A$3:$B$218,2,FALSE))</f>
        <v/>
      </c>
      <c r="CL52" s="62" t="str">
        <f>IF(CL51="","",VLOOKUP(CL51,'Tech Tree Node Parameters'!$A$3:$B$218,2,FALSE))</f>
        <v/>
      </c>
      <c r="CM52" s="62" t="str">
        <f>IF(CM51="","",VLOOKUP(CM51,'Tech Tree Node Parameters'!$A$3:$B$218,2,FALSE))</f>
        <v/>
      </c>
      <c r="CN52" s="62" t="str">
        <f>IF(CN51="","",VLOOKUP(CN51,'Tech Tree Node Parameters'!$A$3:$B$218,2,FALSE))</f>
        <v/>
      </c>
      <c r="CO52" s="62" t="str">
        <f>IF(CO51="","",VLOOKUP(CO51,'Tech Tree Node Parameters'!$A$3:$B$218,2,FALSE))</f>
        <v/>
      </c>
      <c r="CP52" s="62" t="str">
        <f>IF(CP51="","",VLOOKUP(CP51,'Tech Tree Node Parameters'!$A$3:$B$218,2,FALSE))</f>
        <v/>
      </c>
      <c r="CQ52" s="62" t="str">
        <f>IF(CQ51="","",VLOOKUP(CQ51,'Tech Tree Node Parameters'!$A$3:$B$218,2,FALSE))</f>
        <v/>
      </c>
      <c r="CR52" s="62" t="str">
        <f>IF(CR51="","",VLOOKUP(CR51,'Tech Tree Node Parameters'!$A$3:$B$218,2,FALSE))</f>
        <v/>
      </c>
      <c r="CS52" s="62" t="str">
        <f>IF(CS51="","",VLOOKUP(CS51,'Tech Tree Node Parameters'!$A$3:$B$218,2,FALSE))</f>
        <v/>
      </c>
      <c r="CT52" s="62" t="str">
        <f>IF(CT51="","",VLOOKUP(CT51,'Tech Tree Node Parameters'!$A$3:$B$218,2,FALSE))</f>
        <v/>
      </c>
      <c r="CU52" s="62" t="str">
        <f>IF(CU51="","",VLOOKUP(CU51,'Tech Tree Node Parameters'!$A$3:$B$218,2,FALSE))</f>
        <v/>
      </c>
      <c r="CV52" s="62" t="str">
        <f>IF(CV51="","",VLOOKUP(CV51,'Tech Tree Node Parameters'!$A$3:$B$218,2,FALSE))</f>
        <v/>
      </c>
      <c r="CW52" s="62" t="str">
        <f>IF(CW51="","",VLOOKUP(CW51,'Tech Tree Node Parameters'!$A$3:$B$218,2,FALSE))</f>
        <v/>
      </c>
      <c r="CX52" s="62" t="str">
        <f>IF(CX51="","",VLOOKUP(CX51,'Tech Tree Node Parameters'!$A$3:$B$218,2,FALSE))</f>
        <v/>
      </c>
      <c r="CY52" s="36" t="str">
        <f>IF(CY51="","",VLOOKUP(CY51,'Tech Tree Node Parameters'!$A$3:$B$218,2,FALSE))</f>
        <v/>
      </c>
    </row>
    <row r="53" spans="1:103" s="47" customFormat="1" x14ac:dyDescent="0.25">
      <c r="A53" s="72">
        <f t="shared" si="10"/>
        <v>37</v>
      </c>
      <c r="B53" s="69">
        <f>B55+$D$6</f>
        <v>1443</v>
      </c>
      <c r="C53" s="39"/>
      <c r="D53" s="61"/>
      <c r="E53" s="61"/>
      <c r="F53" s="61"/>
      <c r="G53" s="61"/>
      <c r="H53" s="61"/>
      <c r="I53" s="61"/>
      <c r="J53" s="61"/>
      <c r="K53" s="61"/>
      <c r="L53" s="61"/>
      <c r="M53" s="61"/>
      <c r="N53" s="61"/>
      <c r="O53" s="61"/>
      <c r="P53" s="61"/>
      <c r="Q53" s="61"/>
      <c r="R53" s="61"/>
      <c r="S53" s="61"/>
      <c r="T53" s="61"/>
      <c r="U53" s="61"/>
      <c r="V53" s="61"/>
      <c r="W53" s="61"/>
      <c r="X53" s="61"/>
      <c r="Y53" s="61"/>
      <c r="Z53" s="61"/>
      <c r="AA53" s="61"/>
      <c r="AB53" s="61"/>
      <c r="AC53" s="61"/>
      <c r="AD53" s="61"/>
      <c r="AE53" s="61"/>
      <c r="AF53" s="61"/>
      <c r="AG53" s="61"/>
      <c r="AH53" s="61"/>
      <c r="AI53" s="61"/>
      <c r="AJ53" s="61"/>
      <c r="AK53" s="61"/>
      <c r="AL53" s="61"/>
      <c r="AM53" s="61"/>
      <c r="AN53" s="61"/>
      <c r="AO53" s="61"/>
      <c r="AP53" s="61"/>
      <c r="AQ53" s="61"/>
      <c r="AR53" s="61"/>
      <c r="AS53" s="61"/>
      <c r="AT53" s="61"/>
      <c r="AU53" s="61"/>
      <c r="AV53" s="61"/>
      <c r="AW53" s="61"/>
      <c r="AX53" s="61"/>
      <c r="AY53" s="61"/>
      <c r="AZ53" s="61"/>
      <c r="BA53" s="61"/>
      <c r="BB53" s="61"/>
      <c r="BC53" s="61"/>
      <c r="BD53" s="61"/>
      <c r="BE53" s="61" t="s">
        <v>523</v>
      </c>
      <c r="BF53" s="61"/>
      <c r="BG53" s="61" t="s">
        <v>521</v>
      </c>
      <c r="BH53" s="61"/>
      <c r="BI53" s="61" t="s">
        <v>542</v>
      </c>
      <c r="BJ53" s="61"/>
      <c r="BK53" s="61"/>
      <c r="BL53" s="61"/>
      <c r="BM53" s="61"/>
      <c r="BN53" s="61"/>
      <c r="BO53" s="61"/>
      <c r="BP53" s="61"/>
      <c r="BQ53" s="61"/>
      <c r="BR53" s="61"/>
      <c r="BS53" s="61"/>
      <c r="BT53" s="61"/>
      <c r="BU53" s="61"/>
      <c r="BV53" s="61"/>
      <c r="BW53" s="61"/>
      <c r="BX53" s="61"/>
      <c r="BY53" s="61"/>
      <c r="BZ53" s="61"/>
      <c r="CA53" s="61"/>
      <c r="CB53" s="61"/>
      <c r="CC53" s="61"/>
      <c r="CD53" s="61"/>
      <c r="CE53" s="61"/>
      <c r="CF53" s="61"/>
      <c r="CG53" s="61"/>
      <c r="CH53" s="61"/>
      <c r="CI53" s="61"/>
      <c r="CJ53" s="61"/>
      <c r="CK53" s="61"/>
      <c r="CL53" s="61"/>
      <c r="CM53" s="61"/>
      <c r="CN53" s="61"/>
      <c r="CO53" s="61"/>
      <c r="CP53" s="61"/>
      <c r="CQ53" s="61"/>
      <c r="CR53" s="61"/>
      <c r="CS53" s="61"/>
      <c r="CT53" s="61"/>
      <c r="CU53" s="61"/>
      <c r="CV53" s="61"/>
      <c r="CW53" s="61"/>
      <c r="CX53" s="61"/>
      <c r="CY53" s="35"/>
    </row>
    <row r="54" spans="1:103" s="47" customFormat="1" x14ac:dyDescent="0.25">
      <c r="A54" s="72"/>
      <c r="B54" s="70"/>
      <c r="C54" s="40"/>
      <c r="D54" s="62" t="str">
        <f>IF(D53="","",VLOOKUP(D53,'Tech Tree Node Parameters'!$A$3:$B$218,2,FALSE))</f>
        <v/>
      </c>
      <c r="E54" s="62" t="str">
        <f>IF(E53="","",VLOOKUP(E53,'Tech Tree Node Parameters'!$A$3:$B$218,2,FALSE))</f>
        <v/>
      </c>
      <c r="F54" s="62" t="str">
        <f>IF(F53="","",VLOOKUP(F53,'Tech Tree Node Parameters'!$A$3:$B$218,2,FALSE))</f>
        <v/>
      </c>
      <c r="G54" s="62" t="str">
        <f>IF(G53="","",VLOOKUP(G53,'Tech Tree Node Parameters'!$A$3:$B$218,2,FALSE))</f>
        <v/>
      </c>
      <c r="H54" s="62" t="str">
        <f>IF(H53="","",VLOOKUP(H53,'Tech Tree Node Parameters'!$A$3:$B$218,2,FALSE))</f>
        <v/>
      </c>
      <c r="I54" s="62" t="str">
        <f>IF(I53="","",VLOOKUP(I53,'Tech Tree Node Parameters'!$A$3:$B$218,2,FALSE))</f>
        <v/>
      </c>
      <c r="J54" s="62" t="str">
        <f>IF(J53="","",VLOOKUP(J53,'Tech Tree Node Parameters'!$A$3:$B$218,2,FALSE))</f>
        <v/>
      </c>
      <c r="K54" s="62" t="str">
        <f>IF(K53="","",VLOOKUP(K53,'Tech Tree Node Parameters'!$A$3:$B$218,2,FALSE))</f>
        <v/>
      </c>
      <c r="L54" s="62" t="str">
        <f>IF(L53="","",VLOOKUP(L53,'Tech Tree Node Parameters'!$A$3:$B$218,2,FALSE))</f>
        <v/>
      </c>
      <c r="M54" s="62" t="str">
        <f>IF(M53="","",VLOOKUP(M53,'Tech Tree Node Parameters'!$A$3:$B$218,2,FALSE))</f>
        <v/>
      </c>
      <c r="N54" s="62" t="str">
        <f>IF(N53="","",VLOOKUP(N53,'Tech Tree Node Parameters'!$A$3:$B$218,2,FALSE))</f>
        <v/>
      </c>
      <c r="O54" s="62" t="str">
        <f>IF(O53="","",VLOOKUP(O53,'Tech Tree Node Parameters'!$A$3:$B$218,2,FALSE))</f>
        <v/>
      </c>
      <c r="P54" s="62" t="str">
        <f>IF(P53="","",VLOOKUP(P53,'Tech Tree Node Parameters'!$A$3:$B$218,2,FALSE))</f>
        <v/>
      </c>
      <c r="Q54" s="62" t="str">
        <f>IF(Q53="","",VLOOKUP(Q53,'Tech Tree Node Parameters'!$A$3:$B$218,2,FALSE))</f>
        <v/>
      </c>
      <c r="R54" s="62" t="str">
        <f>IF(R53="","",VLOOKUP(R53,'Tech Tree Node Parameters'!$A$3:$B$218,2,FALSE))</f>
        <v/>
      </c>
      <c r="S54" s="62" t="str">
        <f>IF(S53="","",VLOOKUP(S53,'Tech Tree Node Parameters'!$A$3:$B$218,2,FALSE))</f>
        <v/>
      </c>
      <c r="T54" s="62" t="str">
        <f>IF(T53="","",VLOOKUP(T53,'Tech Tree Node Parameters'!$A$3:$B$218,2,FALSE))</f>
        <v/>
      </c>
      <c r="U54" s="62" t="str">
        <f>IF(U53="","",VLOOKUP(U53,'Tech Tree Node Parameters'!$A$3:$B$218,2,FALSE))</f>
        <v/>
      </c>
      <c r="V54" s="62" t="str">
        <f>IF(V53="","",VLOOKUP(V53,'Tech Tree Node Parameters'!$A$3:$B$218,2,FALSE))</f>
        <v/>
      </c>
      <c r="W54" s="62" t="str">
        <f>IF(W53="","",VLOOKUP(W53,'Tech Tree Node Parameters'!$A$3:$B$218,2,FALSE))</f>
        <v/>
      </c>
      <c r="X54" s="62" t="str">
        <f>IF(X53="","",VLOOKUP(X53,'Tech Tree Node Parameters'!$A$3:$B$218,2,FALSE))</f>
        <v/>
      </c>
      <c r="Y54" s="62" t="str">
        <f>IF(Y53="","",VLOOKUP(Y53,'Tech Tree Node Parameters'!$A$3:$B$218,2,FALSE))</f>
        <v/>
      </c>
      <c r="Z54" s="62" t="str">
        <f>IF(Z53="","",VLOOKUP(Z53,'Tech Tree Node Parameters'!$A$3:$B$218,2,FALSE))</f>
        <v/>
      </c>
      <c r="AA54" s="62" t="str">
        <f>IF(AA53="","",VLOOKUP(AA53,'Tech Tree Node Parameters'!$A$3:$B$218,2,FALSE))</f>
        <v/>
      </c>
      <c r="AB54" s="62" t="str">
        <f>IF(AB53="","",VLOOKUP(AB53,'Tech Tree Node Parameters'!$A$3:$B$218,2,FALSE))</f>
        <v/>
      </c>
      <c r="AC54" s="62" t="str">
        <f>IF(AC53="","",VLOOKUP(AC53,'Tech Tree Node Parameters'!$A$3:$B$218,2,FALSE))</f>
        <v/>
      </c>
      <c r="AD54" s="62" t="str">
        <f>IF(AD53="","",VLOOKUP(AD53,'Tech Tree Node Parameters'!$A$3:$B$218,2,FALSE))</f>
        <v/>
      </c>
      <c r="AE54" s="62" t="str">
        <f>IF(AE53="","",VLOOKUP(AE53,'Tech Tree Node Parameters'!$A$3:$B$218,2,FALSE))</f>
        <v/>
      </c>
      <c r="AF54" s="62" t="str">
        <f>IF(AF53="","",VLOOKUP(AF53,'Tech Tree Node Parameters'!$A$3:$B$218,2,FALSE))</f>
        <v/>
      </c>
      <c r="AG54" s="62" t="str">
        <f>IF(AG53="","",VLOOKUP(AG53,'Tech Tree Node Parameters'!$A$3:$B$218,2,FALSE))</f>
        <v/>
      </c>
      <c r="AH54" s="62" t="str">
        <f>IF(AH53="","",VLOOKUP(AH53,'Tech Tree Node Parameters'!$A$3:$B$218,2,FALSE))</f>
        <v/>
      </c>
      <c r="AI54" s="62" t="str">
        <f>IF(AI53="","",VLOOKUP(AI53,'Tech Tree Node Parameters'!$A$3:$B$218,2,FALSE))</f>
        <v/>
      </c>
      <c r="AJ54" s="62" t="str">
        <f>IF(AJ53="","",VLOOKUP(AJ53,'Tech Tree Node Parameters'!$A$3:$B$218,2,FALSE))</f>
        <v/>
      </c>
      <c r="AK54" s="62" t="str">
        <f>IF(AK53="","",VLOOKUP(AK53,'Tech Tree Node Parameters'!$A$3:$B$218,2,FALSE))</f>
        <v/>
      </c>
      <c r="AL54" s="62" t="str">
        <f>IF(AL53="","",VLOOKUP(AL53,'Tech Tree Node Parameters'!$A$3:$B$218,2,FALSE))</f>
        <v/>
      </c>
      <c r="AM54" s="62" t="str">
        <f>IF(AM53="","",VLOOKUP(AM53,'Tech Tree Node Parameters'!$A$3:$B$218,2,FALSE))</f>
        <v/>
      </c>
      <c r="AN54" s="62" t="str">
        <f>IF(AN53="","",VLOOKUP(AN53,'Tech Tree Node Parameters'!$A$3:$B$218,2,FALSE))</f>
        <v/>
      </c>
      <c r="AO54" s="62" t="str">
        <f>IF(AO53="","",VLOOKUP(AO53,'Tech Tree Node Parameters'!$A$3:$B$218,2,FALSE))</f>
        <v/>
      </c>
      <c r="AP54" s="62" t="str">
        <f>IF(AP53="","",VLOOKUP(AP53,'Tech Tree Node Parameters'!$A$3:$B$218,2,FALSE))</f>
        <v/>
      </c>
      <c r="AQ54" s="62" t="str">
        <f>IF(AQ53="","",VLOOKUP(AQ53,'Tech Tree Node Parameters'!$A$3:$B$218,2,FALSE))</f>
        <v/>
      </c>
      <c r="AR54" s="62" t="str">
        <f>IF(AR53="","",VLOOKUP(AR53,'Tech Tree Node Parameters'!$A$3:$B$218,2,FALSE))</f>
        <v/>
      </c>
      <c r="AS54" s="62" t="str">
        <f>IF(AS53="","",VLOOKUP(AS53,'Tech Tree Node Parameters'!$A$3:$B$218,2,FALSE))</f>
        <v/>
      </c>
      <c r="AT54" s="62" t="str">
        <f>IF(AT53="","",VLOOKUP(AT53,'Tech Tree Node Parameters'!$A$3:$B$218,2,FALSE))</f>
        <v/>
      </c>
      <c r="AU54" s="62" t="str">
        <f>IF(AU53="","",VLOOKUP(AU53,'Tech Tree Node Parameters'!$A$3:$B$218,2,FALSE))</f>
        <v/>
      </c>
      <c r="AV54" s="62" t="str">
        <f>IF(AV53="","",VLOOKUP(AV53,'Tech Tree Node Parameters'!$A$3:$B$218,2,FALSE))</f>
        <v/>
      </c>
      <c r="AW54" s="62" t="str">
        <f>IF(AW53="","",VLOOKUP(AW53,'Tech Tree Node Parameters'!$A$3:$B$218,2,FALSE))</f>
        <v/>
      </c>
      <c r="AX54" s="62" t="str">
        <f>IF(AX53="","",VLOOKUP(AX53,'Tech Tree Node Parameters'!$A$3:$B$218,2,FALSE))</f>
        <v/>
      </c>
      <c r="AY54" s="62" t="str">
        <f>IF(AY53="","",VLOOKUP(AY53,'Tech Tree Node Parameters'!$A$3:$B$218,2,FALSE))</f>
        <v/>
      </c>
      <c r="AZ54" s="62" t="str">
        <f>IF(AZ53="","",VLOOKUP(AZ53,'Tech Tree Node Parameters'!$A$3:$B$218,2,FALSE))</f>
        <v/>
      </c>
      <c r="BA54" s="62" t="str">
        <f>IF(BA53="","",VLOOKUP(BA53,'Tech Tree Node Parameters'!$A$3:$B$218,2,FALSE))</f>
        <v/>
      </c>
      <c r="BB54" s="62" t="str">
        <f>IF(BB53="","",VLOOKUP(BB53,'Tech Tree Node Parameters'!$A$3:$B$218,2,FALSE))</f>
        <v/>
      </c>
      <c r="BC54" s="62" t="str">
        <f>IF(BC53="","",VLOOKUP(BC53,'Tech Tree Node Parameters'!$A$3:$B$218,2,FALSE))</f>
        <v/>
      </c>
      <c r="BD54" s="62" t="str">
        <f>IF(BD53="","",VLOOKUP(BD53,'Tech Tree Node Parameters'!$A$3:$B$218,2,FALSE))</f>
        <v/>
      </c>
      <c r="BE54" s="62" t="str">
        <f>IF(BE53="","",VLOOKUP(BE53,'Tech Tree Node Parameters'!$A$3:$B$218,2,FALSE))</f>
        <v>Small Landing Legs</v>
      </c>
      <c r="BF54" s="62" t="str">
        <f>IF(BF53="","",VLOOKUP(BF53,'Tech Tree Node Parameters'!$A$3:$B$218,2,FALSE))</f>
        <v/>
      </c>
      <c r="BG54" s="62" t="str">
        <f>IF(BG53="","",VLOOKUP(BG53,'Tech Tree Node Parameters'!$A$3:$B$218,2,FALSE))</f>
        <v>Advanced Landing Legs</v>
      </c>
      <c r="BH54" s="62" t="str">
        <f>IF(BH53="","",VLOOKUP(BH53,'Tech Tree Node Parameters'!$A$3:$B$218,2,FALSE))</f>
        <v/>
      </c>
      <c r="BI54" s="62" t="str">
        <f>IF(BI53="","",VLOOKUP(BI53,'Tech Tree Node Parameters'!$A$3:$B$218,2,FALSE))</f>
        <v>Heavy Duty Landing Legs</v>
      </c>
      <c r="BJ54" s="62" t="str">
        <f>IF(BJ53="","",VLOOKUP(BJ53,'Tech Tree Node Parameters'!$A$3:$B$218,2,FALSE))</f>
        <v/>
      </c>
      <c r="BK54" s="62" t="str">
        <f>IF(BK53="","",VLOOKUP(BK53,'Tech Tree Node Parameters'!$A$3:$B$218,2,FALSE))</f>
        <v/>
      </c>
      <c r="BL54" s="62" t="str">
        <f>IF(BL53="","",VLOOKUP(BL53,'Tech Tree Node Parameters'!$A$3:$B$218,2,FALSE))</f>
        <v/>
      </c>
      <c r="BM54" s="62" t="str">
        <f>IF(BM53="","",VLOOKUP(BM53,'Tech Tree Node Parameters'!$A$3:$B$218,2,FALSE))</f>
        <v/>
      </c>
      <c r="BN54" s="62" t="str">
        <f>IF(BN53="","",VLOOKUP(BN53,'Tech Tree Node Parameters'!$A$3:$B$218,2,FALSE))</f>
        <v/>
      </c>
      <c r="BO54" s="62" t="str">
        <f>IF(BO53="","",VLOOKUP(BO53,'Tech Tree Node Parameters'!$A$3:$B$218,2,FALSE))</f>
        <v/>
      </c>
      <c r="BP54" s="62" t="str">
        <f>IF(BP53="","",VLOOKUP(BP53,'Tech Tree Node Parameters'!$A$3:$B$218,2,FALSE))</f>
        <v/>
      </c>
      <c r="BQ54" s="62" t="str">
        <f>IF(BQ53="","",VLOOKUP(BQ53,'Tech Tree Node Parameters'!$A$3:$B$218,2,FALSE))</f>
        <v/>
      </c>
      <c r="BR54" s="62" t="str">
        <f>IF(BR53="","",VLOOKUP(BR53,'Tech Tree Node Parameters'!$A$3:$B$218,2,FALSE))</f>
        <v/>
      </c>
      <c r="BS54" s="62" t="str">
        <f>IF(BS53="","",VLOOKUP(BS53,'Tech Tree Node Parameters'!$A$3:$B$218,2,FALSE))</f>
        <v/>
      </c>
      <c r="BT54" s="62" t="str">
        <f>IF(BT53="","",VLOOKUP(BT53,'Tech Tree Node Parameters'!$A$3:$B$218,2,FALSE))</f>
        <v/>
      </c>
      <c r="BU54" s="62" t="str">
        <f>IF(BU53="","",VLOOKUP(BU53,'Tech Tree Node Parameters'!$A$3:$B$218,2,FALSE))</f>
        <v/>
      </c>
      <c r="BV54" s="62" t="str">
        <f>IF(BV53="","",VLOOKUP(BV53,'Tech Tree Node Parameters'!$A$3:$B$218,2,FALSE))</f>
        <v/>
      </c>
      <c r="BW54" s="62" t="str">
        <f>IF(BW53="","",VLOOKUP(BW53,'Tech Tree Node Parameters'!$A$3:$B$218,2,FALSE))</f>
        <v/>
      </c>
      <c r="BX54" s="62" t="str">
        <f>IF(BX53="","",VLOOKUP(BX53,'Tech Tree Node Parameters'!$A$3:$B$218,2,FALSE))</f>
        <v/>
      </c>
      <c r="BY54" s="62" t="str">
        <f>IF(BY53="","",VLOOKUP(BY53,'Tech Tree Node Parameters'!$A$3:$B$218,2,FALSE))</f>
        <v/>
      </c>
      <c r="BZ54" s="62" t="str">
        <f>IF(BZ53="","",VLOOKUP(BZ53,'Tech Tree Node Parameters'!$A$3:$B$218,2,FALSE))</f>
        <v/>
      </c>
      <c r="CA54" s="62" t="str">
        <f>IF(CA53="","",VLOOKUP(CA53,'Tech Tree Node Parameters'!$A$3:$B$218,2,FALSE))</f>
        <v/>
      </c>
      <c r="CB54" s="62" t="str">
        <f>IF(CB53="","",VLOOKUP(CB53,'Tech Tree Node Parameters'!$A$3:$B$218,2,FALSE))</f>
        <v/>
      </c>
      <c r="CC54" s="62" t="str">
        <f>IF(CC53="","",VLOOKUP(CC53,'Tech Tree Node Parameters'!$A$3:$B$218,2,FALSE))</f>
        <v/>
      </c>
      <c r="CD54" s="62" t="str">
        <f>IF(CD53="","",VLOOKUP(CD53,'Tech Tree Node Parameters'!$A$3:$B$218,2,FALSE))</f>
        <v/>
      </c>
      <c r="CE54" s="62" t="str">
        <f>IF(CE53="","",VLOOKUP(CE53,'Tech Tree Node Parameters'!$A$3:$B$218,2,FALSE))</f>
        <v/>
      </c>
      <c r="CF54" s="62" t="str">
        <f>IF(CF53="","",VLOOKUP(CF53,'Tech Tree Node Parameters'!$A$3:$B$218,2,FALSE))</f>
        <v/>
      </c>
      <c r="CG54" s="62" t="str">
        <f>IF(CG53="","",VLOOKUP(CG53,'Tech Tree Node Parameters'!$A$3:$B$218,2,FALSE))</f>
        <v/>
      </c>
      <c r="CH54" s="62" t="str">
        <f>IF(CH53="","",VLOOKUP(CH53,'Tech Tree Node Parameters'!$A$3:$B$218,2,FALSE))</f>
        <v/>
      </c>
      <c r="CI54" s="62" t="str">
        <f>IF(CI53="","",VLOOKUP(CI53,'Tech Tree Node Parameters'!$A$3:$B$218,2,FALSE))</f>
        <v/>
      </c>
      <c r="CJ54" s="62" t="str">
        <f>IF(CJ53="","",VLOOKUP(CJ53,'Tech Tree Node Parameters'!$A$3:$B$218,2,FALSE))</f>
        <v/>
      </c>
      <c r="CK54" s="62" t="str">
        <f>IF(CK53="","",VLOOKUP(CK53,'Tech Tree Node Parameters'!$A$3:$B$218,2,FALSE))</f>
        <v/>
      </c>
      <c r="CL54" s="62" t="str">
        <f>IF(CL53="","",VLOOKUP(CL53,'Tech Tree Node Parameters'!$A$3:$B$218,2,FALSE))</f>
        <v/>
      </c>
      <c r="CM54" s="62" t="str">
        <f>IF(CM53="","",VLOOKUP(CM53,'Tech Tree Node Parameters'!$A$3:$B$218,2,FALSE))</f>
        <v/>
      </c>
      <c r="CN54" s="62" t="str">
        <f>IF(CN53="","",VLOOKUP(CN53,'Tech Tree Node Parameters'!$A$3:$B$218,2,FALSE))</f>
        <v/>
      </c>
      <c r="CO54" s="62" t="str">
        <f>IF(CO53="","",VLOOKUP(CO53,'Tech Tree Node Parameters'!$A$3:$B$218,2,FALSE))</f>
        <v/>
      </c>
      <c r="CP54" s="62" t="str">
        <f>IF(CP53="","",VLOOKUP(CP53,'Tech Tree Node Parameters'!$A$3:$B$218,2,FALSE))</f>
        <v/>
      </c>
      <c r="CQ54" s="62" t="str">
        <f>IF(CQ53="","",VLOOKUP(CQ53,'Tech Tree Node Parameters'!$A$3:$B$218,2,FALSE))</f>
        <v/>
      </c>
      <c r="CR54" s="62" t="str">
        <f>IF(CR53="","",VLOOKUP(CR53,'Tech Tree Node Parameters'!$A$3:$B$218,2,FALSE))</f>
        <v/>
      </c>
      <c r="CS54" s="62" t="str">
        <f>IF(CS53="","",VLOOKUP(CS53,'Tech Tree Node Parameters'!$A$3:$B$218,2,FALSE))</f>
        <v/>
      </c>
      <c r="CT54" s="62" t="str">
        <f>IF(CT53="","",VLOOKUP(CT53,'Tech Tree Node Parameters'!$A$3:$B$218,2,FALSE))</f>
        <v/>
      </c>
      <c r="CU54" s="62" t="str">
        <f>IF(CU53="","",VLOOKUP(CU53,'Tech Tree Node Parameters'!$A$3:$B$218,2,FALSE))</f>
        <v/>
      </c>
      <c r="CV54" s="62" t="str">
        <f>IF(CV53="","",VLOOKUP(CV53,'Tech Tree Node Parameters'!$A$3:$B$218,2,FALSE))</f>
        <v/>
      </c>
      <c r="CW54" s="62" t="str">
        <f>IF(CW53="","",VLOOKUP(CW53,'Tech Tree Node Parameters'!$A$3:$B$218,2,FALSE))</f>
        <v/>
      </c>
      <c r="CX54" s="62" t="str">
        <f>IF(CX53="","",VLOOKUP(CX53,'Tech Tree Node Parameters'!$A$3:$B$218,2,FALSE))</f>
        <v/>
      </c>
      <c r="CY54" s="36" t="str">
        <f>IF(CY53="","",VLOOKUP(CY53,'Tech Tree Node Parameters'!$A$3:$B$218,2,FALSE))</f>
        <v/>
      </c>
    </row>
    <row r="55" spans="1:103" s="47" customFormat="1" x14ac:dyDescent="0.25">
      <c r="A55" s="72">
        <f t="shared" si="10"/>
        <v>36</v>
      </c>
      <c r="B55" s="69">
        <f>B57+$D$6</f>
        <v>1405</v>
      </c>
      <c r="C55" s="39"/>
      <c r="D55" s="61"/>
      <c r="E55" s="61"/>
      <c r="F55" s="61"/>
      <c r="G55" s="61"/>
      <c r="H55" s="61"/>
      <c r="I55" s="61"/>
      <c r="J55" s="61"/>
      <c r="K55" s="61"/>
      <c r="L55" s="61"/>
      <c r="M55" s="61"/>
      <c r="N55" s="61"/>
      <c r="O55" s="61"/>
      <c r="P55" s="61"/>
      <c r="Q55" s="61"/>
      <c r="R55" s="61"/>
      <c r="S55" s="61"/>
      <c r="T55" s="61"/>
      <c r="U55" s="61"/>
      <c r="V55" s="61"/>
      <c r="W55" s="61"/>
      <c r="X55" s="61"/>
      <c r="Y55" s="61"/>
      <c r="Z55" s="61"/>
      <c r="AA55" s="61"/>
      <c r="AB55" s="61"/>
      <c r="AC55" s="61"/>
      <c r="AD55" s="61"/>
      <c r="AE55" s="61" t="s">
        <v>485</v>
      </c>
      <c r="AF55" s="61"/>
      <c r="AG55" s="61" t="s">
        <v>484</v>
      </c>
      <c r="AH55" s="61"/>
      <c r="AI55" s="61" t="s">
        <v>156</v>
      </c>
      <c r="AJ55" s="61"/>
      <c r="AK55" s="61"/>
      <c r="AL55" s="61"/>
      <c r="AM55" s="61"/>
      <c r="AN55" s="61"/>
      <c r="AO55" s="61"/>
      <c r="AP55" s="61"/>
      <c r="AQ55" s="61"/>
      <c r="AR55" s="61"/>
      <c r="AS55" s="61"/>
      <c r="AT55" s="61"/>
      <c r="AU55" s="61"/>
      <c r="AV55" s="61"/>
      <c r="AW55" s="61" t="s">
        <v>218</v>
      </c>
      <c r="AX55" s="61"/>
      <c r="AY55" s="61" t="s">
        <v>1322</v>
      </c>
      <c r="AZ55" s="61"/>
      <c r="BA55" s="61"/>
      <c r="BB55" s="61"/>
      <c r="BC55" s="61"/>
      <c r="BD55" s="61"/>
      <c r="BE55" s="61"/>
      <c r="BF55" s="61"/>
      <c r="BG55" s="61"/>
      <c r="BH55" s="61"/>
      <c r="BI55" s="61"/>
      <c r="BJ55" s="61"/>
      <c r="BK55" s="61"/>
      <c r="BL55" s="61"/>
      <c r="BM55" s="61"/>
      <c r="BN55" s="61"/>
      <c r="BO55" s="61"/>
      <c r="BP55" s="61"/>
      <c r="BQ55" s="61"/>
      <c r="BR55" s="61"/>
      <c r="BS55" s="61"/>
      <c r="BT55" s="61"/>
      <c r="BU55" s="61"/>
      <c r="BV55" s="61"/>
      <c r="BW55" s="61"/>
      <c r="BX55" s="61"/>
      <c r="BY55" s="61"/>
      <c r="BZ55" s="61"/>
      <c r="CA55" s="61"/>
      <c r="CB55" s="61"/>
      <c r="CC55" s="61"/>
      <c r="CD55" s="61"/>
      <c r="CE55" s="61"/>
      <c r="CF55" s="61"/>
      <c r="CG55" s="61"/>
      <c r="CH55" s="61"/>
      <c r="CI55" s="61"/>
      <c r="CJ55" s="61"/>
      <c r="CK55" s="61"/>
      <c r="CL55" s="61"/>
      <c r="CM55" s="61"/>
      <c r="CN55" s="61"/>
      <c r="CO55" s="61"/>
      <c r="CP55" s="61"/>
      <c r="CQ55" s="61"/>
      <c r="CR55" s="61"/>
      <c r="CS55" s="61"/>
      <c r="CT55" s="61"/>
      <c r="CU55" s="61"/>
      <c r="CV55" s="61"/>
      <c r="CW55" s="61"/>
      <c r="CX55" s="61"/>
      <c r="CY55" s="35"/>
    </row>
    <row r="56" spans="1:103" s="47" customFormat="1" x14ac:dyDescent="0.25">
      <c r="A56" s="72"/>
      <c r="B56" s="70"/>
      <c r="C56" s="40"/>
      <c r="D56" s="62" t="str">
        <f>IF(D55="","",VLOOKUP(D55,'Tech Tree Node Parameters'!$A$3:$B$218,2,FALSE))</f>
        <v/>
      </c>
      <c r="E56" s="62" t="str">
        <f>IF(E55="","",VLOOKUP(E55,'Tech Tree Node Parameters'!$A$3:$B$218,2,FALSE))</f>
        <v/>
      </c>
      <c r="F56" s="62" t="str">
        <f>IF(F55="","",VLOOKUP(F55,'Tech Tree Node Parameters'!$A$3:$B$218,2,FALSE))</f>
        <v/>
      </c>
      <c r="G56" s="62" t="str">
        <f>IF(G55="","",VLOOKUP(G55,'Tech Tree Node Parameters'!$A$3:$B$218,2,FALSE))</f>
        <v/>
      </c>
      <c r="H56" s="62" t="str">
        <f>IF(H55="","",VLOOKUP(H55,'Tech Tree Node Parameters'!$A$3:$B$218,2,FALSE))</f>
        <v/>
      </c>
      <c r="I56" s="62" t="str">
        <f>IF(I55="","",VLOOKUP(I55,'Tech Tree Node Parameters'!$A$3:$B$218,2,FALSE))</f>
        <v/>
      </c>
      <c r="J56" s="62" t="str">
        <f>IF(J55="","",VLOOKUP(J55,'Tech Tree Node Parameters'!$A$3:$B$218,2,FALSE))</f>
        <v/>
      </c>
      <c r="K56" s="62" t="str">
        <f>IF(K55="","",VLOOKUP(K55,'Tech Tree Node Parameters'!$A$3:$B$218,2,FALSE))</f>
        <v/>
      </c>
      <c r="L56" s="62" t="str">
        <f>IF(L55="","",VLOOKUP(L55,'Tech Tree Node Parameters'!$A$3:$B$218,2,FALSE))</f>
        <v/>
      </c>
      <c r="M56" s="62" t="str">
        <f>IF(M55="","",VLOOKUP(M55,'Tech Tree Node Parameters'!$A$3:$B$218,2,FALSE))</f>
        <v/>
      </c>
      <c r="N56" s="62" t="str">
        <f>IF(N55="","",VLOOKUP(N55,'Tech Tree Node Parameters'!$A$3:$B$218,2,FALSE))</f>
        <v/>
      </c>
      <c r="O56" s="62" t="str">
        <f>IF(O55="","",VLOOKUP(O55,'Tech Tree Node Parameters'!$A$3:$B$218,2,FALSE))</f>
        <v/>
      </c>
      <c r="P56" s="62" t="str">
        <f>IF(P55="","",VLOOKUP(P55,'Tech Tree Node Parameters'!$A$3:$B$218,2,FALSE))</f>
        <v/>
      </c>
      <c r="Q56" s="62" t="str">
        <f>IF(Q55="","",VLOOKUP(Q55,'Tech Tree Node Parameters'!$A$3:$B$218,2,FALSE))</f>
        <v/>
      </c>
      <c r="R56" s="62" t="str">
        <f>IF(R55="","",VLOOKUP(R55,'Tech Tree Node Parameters'!$A$3:$B$218,2,FALSE))</f>
        <v/>
      </c>
      <c r="S56" s="62" t="str">
        <f>IF(S55="","",VLOOKUP(S55,'Tech Tree Node Parameters'!$A$3:$B$218,2,FALSE))</f>
        <v/>
      </c>
      <c r="T56" s="62" t="str">
        <f>IF(T55="","",VLOOKUP(T55,'Tech Tree Node Parameters'!$A$3:$B$218,2,FALSE))</f>
        <v/>
      </c>
      <c r="U56" s="62" t="str">
        <f>IF(U55="","",VLOOKUP(U55,'Tech Tree Node Parameters'!$A$3:$B$218,2,FALSE))</f>
        <v/>
      </c>
      <c r="V56" s="62" t="str">
        <f>IF(V55="","",VLOOKUP(V55,'Tech Tree Node Parameters'!$A$3:$B$218,2,FALSE))</f>
        <v/>
      </c>
      <c r="W56" s="62" t="str">
        <f>IF(W55="","",VLOOKUP(W55,'Tech Tree Node Parameters'!$A$3:$B$218,2,FALSE))</f>
        <v/>
      </c>
      <c r="X56" s="62" t="str">
        <f>IF(X55="","",VLOOKUP(X55,'Tech Tree Node Parameters'!$A$3:$B$218,2,FALSE))</f>
        <v/>
      </c>
      <c r="Y56" s="62" t="str">
        <f>IF(Y55="","",VLOOKUP(Y55,'Tech Tree Node Parameters'!$A$3:$B$218,2,FALSE))</f>
        <v/>
      </c>
      <c r="Z56" s="62" t="str">
        <f>IF(Z55="","",VLOOKUP(Z55,'Tech Tree Node Parameters'!$A$3:$B$218,2,FALSE))</f>
        <v/>
      </c>
      <c r="AA56" s="62" t="str">
        <f>IF(AA55="","",VLOOKUP(AA55,'Tech Tree Node Parameters'!$A$3:$B$218,2,FALSE))</f>
        <v/>
      </c>
      <c r="AB56" s="62" t="str">
        <f>IF(AB55="","",VLOOKUP(AB55,'Tech Tree Node Parameters'!$A$3:$B$218,2,FALSE))</f>
        <v/>
      </c>
      <c r="AC56" s="62" t="str">
        <f>IF(AC55="","",VLOOKUP(AC55,'Tech Tree Node Parameters'!$A$3:$B$218,2,FALSE))</f>
        <v/>
      </c>
      <c r="AD56" s="62" t="str">
        <f>IF(AD55="","",VLOOKUP(AD55,'Tech Tree Node Parameters'!$A$3:$B$218,2,FALSE))</f>
        <v/>
      </c>
      <c r="AE56" s="62" t="str">
        <f>IF(AE55="","",VLOOKUP(AE55,'Tech Tree Node Parameters'!$A$3:$B$218,2,FALSE))</f>
        <v>Experimental 2.5m Rocketry</v>
      </c>
      <c r="AF56" s="62" t="str">
        <f>IF(AF55="","",VLOOKUP(AF55,'Tech Tree Node Parameters'!$A$3:$B$218,2,FALSE))</f>
        <v/>
      </c>
      <c r="AG56" s="62" t="str">
        <f>IF(AG55="","",VLOOKUP(AG55,'Tech Tree Node Parameters'!$A$3:$B$218,2,FALSE))</f>
        <v>Advanced 2.5m Rocketry</v>
      </c>
      <c r="AH56" s="62" t="str">
        <f>IF(AH55="","",VLOOKUP(AH55,'Tech Tree Node Parameters'!$A$3:$B$218,2,FALSE))</f>
        <v/>
      </c>
      <c r="AI56" s="62" t="str">
        <f>IF(AI55="","",VLOOKUP(AI55,'Tech Tree Node Parameters'!$A$3:$B$218,2,FALSE))</f>
        <v>2.5m Rocketry</v>
      </c>
      <c r="AJ56" s="62" t="str">
        <f>IF(AJ55="","",VLOOKUP(AJ55,'Tech Tree Node Parameters'!$A$3:$B$218,2,FALSE))</f>
        <v/>
      </c>
      <c r="AK56" s="62" t="str">
        <f>IF(AK55="","",VLOOKUP(AK55,'Tech Tree Node Parameters'!$A$3:$B$218,2,FALSE))</f>
        <v/>
      </c>
      <c r="AL56" s="62" t="str">
        <f>IF(AL55="","",VLOOKUP(AL55,'Tech Tree Node Parameters'!$A$3:$B$218,2,FALSE))</f>
        <v/>
      </c>
      <c r="AM56" s="62" t="str">
        <f>IF(AM55="","",VLOOKUP(AM55,'Tech Tree Node Parameters'!$A$3:$B$218,2,FALSE))</f>
        <v/>
      </c>
      <c r="AN56" s="62" t="str">
        <f>IF(AN55="","",VLOOKUP(AN55,'Tech Tree Node Parameters'!$A$3:$B$218,2,FALSE))</f>
        <v/>
      </c>
      <c r="AO56" s="62" t="str">
        <f>IF(AO55="","",VLOOKUP(AO55,'Tech Tree Node Parameters'!$A$3:$B$218,2,FALSE))</f>
        <v/>
      </c>
      <c r="AP56" s="62" t="str">
        <f>IF(AP55="","",VLOOKUP(AP55,'Tech Tree Node Parameters'!$A$3:$B$218,2,FALSE))</f>
        <v/>
      </c>
      <c r="AQ56" s="62" t="str">
        <f>IF(AQ55="","",VLOOKUP(AQ55,'Tech Tree Node Parameters'!$A$3:$B$218,2,FALSE))</f>
        <v/>
      </c>
      <c r="AR56" s="62" t="str">
        <f>IF(AR55="","",VLOOKUP(AR55,'Tech Tree Node Parameters'!$A$3:$B$218,2,FALSE))</f>
        <v/>
      </c>
      <c r="AS56" s="62" t="str">
        <f>IF(AS55="","",VLOOKUP(AS55,'Tech Tree Node Parameters'!$A$3:$B$218,2,FALSE))</f>
        <v/>
      </c>
      <c r="AT56" s="62" t="str">
        <f>IF(AT55="","",VLOOKUP(AT55,'Tech Tree Node Parameters'!$A$3:$B$218,2,FALSE))</f>
        <v/>
      </c>
      <c r="AU56" s="62" t="str">
        <f>IF(AU55="","",VLOOKUP(AU55,'Tech Tree Node Parameters'!$A$3:$B$218,2,FALSE))</f>
        <v/>
      </c>
      <c r="AV56" s="62" t="str">
        <f>IF(AV55="","",VLOOKUP(AV55,'Tech Tree Node Parameters'!$A$3:$B$218,2,FALSE))</f>
        <v/>
      </c>
      <c r="AW56" s="62" t="s">
        <v>219</v>
      </c>
      <c r="AX56" s="62" t="str">
        <f>IF(AX55="","",VLOOKUP(AX55,'Tech Tree Node Parameters'!$A$3:$B$218,2,FALSE))</f>
        <v/>
      </c>
      <c r="AY56" s="62" t="str">
        <f>IF(AY55="","",VLOOKUP(AY55,'Tech Tree Node Parameters'!$A$3:$B$218,2,FALSE))</f>
        <v>Experimental Ablative Materials</v>
      </c>
      <c r="AZ56" s="62" t="str">
        <f>IF(AZ55="","",VLOOKUP(AZ55,'Tech Tree Node Parameters'!$A$3:$B$218,2,FALSE))</f>
        <v/>
      </c>
      <c r="BA56" s="62" t="str">
        <f>IF(BA55="","",VLOOKUP(BA55,'Tech Tree Node Parameters'!$A$3:$B$218,2,FALSE))</f>
        <v/>
      </c>
      <c r="BB56" s="62" t="str">
        <f>IF(BB55="","",VLOOKUP(BB55,'Tech Tree Node Parameters'!$A$3:$B$218,2,FALSE))</f>
        <v/>
      </c>
      <c r="BC56" s="62" t="str">
        <f>IF(BC55="","",VLOOKUP(BC55,'Tech Tree Node Parameters'!$A$3:$B$218,2,FALSE))</f>
        <v/>
      </c>
      <c r="BD56" s="62" t="str">
        <f>IF(BD55="","",VLOOKUP(BD55,'Tech Tree Node Parameters'!$A$3:$B$218,2,FALSE))</f>
        <v/>
      </c>
      <c r="BE56" s="62" t="str">
        <f>IF(BE55="","",VLOOKUP(BE55,'Tech Tree Node Parameters'!$A$3:$B$218,2,FALSE))</f>
        <v/>
      </c>
      <c r="BF56" s="62" t="str">
        <f>IF(BF55="","",VLOOKUP(BF55,'Tech Tree Node Parameters'!$A$3:$B$218,2,FALSE))</f>
        <v/>
      </c>
      <c r="BG56" s="62" t="str">
        <f>IF(BG55="","",VLOOKUP(BG55,'Tech Tree Node Parameters'!$A$3:$B$218,2,FALSE))</f>
        <v/>
      </c>
      <c r="BH56" s="62" t="str">
        <f>IF(BH55="","",VLOOKUP(BH55,'Tech Tree Node Parameters'!$A$3:$B$218,2,FALSE))</f>
        <v/>
      </c>
      <c r="BI56" s="62" t="str">
        <f>IF(BI55="","",VLOOKUP(BI55,'Tech Tree Node Parameters'!$A$3:$B$218,2,FALSE))</f>
        <v/>
      </c>
      <c r="BJ56" s="62" t="str">
        <f>IF(BJ55="","",VLOOKUP(BJ55,'Tech Tree Node Parameters'!$A$3:$B$218,2,FALSE))</f>
        <v/>
      </c>
      <c r="BK56" s="62" t="str">
        <f>IF(BK55="","",VLOOKUP(BK55,'Tech Tree Node Parameters'!$A$3:$B$218,2,FALSE))</f>
        <v/>
      </c>
      <c r="BL56" s="62" t="str">
        <f>IF(BL55="","",VLOOKUP(BL55,'Tech Tree Node Parameters'!$A$3:$B$218,2,FALSE))</f>
        <v/>
      </c>
      <c r="BM56" s="62" t="str">
        <f>IF(BM55="","",VLOOKUP(BM55,'Tech Tree Node Parameters'!$A$3:$B$218,2,FALSE))</f>
        <v/>
      </c>
      <c r="BN56" s="62" t="str">
        <f>IF(BN55="","",VLOOKUP(BN55,'Tech Tree Node Parameters'!$A$3:$B$218,2,FALSE))</f>
        <v/>
      </c>
      <c r="BO56" s="62" t="str">
        <f>IF(BO55="","",VLOOKUP(BO55,'Tech Tree Node Parameters'!$A$3:$B$218,2,FALSE))</f>
        <v/>
      </c>
      <c r="BP56" s="62" t="str">
        <f>IF(BP55="","",VLOOKUP(BP55,'Tech Tree Node Parameters'!$A$3:$B$218,2,FALSE))</f>
        <v/>
      </c>
      <c r="BQ56" s="62" t="str">
        <f>IF(BQ55="","",VLOOKUP(BQ55,'Tech Tree Node Parameters'!$A$3:$B$218,2,FALSE))</f>
        <v/>
      </c>
      <c r="BR56" s="62" t="str">
        <f>IF(BR55="","",VLOOKUP(BR55,'Tech Tree Node Parameters'!$A$3:$B$218,2,FALSE))</f>
        <v/>
      </c>
      <c r="BS56" s="62" t="str">
        <f>IF(BS55="","",VLOOKUP(BS55,'Tech Tree Node Parameters'!$A$3:$B$218,2,FALSE))</f>
        <v/>
      </c>
      <c r="BT56" s="62" t="str">
        <f>IF(BT55="","",VLOOKUP(BT55,'Tech Tree Node Parameters'!$A$3:$B$218,2,FALSE))</f>
        <v/>
      </c>
      <c r="BU56" s="62" t="str">
        <f>IF(BU55="","",VLOOKUP(BU55,'Tech Tree Node Parameters'!$A$3:$B$218,2,FALSE))</f>
        <v/>
      </c>
      <c r="BV56" s="62" t="str">
        <f>IF(BV55="","",VLOOKUP(BV55,'Tech Tree Node Parameters'!$A$3:$B$218,2,FALSE))</f>
        <v/>
      </c>
      <c r="BW56" s="62" t="str">
        <f>IF(BW55="","",VLOOKUP(BW55,'Tech Tree Node Parameters'!$A$3:$B$218,2,FALSE))</f>
        <v/>
      </c>
      <c r="BX56" s="62" t="str">
        <f>IF(BX55="","",VLOOKUP(BX55,'Tech Tree Node Parameters'!$A$3:$B$218,2,FALSE))</f>
        <v/>
      </c>
      <c r="BY56" s="62" t="str">
        <f>IF(BY55="","",VLOOKUP(BY55,'Tech Tree Node Parameters'!$A$3:$B$218,2,FALSE))</f>
        <v/>
      </c>
      <c r="BZ56" s="62" t="str">
        <f>IF(BZ55="","",VLOOKUP(BZ55,'Tech Tree Node Parameters'!$A$3:$B$218,2,FALSE))</f>
        <v/>
      </c>
      <c r="CA56" s="62" t="str">
        <f>IF(CA55="","",VLOOKUP(CA55,'Tech Tree Node Parameters'!$A$3:$B$218,2,FALSE))</f>
        <v/>
      </c>
      <c r="CB56" s="62" t="str">
        <f>IF(CB55="","",VLOOKUP(CB55,'Tech Tree Node Parameters'!$A$3:$B$218,2,FALSE))</f>
        <v/>
      </c>
      <c r="CC56" s="62" t="str">
        <f>IF(CC55="","",VLOOKUP(CC55,'Tech Tree Node Parameters'!$A$3:$B$218,2,FALSE))</f>
        <v/>
      </c>
      <c r="CD56" s="62" t="str">
        <f>IF(CD55="","",VLOOKUP(CD55,'Tech Tree Node Parameters'!$A$3:$B$218,2,FALSE))</f>
        <v/>
      </c>
      <c r="CE56" s="62" t="str">
        <f>IF(CE55="","",VLOOKUP(CE55,'Tech Tree Node Parameters'!$A$3:$B$218,2,FALSE))</f>
        <v/>
      </c>
      <c r="CF56" s="62" t="str">
        <f>IF(CF55="","",VLOOKUP(CF55,'Tech Tree Node Parameters'!$A$3:$B$218,2,FALSE))</f>
        <v/>
      </c>
      <c r="CG56" s="62" t="str">
        <f>IF(CG55="","",VLOOKUP(CG55,'Tech Tree Node Parameters'!$A$3:$B$218,2,FALSE))</f>
        <v/>
      </c>
      <c r="CH56" s="62" t="str">
        <f>IF(CH55="","",VLOOKUP(CH55,'Tech Tree Node Parameters'!$A$3:$B$218,2,FALSE))</f>
        <v/>
      </c>
      <c r="CI56" s="62" t="str">
        <f>IF(CI55="","",VLOOKUP(CI55,'Tech Tree Node Parameters'!$A$3:$B$218,2,FALSE))</f>
        <v/>
      </c>
      <c r="CJ56" s="62" t="str">
        <f>IF(CJ55="","",VLOOKUP(CJ55,'Tech Tree Node Parameters'!$A$3:$B$218,2,FALSE))</f>
        <v/>
      </c>
      <c r="CK56" s="62" t="str">
        <f>IF(CK55="","",VLOOKUP(CK55,'Tech Tree Node Parameters'!$A$3:$B$218,2,FALSE))</f>
        <v/>
      </c>
      <c r="CL56" s="62" t="str">
        <f>IF(CL55="","",VLOOKUP(CL55,'Tech Tree Node Parameters'!$A$3:$B$218,2,FALSE))</f>
        <v/>
      </c>
      <c r="CM56" s="62" t="str">
        <f>IF(CM55="","",VLOOKUP(CM55,'Tech Tree Node Parameters'!$A$3:$B$218,2,FALSE))</f>
        <v/>
      </c>
      <c r="CN56" s="62" t="str">
        <f>IF(CN55="","",VLOOKUP(CN55,'Tech Tree Node Parameters'!$A$3:$B$218,2,FALSE))</f>
        <v/>
      </c>
      <c r="CO56" s="62" t="str">
        <f>IF(CO55="","",VLOOKUP(CO55,'Tech Tree Node Parameters'!$A$3:$B$218,2,FALSE))</f>
        <v/>
      </c>
      <c r="CP56" s="62" t="str">
        <f>IF(CP55="","",VLOOKUP(CP55,'Tech Tree Node Parameters'!$A$3:$B$218,2,FALSE))</f>
        <v/>
      </c>
      <c r="CQ56" s="62" t="str">
        <f>IF(CQ55="","",VLOOKUP(CQ55,'Tech Tree Node Parameters'!$A$3:$B$218,2,FALSE))</f>
        <v/>
      </c>
      <c r="CR56" s="62" t="str">
        <f>IF(CR55="","",VLOOKUP(CR55,'Tech Tree Node Parameters'!$A$3:$B$218,2,FALSE))</f>
        <v/>
      </c>
      <c r="CS56" s="62" t="str">
        <f>IF(CS55="","",VLOOKUP(CS55,'Tech Tree Node Parameters'!$A$3:$B$218,2,FALSE))</f>
        <v/>
      </c>
      <c r="CT56" s="62" t="str">
        <f>IF(CT55="","",VLOOKUP(CT55,'Tech Tree Node Parameters'!$A$3:$B$218,2,FALSE))</f>
        <v/>
      </c>
      <c r="CU56" s="62" t="str">
        <f>IF(CU55="","",VLOOKUP(CU55,'Tech Tree Node Parameters'!$A$3:$B$218,2,FALSE))</f>
        <v/>
      </c>
      <c r="CV56" s="62" t="str">
        <f>IF(CV55="","",VLOOKUP(CV55,'Tech Tree Node Parameters'!$A$3:$B$218,2,FALSE))</f>
        <v/>
      </c>
      <c r="CW56" s="62" t="str">
        <f>IF(CW55="","",VLOOKUP(CW55,'Tech Tree Node Parameters'!$A$3:$B$218,2,FALSE))</f>
        <v/>
      </c>
      <c r="CX56" s="62" t="str">
        <f>IF(CX55="","",VLOOKUP(CX55,'Tech Tree Node Parameters'!$A$3:$B$218,2,FALSE))</f>
        <v/>
      </c>
      <c r="CY56" s="36" t="str">
        <f>IF(CY55="","",VLOOKUP(CY55,'Tech Tree Node Parameters'!$A$3:$B$218,2,FALSE))</f>
        <v/>
      </c>
    </row>
    <row r="57" spans="1:103" s="47" customFormat="1" x14ac:dyDescent="0.25">
      <c r="A57" s="72">
        <f t="shared" si="10"/>
        <v>35</v>
      </c>
      <c r="B57" s="69">
        <f>B59+$D$6</f>
        <v>1367</v>
      </c>
      <c r="C57" s="39"/>
      <c r="D57" s="61"/>
      <c r="E57" s="61"/>
      <c r="F57" s="61"/>
      <c r="G57" s="61"/>
      <c r="H57" s="61"/>
      <c r="I57" s="61"/>
      <c r="J57" s="61"/>
      <c r="K57" s="61"/>
      <c r="L57" s="61"/>
      <c r="M57" s="61"/>
      <c r="N57" s="61"/>
      <c r="O57" s="61"/>
      <c r="P57" s="61"/>
      <c r="Q57" s="61"/>
      <c r="R57" s="61"/>
      <c r="S57" s="61"/>
      <c r="T57" s="61"/>
      <c r="U57" s="61"/>
      <c r="V57" s="61"/>
      <c r="W57" s="61"/>
      <c r="X57" s="61"/>
      <c r="Y57" s="61"/>
      <c r="Z57" s="61"/>
      <c r="AA57" s="61"/>
      <c r="AB57" s="61"/>
      <c r="AC57" s="61"/>
      <c r="AD57" s="61"/>
      <c r="AE57" s="61"/>
      <c r="AF57" s="61"/>
      <c r="AG57" s="61"/>
      <c r="AH57" s="61"/>
      <c r="AI57" s="61"/>
      <c r="AJ57" s="61"/>
      <c r="AK57" s="61"/>
      <c r="AL57" s="61"/>
      <c r="AM57" s="61"/>
      <c r="AN57" s="61"/>
      <c r="AO57" s="61"/>
      <c r="AP57" s="61"/>
      <c r="AQ57" s="61"/>
      <c r="AR57" s="61"/>
      <c r="AS57" s="61"/>
      <c r="AT57" s="61"/>
      <c r="AU57" s="61"/>
      <c r="AV57" s="61"/>
      <c r="AW57" s="61"/>
      <c r="AX57" s="61"/>
      <c r="AY57" s="61"/>
      <c r="AZ57" s="61"/>
      <c r="BA57" s="61"/>
      <c r="BB57" s="61"/>
      <c r="BC57" s="61"/>
      <c r="BD57" s="61"/>
      <c r="BE57" s="61"/>
      <c r="BF57" s="61"/>
      <c r="BG57" s="61"/>
      <c r="BH57" s="61"/>
      <c r="BI57" s="61"/>
      <c r="BJ57" s="61"/>
      <c r="BK57" s="61"/>
      <c r="BL57" s="61"/>
      <c r="BM57" s="61"/>
      <c r="BN57" s="61"/>
      <c r="BO57" s="61"/>
      <c r="BP57" s="61"/>
      <c r="BQ57" s="61"/>
      <c r="BR57" s="61"/>
      <c r="BS57" s="61"/>
      <c r="BT57" s="61"/>
      <c r="BU57" s="61"/>
      <c r="BV57" s="61"/>
      <c r="BW57" s="61"/>
      <c r="BX57" s="61"/>
      <c r="BY57" s="61"/>
      <c r="BZ57" s="61"/>
      <c r="CA57" s="61"/>
      <c r="CB57" s="61"/>
      <c r="CC57" s="61"/>
      <c r="CD57" s="61"/>
      <c r="CE57" s="61"/>
      <c r="CF57" s="61"/>
      <c r="CG57" s="61"/>
      <c r="CH57" s="61"/>
      <c r="CI57" s="61"/>
      <c r="CJ57" s="61"/>
      <c r="CK57" s="61"/>
      <c r="CL57" s="61"/>
      <c r="CM57" s="61"/>
      <c r="CN57" s="61"/>
      <c r="CO57" s="61"/>
      <c r="CP57" s="61"/>
      <c r="CQ57" s="61"/>
      <c r="CR57" s="61"/>
      <c r="CS57" s="61"/>
      <c r="CT57" s="61"/>
      <c r="CU57" s="61"/>
      <c r="CV57" s="61"/>
      <c r="CW57" s="61"/>
      <c r="CX57" s="61"/>
      <c r="CY57" s="35"/>
    </row>
    <row r="58" spans="1:103" s="47" customFormat="1" x14ac:dyDescent="0.25">
      <c r="A58" s="72"/>
      <c r="B58" s="70"/>
      <c r="C58" s="40"/>
      <c r="D58" s="62" t="str">
        <f>IF(D57="","",VLOOKUP(D57,'Tech Tree Node Parameters'!$A$3:$B$218,2,FALSE))</f>
        <v/>
      </c>
      <c r="E58" s="62" t="str">
        <f>IF(E57="","",VLOOKUP(E57,'Tech Tree Node Parameters'!$A$3:$B$218,2,FALSE))</f>
        <v/>
      </c>
      <c r="F58" s="62" t="str">
        <f>IF(F57="","",VLOOKUP(F57,'Tech Tree Node Parameters'!$A$3:$B$218,2,FALSE))</f>
        <v/>
      </c>
      <c r="G58" s="62" t="str">
        <f>IF(G57="","",VLOOKUP(G57,'Tech Tree Node Parameters'!$A$3:$B$218,2,FALSE))</f>
        <v/>
      </c>
      <c r="H58" s="62" t="str">
        <f>IF(H57="","",VLOOKUP(H57,'Tech Tree Node Parameters'!$A$3:$B$218,2,FALSE))</f>
        <v/>
      </c>
      <c r="I58" s="62" t="str">
        <f>IF(I57="","",VLOOKUP(I57,'Tech Tree Node Parameters'!$A$3:$B$218,2,FALSE))</f>
        <v/>
      </c>
      <c r="J58" s="62" t="str">
        <f>IF(J57="","",VLOOKUP(J57,'Tech Tree Node Parameters'!$A$3:$B$218,2,FALSE))</f>
        <v/>
      </c>
      <c r="K58" s="62" t="str">
        <f>IF(K57="","",VLOOKUP(K57,'Tech Tree Node Parameters'!$A$3:$B$218,2,FALSE))</f>
        <v/>
      </c>
      <c r="L58" s="62" t="str">
        <f>IF(L57="","",VLOOKUP(L57,'Tech Tree Node Parameters'!$A$3:$B$218,2,FALSE))</f>
        <v/>
      </c>
      <c r="M58" s="62" t="str">
        <f>IF(M57="","",VLOOKUP(M57,'Tech Tree Node Parameters'!$A$3:$B$218,2,FALSE))</f>
        <v/>
      </c>
      <c r="N58" s="62" t="str">
        <f>IF(N57="","",VLOOKUP(N57,'Tech Tree Node Parameters'!$A$3:$B$218,2,FALSE))</f>
        <v/>
      </c>
      <c r="O58" s="62" t="str">
        <f>IF(O57="","",VLOOKUP(O57,'Tech Tree Node Parameters'!$A$3:$B$218,2,FALSE))</f>
        <v/>
      </c>
      <c r="P58" s="62" t="str">
        <f>IF(P57="","",VLOOKUP(P57,'Tech Tree Node Parameters'!$A$3:$B$218,2,FALSE))</f>
        <v/>
      </c>
      <c r="Q58" s="62" t="str">
        <f>IF(Q57="","",VLOOKUP(Q57,'Tech Tree Node Parameters'!$A$3:$B$218,2,FALSE))</f>
        <v/>
      </c>
      <c r="R58" s="62" t="str">
        <f>IF(R57="","",VLOOKUP(R57,'Tech Tree Node Parameters'!$A$3:$B$218,2,FALSE))</f>
        <v/>
      </c>
      <c r="S58" s="62" t="str">
        <f>IF(S57="","",VLOOKUP(S57,'Tech Tree Node Parameters'!$A$3:$B$218,2,FALSE))</f>
        <v/>
      </c>
      <c r="T58" s="62" t="str">
        <f>IF(T57="","",VLOOKUP(T57,'Tech Tree Node Parameters'!$A$3:$B$218,2,FALSE))</f>
        <v/>
      </c>
      <c r="U58" s="62" t="str">
        <f>IF(U57="","",VLOOKUP(U57,'Tech Tree Node Parameters'!$A$3:$B$218,2,FALSE))</f>
        <v/>
      </c>
      <c r="V58" s="62" t="str">
        <f>IF(V57="","",VLOOKUP(V57,'Tech Tree Node Parameters'!$A$3:$B$218,2,FALSE))</f>
        <v/>
      </c>
      <c r="W58" s="62" t="str">
        <f>IF(W57="","",VLOOKUP(W57,'Tech Tree Node Parameters'!$A$3:$B$218,2,FALSE))</f>
        <v/>
      </c>
      <c r="X58" s="62" t="str">
        <f>IF(X57="","",VLOOKUP(X57,'Tech Tree Node Parameters'!$A$3:$B$218,2,FALSE))</f>
        <v/>
      </c>
      <c r="Y58" s="62" t="str">
        <f>IF(Y57="","",VLOOKUP(Y57,'Tech Tree Node Parameters'!$A$3:$B$218,2,FALSE))</f>
        <v/>
      </c>
      <c r="Z58" s="62" t="str">
        <f>IF(Z57="","",VLOOKUP(Z57,'Tech Tree Node Parameters'!$A$3:$B$218,2,FALSE))</f>
        <v/>
      </c>
      <c r="AA58" s="62" t="str">
        <f>IF(AA57="","",VLOOKUP(AA57,'Tech Tree Node Parameters'!$A$3:$B$218,2,FALSE))</f>
        <v/>
      </c>
      <c r="AB58" s="62" t="str">
        <f>IF(AB57="","",VLOOKUP(AB57,'Tech Tree Node Parameters'!$A$3:$B$218,2,FALSE))</f>
        <v/>
      </c>
      <c r="AC58" s="62" t="str">
        <f>IF(AC57="","",VLOOKUP(AC57,'Tech Tree Node Parameters'!$A$3:$B$218,2,FALSE))</f>
        <v/>
      </c>
      <c r="AD58" s="62" t="str">
        <f>IF(AD57="","",VLOOKUP(AD57,'Tech Tree Node Parameters'!$A$3:$B$218,2,FALSE))</f>
        <v/>
      </c>
      <c r="AE58" s="62" t="str">
        <f>IF(AE57="","",VLOOKUP(AE57,'Tech Tree Node Parameters'!$A$3:$B$218,2,FALSE))</f>
        <v/>
      </c>
      <c r="AF58" s="62" t="str">
        <f>IF(AF57="","",VLOOKUP(AF57,'Tech Tree Node Parameters'!$A$3:$B$218,2,FALSE))</f>
        <v/>
      </c>
      <c r="AG58" s="62" t="str">
        <f>IF(AG57="","",VLOOKUP(AG57,'Tech Tree Node Parameters'!$A$3:$B$218,2,FALSE))</f>
        <v/>
      </c>
      <c r="AH58" s="62" t="str">
        <f>IF(AH57="","",VLOOKUP(AH57,'Tech Tree Node Parameters'!$A$3:$B$218,2,FALSE))</f>
        <v/>
      </c>
      <c r="AI58" s="62" t="str">
        <f>IF(AI57="","",VLOOKUP(AI57,'Tech Tree Node Parameters'!$A$3:$B$218,2,FALSE))</f>
        <v/>
      </c>
      <c r="AJ58" s="62" t="str">
        <f>IF(AJ57="","",VLOOKUP(AJ57,'Tech Tree Node Parameters'!$A$3:$B$218,2,FALSE))</f>
        <v/>
      </c>
      <c r="AK58" s="62" t="str">
        <f>IF(AK57="","",VLOOKUP(AK57,'Tech Tree Node Parameters'!$A$3:$B$218,2,FALSE))</f>
        <v/>
      </c>
      <c r="AL58" s="62" t="str">
        <f>IF(AL57="","",VLOOKUP(AL57,'Tech Tree Node Parameters'!$A$3:$B$218,2,FALSE))</f>
        <v/>
      </c>
      <c r="AM58" s="62" t="str">
        <f>IF(AM57="","",VLOOKUP(AM57,'Tech Tree Node Parameters'!$A$3:$B$218,2,FALSE))</f>
        <v/>
      </c>
      <c r="AN58" s="62" t="str">
        <f>IF(AN57="","",VLOOKUP(AN57,'Tech Tree Node Parameters'!$A$3:$B$218,2,FALSE))</f>
        <v/>
      </c>
      <c r="AO58" s="62" t="str">
        <f>IF(AO57="","",VLOOKUP(AO57,'Tech Tree Node Parameters'!$A$3:$B$218,2,FALSE))</f>
        <v/>
      </c>
      <c r="AP58" s="62" t="str">
        <f>IF(AP57="","",VLOOKUP(AP57,'Tech Tree Node Parameters'!$A$3:$B$218,2,FALSE))</f>
        <v/>
      </c>
      <c r="AQ58" s="62" t="str">
        <f>IF(AQ57="","",VLOOKUP(AQ57,'Tech Tree Node Parameters'!$A$3:$B$218,2,FALSE))</f>
        <v/>
      </c>
      <c r="AR58" s="62" t="str">
        <f>IF(AR57="","",VLOOKUP(AR57,'Tech Tree Node Parameters'!$A$3:$B$218,2,FALSE))</f>
        <v/>
      </c>
      <c r="AS58" s="62" t="str">
        <f>IF(AS57="","",VLOOKUP(AS57,'Tech Tree Node Parameters'!$A$3:$B$218,2,FALSE))</f>
        <v/>
      </c>
      <c r="AT58" s="62" t="str">
        <f>IF(AT57="","",VLOOKUP(AT57,'Tech Tree Node Parameters'!$A$3:$B$218,2,FALSE))</f>
        <v/>
      </c>
      <c r="AU58" s="62" t="str">
        <f>IF(AU57="","",VLOOKUP(AU57,'Tech Tree Node Parameters'!$A$3:$B$218,2,FALSE))</f>
        <v/>
      </c>
      <c r="AV58" s="62" t="str">
        <f>IF(AV57="","",VLOOKUP(AV57,'Tech Tree Node Parameters'!$A$3:$B$218,2,FALSE))</f>
        <v/>
      </c>
      <c r="AW58" s="62" t="s">
        <v>1288</v>
      </c>
      <c r="AX58" s="62" t="str">
        <f>IF(AX57="","",VLOOKUP(AX57,'Tech Tree Node Parameters'!$A$3:$B$218,2,FALSE))</f>
        <v/>
      </c>
      <c r="AY58" s="62" t="str">
        <f>IF(AY57="","",VLOOKUP(AY57,'Tech Tree Node Parameters'!$A$3:$B$218,2,FALSE))</f>
        <v/>
      </c>
      <c r="AZ58" s="62" t="str">
        <f>IF(AZ57="","",VLOOKUP(AZ57,'Tech Tree Node Parameters'!$A$3:$B$218,2,FALSE))</f>
        <v/>
      </c>
      <c r="BA58" s="62" t="str">
        <f>IF(BA57="","",VLOOKUP(BA57,'Tech Tree Node Parameters'!$A$3:$B$218,2,FALSE))</f>
        <v/>
      </c>
      <c r="BB58" s="62" t="str">
        <f>IF(BB57="","",VLOOKUP(BB57,'Tech Tree Node Parameters'!$A$3:$B$218,2,FALSE))</f>
        <v/>
      </c>
      <c r="BC58" s="62" t="str">
        <f>IF(BC57="","",VLOOKUP(BC57,'Tech Tree Node Parameters'!$A$3:$B$218,2,FALSE))</f>
        <v/>
      </c>
      <c r="BD58" s="62" t="str">
        <f>IF(BD57="","",VLOOKUP(BD57,'Tech Tree Node Parameters'!$A$3:$B$218,2,FALSE))</f>
        <v/>
      </c>
      <c r="BE58" s="62" t="str">
        <f>IF(BE57="","",VLOOKUP(BE57,'Tech Tree Node Parameters'!$A$3:$B$218,2,FALSE))</f>
        <v/>
      </c>
      <c r="BF58" s="62" t="str">
        <f>IF(BF57="","",VLOOKUP(BF57,'Tech Tree Node Parameters'!$A$3:$B$218,2,FALSE))</f>
        <v/>
      </c>
      <c r="BG58" s="62" t="str">
        <f>IF(BG57="","",VLOOKUP(BG57,'Tech Tree Node Parameters'!$A$3:$B$218,2,FALSE))</f>
        <v/>
      </c>
      <c r="BH58" s="62" t="str">
        <f>IF(BH57="","",VLOOKUP(BH57,'Tech Tree Node Parameters'!$A$3:$B$218,2,FALSE))</f>
        <v/>
      </c>
      <c r="BI58" s="62" t="str">
        <f>IF(BI57="","",VLOOKUP(BI57,'Tech Tree Node Parameters'!$A$3:$B$218,2,FALSE))</f>
        <v/>
      </c>
      <c r="BJ58" s="62" t="str">
        <f>IF(BJ57="","",VLOOKUP(BJ57,'Tech Tree Node Parameters'!$A$3:$B$218,2,FALSE))</f>
        <v/>
      </c>
      <c r="BK58" s="62" t="str">
        <f>IF(BK57="","",VLOOKUP(BK57,'Tech Tree Node Parameters'!$A$3:$B$218,2,FALSE))</f>
        <v/>
      </c>
      <c r="BL58" s="62" t="str">
        <f>IF(BL57="","",VLOOKUP(BL57,'Tech Tree Node Parameters'!$A$3:$B$218,2,FALSE))</f>
        <v/>
      </c>
      <c r="BM58" s="62" t="str">
        <f>IF(BM57="","",VLOOKUP(BM57,'Tech Tree Node Parameters'!$A$3:$B$218,2,FALSE))</f>
        <v/>
      </c>
      <c r="BN58" s="62" t="str">
        <f>IF(BN57="","",VLOOKUP(BN57,'Tech Tree Node Parameters'!$A$3:$B$218,2,FALSE))</f>
        <v/>
      </c>
      <c r="BO58" s="62" t="str">
        <f>IF(BO57="","",VLOOKUP(BO57,'Tech Tree Node Parameters'!$A$3:$B$218,2,FALSE))</f>
        <v/>
      </c>
      <c r="BP58" s="62" t="str">
        <f>IF(BP57="","",VLOOKUP(BP57,'Tech Tree Node Parameters'!$A$3:$B$218,2,FALSE))</f>
        <v/>
      </c>
      <c r="BQ58" s="62" t="str">
        <f>IF(BQ57="","",VLOOKUP(BQ57,'Tech Tree Node Parameters'!$A$3:$B$218,2,FALSE))</f>
        <v/>
      </c>
      <c r="BR58" s="62" t="str">
        <f>IF(BR57="","",VLOOKUP(BR57,'Tech Tree Node Parameters'!$A$3:$B$218,2,FALSE))</f>
        <v/>
      </c>
      <c r="BS58" s="62" t="str">
        <f>IF(BS57="","",VLOOKUP(BS57,'Tech Tree Node Parameters'!$A$3:$B$218,2,FALSE))</f>
        <v/>
      </c>
      <c r="BT58" s="62" t="str">
        <f>IF(BT57="","",VLOOKUP(BT57,'Tech Tree Node Parameters'!$A$3:$B$218,2,FALSE))</f>
        <v/>
      </c>
      <c r="BU58" s="62" t="str">
        <f>IF(BU57="","",VLOOKUP(BU57,'Tech Tree Node Parameters'!$A$3:$B$218,2,FALSE))</f>
        <v/>
      </c>
      <c r="BV58" s="62" t="str">
        <f>IF(BV57="","",VLOOKUP(BV57,'Tech Tree Node Parameters'!$A$3:$B$218,2,FALSE))</f>
        <v/>
      </c>
      <c r="BW58" s="62" t="str">
        <f>IF(BW57="","",VLOOKUP(BW57,'Tech Tree Node Parameters'!$A$3:$B$218,2,FALSE))</f>
        <v/>
      </c>
      <c r="BX58" s="62" t="str">
        <f>IF(BX57="","",VLOOKUP(BX57,'Tech Tree Node Parameters'!$A$3:$B$218,2,FALSE))</f>
        <v/>
      </c>
      <c r="BY58" s="62" t="str">
        <f>IF(BY57="","",VLOOKUP(BY57,'Tech Tree Node Parameters'!$A$3:$B$218,2,FALSE))</f>
        <v/>
      </c>
      <c r="BZ58" s="62" t="str">
        <f>IF(BZ57="","",VLOOKUP(BZ57,'Tech Tree Node Parameters'!$A$3:$B$218,2,FALSE))</f>
        <v/>
      </c>
      <c r="CA58" s="62" t="str">
        <f>IF(CA57="","",VLOOKUP(CA57,'Tech Tree Node Parameters'!$A$3:$B$218,2,FALSE))</f>
        <v/>
      </c>
      <c r="CB58" s="62" t="str">
        <f>IF(CB57="","",VLOOKUP(CB57,'Tech Tree Node Parameters'!$A$3:$B$218,2,FALSE))</f>
        <v/>
      </c>
      <c r="CC58" s="62" t="str">
        <f>IF(CC57="","",VLOOKUP(CC57,'Tech Tree Node Parameters'!$A$3:$B$218,2,FALSE))</f>
        <v/>
      </c>
      <c r="CD58" s="62" t="str">
        <f>IF(CD57="","",VLOOKUP(CD57,'Tech Tree Node Parameters'!$A$3:$B$218,2,FALSE))</f>
        <v/>
      </c>
      <c r="CE58" s="62" t="str">
        <f>IF(CE57="","",VLOOKUP(CE57,'Tech Tree Node Parameters'!$A$3:$B$218,2,FALSE))</f>
        <v/>
      </c>
      <c r="CF58" s="62" t="str">
        <f>IF(CF57="","",VLOOKUP(CF57,'Tech Tree Node Parameters'!$A$3:$B$218,2,FALSE))</f>
        <v/>
      </c>
      <c r="CG58" s="62" t="str">
        <f>IF(CG57="","",VLOOKUP(CG57,'Tech Tree Node Parameters'!$A$3:$B$218,2,FALSE))</f>
        <v/>
      </c>
      <c r="CH58" s="62" t="str">
        <f>IF(CH57="","",VLOOKUP(CH57,'Tech Tree Node Parameters'!$A$3:$B$218,2,FALSE))</f>
        <v/>
      </c>
      <c r="CI58" s="62" t="str">
        <f>IF(CI57="","",VLOOKUP(CI57,'Tech Tree Node Parameters'!$A$3:$B$218,2,FALSE))</f>
        <v/>
      </c>
      <c r="CJ58" s="62" t="str">
        <f>IF(CJ57="","",VLOOKUP(CJ57,'Tech Tree Node Parameters'!$A$3:$B$218,2,FALSE))</f>
        <v/>
      </c>
      <c r="CK58" s="62" t="str">
        <f>IF(CK57="","",VLOOKUP(CK57,'Tech Tree Node Parameters'!$A$3:$B$218,2,FALSE))</f>
        <v/>
      </c>
      <c r="CL58" s="62" t="str">
        <f>IF(CL57="","",VLOOKUP(CL57,'Tech Tree Node Parameters'!$A$3:$B$218,2,FALSE))</f>
        <v/>
      </c>
      <c r="CM58" s="62" t="str">
        <f>IF(CM57="","",VLOOKUP(CM57,'Tech Tree Node Parameters'!$A$3:$B$218,2,FALSE))</f>
        <v/>
      </c>
      <c r="CN58" s="62" t="str">
        <f>IF(CN57="","",VLOOKUP(CN57,'Tech Tree Node Parameters'!$A$3:$B$218,2,FALSE))</f>
        <v/>
      </c>
      <c r="CO58" s="62" t="str">
        <f>IF(CO57="","",VLOOKUP(CO57,'Tech Tree Node Parameters'!$A$3:$B$218,2,FALSE))</f>
        <v/>
      </c>
      <c r="CP58" s="62" t="str">
        <f>IF(CP57="","",VLOOKUP(CP57,'Tech Tree Node Parameters'!$A$3:$B$218,2,FALSE))</f>
        <v/>
      </c>
      <c r="CQ58" s="62" t="str">
        <f>IF(CQ57="","",VLOOKUP(CQ57,'Tech Tree Node Parameters'!$A$3:$B$218,2,FALSE))</f>
        <v/>
      </c>
      <c r="CR58" s="62" t="str">
        <f>IF(CR57="","",VLOOKUP(CR57,'Tech Tree Node Parameters'!$A$3:$B$218,2,FALSE))</f>
        <v/>
      </c>
      <c r="CS58" s="62" t="str">
        <f>IF(CS57="","",VLOOKUP(CS57,'Tech Tree Node Parameters'!$A$3:$B$218,2,FALSE))</f>
        <v/>
      </c>
      <c r="CT58" s="62" t="str">
        <f>IF(CT57="","",VLOOKUP(CT57,'Tech Tree Node Parameters'!$A$3:$B$218,2,FALSE))</f>
        <v/>
      </c>
      <c r="CU58" s="62" t="str">
        <f>IF(CU57="","",VLOOKUP(CU57,'Tech Tree Node Parameters'!$A$3:$B$218,2,FALSE))</f>
        <v/>
      </c>
      <c r="CV58" s="62" t="str">
        <f>IF(CV57="","",VLOOKUP(CV57,'Tech Tree Node Parameters'!$A$3:$B$218,2,FALSE))</f>
        <v/>
      </c>
      <c r="CW58" s="62" t="str">
        <f>IF(CW57="","",VLOOKUP(CW57,'Tech Tree Node Parameters'!$A$3:$B$218,2,FALSE))</f>
        <v/>
      </c>
      <c r="CX58" s="62" t="str">
        <f>IF(CX57="","",VLOOKUP(CX57,'Tech Tree Node Parameters'!$A$3:$B$218,2,FALSE))</f>
        <v/>
      </c>
      <c r="CY58" s="36" t="str">
        <f>IF(CY57="","",VLOOKUP(CY57,'Tech Tree Node Parameters'!$A$3:$B$218,2,FALSE))</f>
        <v/>
      </c>
    </row>
    <row r="59" spans="1:103" s="47" customFormat="1" x14ac:dyDescent="0.25">
      <c r="A59" s="72">
        <f t="shared" si="10"/>
        <v>34</v>
      </c>
      <c r="B59" s="69">
        <f>B61+$D$6</f>
        <v>1329</v>
      </c>
      <c r="C59" s="39"/>
      <c r="D59" s="61"/>
      <c r="E59" s="61"/>
      <c r="F59" s="61"/>
      <c r="G59" s="61"/>
      <c r="H59" s="61"/>
      <c r="I59" s="61"/>
      <c r="J59" s="61"/>
      <c r="K59" s="61"/>
      <c r="L59" s="61"/>
      <c r="M59" s="61"/>
      <c r="N59" s="61"/>
      <c r="O59" s="61"/>
      <c r="P59" s="61"/>
      <c r="Q59" s="61"/>
      <c r="R59" s="61"/>
      <c r="S59" s="61"/>
      <c r="T59" s="61"/>
      <c r="U59" s="61"/>
      <c r="V59" s="61"/>
      <c r="W59" s="61"/>
      <c r="X59" s="61"/>
      <c r="Y59" s="61"/>
      <c r="Z59" s="61"/>
      <c r="AA59" s="61"/>
      <c r="AB59" s="61"/>
      <c r="AC59" s="61"/>
      <c r="AD59" s="61"/>
      <c r="AE59" s="61"/>
      <c r="AF59" s="61"/>
      <c r="AG59" s="61" t="s">
        <v>491</v>
      </c>
      <c r="AH59" s="61"/>
      <c r="AI59" s="61" t="s">
        <v>490</v>
      </c>
      <c r="AJ59" s="61"/>
      <c r="AK59" s="61" t="s">
        <v>489</v>
      </c>
      <c r="AL59" s="61"/>
      <c r="AM59" s="61"/>
      <c r="AN59" s="61"/>
      <c r="AO59" s="61"/>
      <c r="AP59" s="61"/>
      <c r="AQ59" s="61"/>
      <c r="AR59" s="61"/>
      <c r="AS59" s="61"/>
      <c r="AT59" s="61"/>
      <c r="AU59" s="61"/>
      <c r="AV59" s="61"/>
      <c r="AW59" s="61" t="s">
        <v>151</v>
      </c>
      <c r="AX59" s="61"/>
      <c r="AY59" s="61" t="s">
        <v>1320</v>
      </c>
      <c r="AZ59" s="61"/>
      <c r="BA59" s="61"/>
      <c r="BB59" s="61"/>
      <c r="BC59" s="61"/>
      <c r="BD59" s="61"/>
      <c r="BE59" s="61"/>
      <c r="BF59" s="61"/>
      <c r="BG59" s="61"/>
      <c r="BH59" s="61"/>
      <c r="BI59" s="61" t="s">
        <v>158</v>
      </c>
      <c r="BJ59" s="61"/>
      <c r="BK59" s="61" t="s">
        <v>507</v>
      </c>
      <c r="BL59" s="61"/>
      <c r="BM59" s="61" t="s">
        <v>53</v>
      </c>
      <c r="BN59" s="61"/>
      <c r="BO59" s="61"/>
      <c r="BP59" s="61"/>
      <c r="BQ59" s="61"/>
      <c r="BR59" s="61"/>
      <c r="BS59" s="61"/>
      <c r="BT59" s="61"/>
      <c r="BU59" s="61"/>
      <c r="BV59" s="61"/>
      <c r="BW59" s="61"/>
      <c r="BX59" s="61"/>
      <c r="BY59" s="61"/>
      <c r="BZ59" s="61"/>
      <c r="CA59" s="61"/>
      <c r="CB59" s="61"/>
      <c r="CC59" s="61"/>
      <c r="CD59" s="61"/>
      <c r="CE59" s="61"/>
      <c r="CF59" s="61"/>
      <c r="CG59" s="61"/>
      <c r="CH59" s="61"/>
      <c r="CI59" s="61"/>
      <c r="CJ59" s="61"/>
      <c r="CK59" s="61"/>
      <c r="CL59" s="61"/>
      <c r="CM59" s="61"/>
      <c r="CN59" s="61"/>
      <c r="CO59" s="61"/>
      <c r="CP59" s="61"/>
      <c r="CQ59" s="61"/>
      <c r="CR59" s="61"/>
      <c r="CS59" s="61"/>
      <c r="CT59" s="61"/>
      <c r="CU59" s="61"/>
      <c r="CV59" s="61"/>
      <c r="CW59" s="61"/>
      <c r="CX59" s="61"/>
      <c r="CY59" s="35"/>
    </row>
    <row r="60" spans="1:103" s="47" customFormat="1" x14ac:dyDescent="0.25">
      <c r="A60" s="72"/>
      <c r="B60" s="70"/>
      <c r="C60" s="40"/>
      <c r="D60" s="62" t="str">
        <f>IF(D59="","",VLOOKUP(D59,'Tech Tree Node Parameters'!$A$3:$B$218,2,FALSE))</f>
        <v/>
      </c>
      <c r="E60" s="62" t="str">
        <f>IF(E59="","",VLOOKUP(E59,'Tech Tree Node Parameters'!$A$3:$B$218,2,FALSE))</f>
        <v/>
      </c>
      <c r="F60" s="62" t="str">
        <f>IF(F59="","",VLOOKUP(F59,'Tech Tree Node Parameters'!$A$3:$B$218,2,FALSE))</f>
        <v/>
      </c>
      <c r="G60" s="62" t="str">
        <f>IF(G59="","",VLOOKUP(G59,'Tech Tree Node Parameters'!$A$3:$B$218,2,FALSE))</f>
        <v/>
      </c>
      <c r="H60" s="62" t="str">
        <f>IF(H59="","",VLOOKUP(H59,'Tech Tree Node Parameters'!$A$3:$B$218,2,FALSE))</f>
        <v/>
      </c>
      <c r="I60" s="62" t="str">
        <f>IF(I59="","",VLOOKUP(I59,'Tech Tree Node Parameters'!$A$3:$B$218,2,FALSE))</f>
        <v/>
      </c>
      <c r="J60" s="62" t="str">
        <f>IF(J59="","",VLOOKUP(J59,'Tech Tree Node Parameters'!$A$3:$B$218,2,FALSE))</f>
        <v/>
      </c>
      <c r="K60" s="62" t="str">
        <f>IF(K59="","",VLOOKUP(K59,'Tech Tree Node Parameters'!$A$3:$B$218,2,FALSE))</f>
        <v/>
      </c>
      <c r="L60" s="62" t="str">
        <f>IF(L59="","",VLOOKUP(L59,'Tech Tree Node Parameters'!$A$3:$B$218,2,FALSE))</f>
        <v/>
      </c>
      <c r="M60" s="62" t="str">
        <f>IF(M59="","",VLOOKUP(M59,'Tech Tree Node Parameters'!$A$3:$B$218,2,FALSE))</f>
        <v/>
      </c>
      <c r="N60" s="62" t="str">
        <f>IF(N59="","",VLOOKUP(N59,'Tech Tree Node Parameters'!$A$3:$B$218,2,FALSE))</f>
        <v/>
      </c>
      <c r="O60" s="62" t="str">
        <f>IF(O59="","",VLOOKUP(O59,'Tech Tree Node Parameters'!$A$3:$B$218,2,FALSE))</f>
        <v/>
      </c>
      <c r="P60" s="62" t="str">
        <f>IF(P59="","",VLOOKUP(P59,'Tech Tree Node Parameters'!$A$3:$B$218,2,FALSE))</f>
        <v/>
      </c>
      <c r="Q60" s="62" t="str">
        <f>IF(Q59="","",VLOOKUP(Q59,'Tech Tree Node Parameters'!$A$3:$B$218,2,FALSE))</f>
        <v/>
      </c>
      <c r="R60" s="62" t="str">
        <f>IF(R59="","",VLOOKUP(R59,'Tech Tree Node Parameters'!$A$3:$B$218,2,FALSE))</f>
        <v/>
      </c>
      <c r="S60" s="62" t="str">
        <f>IF(S59="","",VLOOKUP(S59,'Tech Tree Node Parameters'!$A$3:$B$218,2,FALSE))</f>
        <v/>
      </c>
      <c r="T60" s="62" t="str">
        <f>IF(T59="","",VLOOKUP(T59,'Tech Tree Node Parameters'!$A$3:$B$218,2,FALSE))</f>
        <v/>
      </c>
      <c r="U60" s="62" t="str">
        <f>IF(U59="","",VLOOKUP(U59,'Tech Tree Node Parameters'!$A$3:$B$218,2,FALSE))</f>
        <v/>
      </c>
      <c r="V60" s="62" t="str">
        <f>IF(V59="","",VLOOKUP(V59,'Tech Tree Node Parameters'!$A$3:$B$218,2,FALSE))</f>
        <v/>
      </c>
      <c r="W60" s="62" t="str">
        <f>IF(W59="","",VLOOKUP(W59,'Tech Tree Node Parameters'!$A$3:$B$218,2,FALSE))</f>
        <v/>
      </c>
      <c r="X60" s="62" t="str">
        <f>IF(X59="","",VLOOKUP(X59,'Tech Tree Node Parameters'!$A$3:$B$218,2,FALSE))</f>
        <v/>
      </c>
      <c r="Y60" s="62" t="str">
        <f>IF(Y59="","",VLOOKUP(Y59,'Tech Tree Node Parameters'!$A$3:$B$218,2,FALSE))</f>
        <v/>
      </c>
      <c r="Z60" s="62" t="str">
        <f>IF(Z59="","",VLOOKUP(Z59,'Tech Tree Node Parameters'!$A$3:$B$218,2,FALSE))</f>
        <v/>
      </c>
      <c r="AA60" s="62" t="str">
        <f>IF(AA59="","",VLOOKUP(AA59,'Tech Tree Node Parameters'!$A$3:$B$218,2,FALSE))</f>
        <v/>
      </c>
      <c r="AB60" s="62" t="str">
        <f>IF(AB59="","",VLOOKUP(AB59,'Tech Tree Node Parameters'!$A$3:$B$218,2,FALSE))</f>
        <v/>
      </c>
      <c r="AC60" s="62" t="str">
        <f>IF(AC59="","",VLOOKUP(AC59,'Tech Tree Node Parameters'!$A$3:$B$218,2,FALSE))</f>
        <v/>
      </c>
      <c r="AD60" s="62" t="str">
        <f>IF(AD59="","",VLOOKUP(AD59,'Tech Tree Node Parameters'!$A$3:$B$218,2,FALSE))</f>
        <v/>
      </c>
      <c r="AE60" s="62" t="str">
        <f>IF(AE59="","",VLOOKUP(AE59,'Tech Tree Node Parameters'!$A$3:$B$218,2,FALSE))</f>
        <v/>
      </c>
      <c r="AF60" s="62" t="str">
        <f>IF(AF59="","",VLOOKUP(AF59,'Tech Tree Node Parameters'!$A$3:$B$218,2,FALSE))</f>
        <v/>
      </c>
      <c r="AG60" s="62" t="str">
        <f>IF(AG59="","",VLOOKUP(AG59,'Tech Tree Node Parameters'!$A$3:$B$218,2,FALSE))</f>
        <v>Experimental 1.875m rocketry</v>
      </c>
      <c r="AH60" s="62" t="str">
        <f>IF(AH59="","",VLOOKUP(AH59,'Tech Tree Node Parameters'!$A$3:$B$218,2,FALSE))</f>
        <v/>
      </c>
      <c r="AI60" s="62" t="str">
        <f>IF(AI59="","",VLOOKUP(AI59,'Tech Tree Node Parameters'!$A$3:$B$218,2,FALSE))</f>
        <v>Advanced 1.875m Rocketry</v>
      </c>
      <c r="AJ60" s="62" t="str">
        <f>IF(AJ59="","",VLOOKUP(AJ59,'Tech Tree Node Parameters'!$A$3:$B$218,2,FALSE))</f>
        <v/>
      </c>
      <c r="AK60" s="62" t="str">
        <f>IF(AK59="","",VLOOKUP(AK59,'Tech Tree Node Parameters'!$A$3:$B$218,2,FALSE))</f>
        <v>1.875m Rocketry</v>
      </c>
      <c r="AL60" s="62" t="str">
        <f>IF(AL59="","",VLOOKUP(AL59,'Tech Tree Node Parameters'!$A$3:$B$218,2,FALSE))</f>
        <v/>
      </c>
      <c r="AM60" s="62" t="str">
        <f>IF(AM59="","",VLOOKUP(AM59,'Tech Tree Node Parameters'!$A$3:$B$218,2,FALSE))</f>
        <v/>
      </c>
      <c r="AN60" s="62" t="str">
        <f>IF(AN59="","",VLOOKUP(AN59,'Tech Tree Node Parameters'!$A$3:$B$218,2,FALSE))</f>
        <v/>
      </c>
      <c r="AO60" s="62" t="str">
        <f>IF(AO59="","",VLOOKUP(AO59,'Tech Tree Node Parameters'!$A$3:$B$218,2,FALSE))</f>
        <v/>
      </c>
      <c r="AP60" s="62" t="str">
        <f>IF(AP59="","",VLOOKUP(AP59,'Tech Tree Node Parameters'!$A$3:$B$218,2,FALSE))</f>
        <v/>
      </c>
      <c r="AQ60" s="62" t="str">
        <f>IF(AQ59="","",VLOOKUP(AQ59,'Tech Tree Node Parameters'!$A$3:$B$218,2,FALSE))</f>
        <v/>
      </c>
      <c r="AR60" s="62" t="str">
        <f>IF(AR59="","",VLOOKUP(AR59,'Tech Tree Node Parameters'!$A$3:$B$218,2,FALSE))</f>
        <v/>
      </c>
      <c r="AS60" s="62" t="str">
        <f>IF(AS59="","",VLOOKUP(AS59,'Tech Tree Node Parameters'!$A$3:$B$218,2,FALSE))</f>
        <v/>
      </c>
      <c r="AT60" s="62" t="str">
        <f>IF(AT59="","",VLOOKUP(AT59,'Tech Tree Node Parameters'!$A$3:$B$218,2,FALSE))</f>
        <v/>
      </c>
      <c r="AU60" s="62" t="str">
        <f>IF(AU59="","",VLOOKUP(AU59,'Tech Tree Node Parameters'!$A$3:$B$218,2,FALSE))</f>
        <v/>
      </c>
      <c r="AV60" s="62" t="str">
        <f>IF(AV59="","",VLOOKUP(AV59,'Tech Tree Node Parameters'!$A$3:$B$218,2,FALSE))</f>
        <v/>
      </c>
      <c r="AW60" s="62" t="s">
        <v>328</v>
      </c>
      <c r="AX60" s="62" t="str">
        <f>IF(AX59="","",VLOOKUP(AX59,'Tech Tree Node Parameters'!$A$3:$B$218,2,FALSE))</f>
        <v/>
      </c>
      <c r="AY60" s="62" t="str">
        <f>IF(AY59="","",VLOOKUP(AY59,'Tech Tree Node Parameters'!$A$3:$B$218,2,FALSE))</f>
        <v>Advanced Ablative Materials</v>
      </c>
      <c r="AZ60" s="62" t="str">
        <f>IF(AZ59="","",VLOOKUP(AZ59,'Tech Tree Node Parameters'!$A$3:$B$218,2,FALSE))</f>
        <v/>
      </c>
      <c r="BA60" s="62" t="str">
        <f>IF(BA59="","",VLOOKUP(BA59,'Tech Tree Node Parameters'!$A$3:$B$218,2,FALSE))</f>
        <v/>
      </c>
      <c r="BB60" s="62" t="str">
        <f>IF(BB59="","",VLOOKUP(BB59,'Tech Tree Node Parameters'!$A$3:$B$218,2,FALSE))</f>
        <v/>
      </c>
      <c r="BC60" s="62" t="str">
        <f>IF(BC59="","",VLOOKUP(BC59,'Tech Tree Node Parameters'!$A$3:$B$218,2,FALSE))</f>
        <v/>
      </c>
      <c r="BD60" s="62" t="str">
        <f>IF(BD59="","",VLOOKUP(BD59,'Tech Tree Node Parameters'!$A$3:$B$218,2,FALSE))</f>
        <v/>
      </c>
      <c r="BE60" s="62" t="str">
        <f>IF(BE59="","",VLOOKUP(BE59,'Tech Tree Node Parameters'!$A$3:$B$218,2,FALSE))</f>
        <v/>
      </c>
      <c r="BF60" s="62" t="str">
        <f>IF(BF59="","",VLOOKUP(BF59,'Tech Tree Node Parameters'!$A$3:$B$218,2,FALSE))</f>
        <v/>
      </c>
      <c r="BG60" s="62" t="str">
        <f>IF(BG59="","",VLOOKUP(BG59,'Tech Tree Node Parameters'!$A$3:$B$218,2,FALSE))</f>
        <v/>
      </c>
      <c r="BH60" s="62" t="str">
        <f>IF(BH59="","",VLOOKUP(BH59,'Tech Tree Node Parameters'!$A$3:$B$218,2,FALSE))</f>
        <v/>
      </c>
      <c r="BI60" s="62" t="str">
        <f>IF(BI59="","",VLOOKUP(BI59,'Tech Tree Node Parameters'!$A$3:$B$218,2,FALSE))</f>
        <v>Service Modules</v>
      </c>
      <c r="BJ60" s="62" t="str">
        <f>IF(BJ59="","",VLOOKUP(BJ59,'Tech Tree Node Parameters'!$A$3:$B$218,2,FALSE))</f>
        <v/>
      </c>
      <c r="BK60" s="62" t="str">
        <f>IF(BK59="","",VLOOKUP(BK59,'Tech Tree Node Parameters'!$A$3:$B$218,2,FALSE))</f>
        <v>Advanced Service Modules</v>
      </c>
      <c r="BL60" s="62" t="str">
        <f>IF(BL59="","",VLOOKUP(BL59,'Tech Tree Node Parameters'!$A$3:$B$218,2,FALSE))</f>
        <v/>
      </c>
      <c r="BM60" s="62" t="str">
        <f>IF(BM59="","",VLOOKUP(BM59,'Tech Tree Node Parameters'!$A$3:$B$218,2,FALSE))</f>
        <v>Large Volume Containment</v>
      </c>
      <c r="BN60" s="62" t="str">
        <f>IF(BN59="","",VLOOKUP(BN59,'Tech Tree Node Parameters'!$A$3:$B$218,2,FALSE))</f>
        <v/>
      </c>
      <c r="BO60" s="62" t="str">
        <f>IF(BO59="","",VLOOKUP(BO59,'Tech Tree Node Parameters'!$A$3:$B$218,2,FALSE))</f>
        <v/>
      </c>
      <c r="BP60" s="62" t="str">
        <f>IF(BP59="","",VLOOKUP(BP59,'Tech Tree Node Parameters'!$A$3:$B$218,2,FALSE))</f>
        <v/>
      </c>
      <c r="BQ60" s="62" t="str">
        <f>IF(BQ59="","",VLOOKUP(BQ59,'Tech Tree Node Parameters'!$A$3:$B$218,2,FALSE))</f>
        <v/>
      </c>
      <c r="BR60" s="62" t="str">
        <f>IF(BR59="","",VLOOKUP(BR59,'Tech Tree Node Parameters'!$A$3:$B$218,2,FALSE))</f>
        <v/>
      </c>
      <c r="BS60" s="62" t="str">
        <f>IF(BS59="","",VLOOKUP(BS59,'Tech Tree Node Parameters'!$A$3:$B$218,2,FALSE))</f>
        <v/>
      </c>
      <c r="BT60" s="62" t="str">
        <f>IF(BT59="","",VLOOKUP(BT59,'Tech Tree Node Parameters'!$A$3:$B$218,2,FALSE))</f>
        <v/>
      </c>
      <c r="BU60" s="62" t="str">
        <f>IF(BU59="","",VLOOKUP(BU59,'Tech Tree Node Parameters'!$A$3:$B$218,2,FALSE))</f>
        <v/>
      </c>
      <c r="BV60" s="62" t="str">
        <f>IF(BV59="","",VLOOKUP(BV59,'Tech Tree Node Parameters'!$A$3:$B$218,2,FALSE))</f>
        <v/>
      </c>
      <c r="BW60" s="62" t="str">
        <f>IF(BW59="","",VLOOKUP(BW59,'Tech Tree Node Parameters'!$A$3:$B$218,2,FALSE))</f>
        <v/>
      </c>
      <c r="BX60" s="62" t="str">
        <f>IF(BX59="","",VLOOKUP(BX59,'Tech Tree Node Parameters'!$A$3:$B$218,2,FALSE))</f>
        <v/>
      </c>
      <c r="BY60" s="62" t="str">
        <f>IF(BY59="","",VLOOKUP(BY59,'Tech Tree Node Parameters'!$A$3:$B$218,2,FALSE))</f>
        <v/>
      </c>
      <c r="BZ60" s="62" t="str">
        <f>IF(BZ59="","",VLOOKUP(BZ59,'Tech Tree Node Parameters'!$A$3:$B$218,2,FALSE))</f>
        <v/>
      </c>
      <c r="CA60" s="62" t="str">
        <f>IF(CA59="","",VLOOKUP(CA59,'Tech Tree Node Parameters'!$A$3:$B$218,2,FALSE))</f>
        <v/>
      </c>
      <c r="CB60" s="62" t="str">
        <f>IF(CB59="","",VLOOKUP(CB59,'Tech Tree Node Parameters'!$A$3:$B$218,2,FALSE))</f>
        <v/>
      </c>
      <c r="CC60" s="62" t="str">
        <f>IF(CC59="","",VLOOKUP(CC59,'Tech Tree Node Parameters'!$A$3:$B$218,2,FALSE))</f>
        <v/>
      </c>
      <c r="CD60" s="62" t="str">
        <f>IF(CD59="","",VLOOKUP(CD59,'Tech Tree Node Parameters'!$A$3:$B$218,2,FALSE))</f>
        <v/>
      </c>
      <c r="CE60" s="62" t="str">
        <f>IF(CE59="","",VLOOKUP(CE59,'Tech Tree Node Parameters'!$A$3:$B$218,2,FALSE))</f>
        <v/>
      </c>
      <c r="CF60" s="62" t="str">
        <f>IF(CF59="","",VLOOKUP(CF59,'Tech Tree Node Parameters'!$A$3:$B$218,2,FALSE))</f>
        <v/>
      </c>
      <c r="CG60" s="62" t="str">
        <f>IF(CG59="","",VLOOKUP(CG59,'Tech Tree Node Parameters'!$A$3:$B$218,2,FALSE))</f>
        <v/>
      </c>
      <c r="CH60" s="62" t="str">
        <f>IF(CH59="","",VLOOKUP(CH59,'Tech Tree Node Parameters'!$A$3:$B$218,2,FALSE))</f>
        <v/>
      </c>
      <c r="CI60" s="62" t="str">
        <f>IF(CI59="","",VLOOKUP(CI59,'Tech Tree Node Parameters'!$A$3:$B$218,2,FALSE))</f>
        <v/>
      </c>
      <c r="CJ60" s="62" t="str">
        <f>IF(CJ59="","",VLOOKUP(CJ59,'Tech Tree Node Parameters'!$A$3:$B$218,2,FALSE))</f>
        <v/>
      </c>
      <c r="CK60" s="62" t="str">
        <f>IF(CK59="","",VLOOKUP(CK59,'Tech Tree Node Parameters'!$A$3:$B$218,2,FALSE))</f>
        <v/>
      </c>
      <c r="CL60" s="62" t="str">
        <f>IF(CL59="","",VLOOKUP(CL59,'Tech Tree Node Parameters'!$A$3:$B$218,2,FALSE))</f>
        <v/>
      </c>
      <c r="CM60" s="62" t="str">
        <f>IF(CM59="","",VLOOKUP(CM59,'Tech Tree Node Parameters'!$A$3:$B$218,2,FALSE))</f>
        <v/>
      </c>
      <c r="CN60" s="62" t="str">
        <f>IF(CN59="","",VLOOKUP(CN59,'Tech Tree Node Parameters'!$A$3:$B$218,2,FALSE))</f>
        <v/>
      </c>
      <c r="CO60" s="62" t="str">
        <f>IF(CO59="","",VLOOKUP(CO59,'Tech Tree Node Parameters'!$A$3:$B$218,2,FALSE))</f>
        <v/>
      </c>
      <c r="CP60" s="62" t="str">
        <f>IF(CP59="","",VLOOKUP(CP59,'Tech Tree Node Parameters'!$A$3:$B$218,2,FALSE))</f>
        <v/>
      </c>
      <c r="CQ60" s="62" t="str">
        <f>IF(CQ59="","",VLOOKUP(CQ59,'Tech Tree Node Parameters'!$A$3:$B$218,2,FALSE))</f>
        <v/>
      </c>
      <c r="CR60" s="62" t="str">
        <f>IF(CR59="","",VLOOKUP(CR59,'Tech Tree Node Parameters'!$A$3:$B$218,2,FALSE))</f>
        <v/>
      </c>
      <c r="CS60" s="62" t="str">
        <f>IF(CS59="","",VLOOKUP(CS59,'Tech Tree Node Parameters'!$A$3:$B$218,2,FALSE))</f>
        <v/>
      </c>
      <c r="CT60" s="62" t="str">
        <f>IF(CT59="","",VLOOKUP(CT59,'Tech Tree Node Parameters'!$A$3:$B$218,2,FALSE))</f>
        <v/>
      </c>
      <c r="CU60" s="62" t="str">
        <f>IF(CU59="","",VLOOKUP(CU59,'Tech Tree Node Parameters'!$A$3:$B$218,2,FALSE))</f>
        <v/>
      </c>
      <c r="CV60" s="62" t="str">
        <f>IF(CV59="","",VLOOKUP(CV59,'Tech Tree Node Parameters'!$A$3:$B$218,2,FALSE))</f>
        <v/>
      </c>
      <c r="CW60" s="62" t="str">
        <f>IF(CW59="","",VLOOKUP(CW59,'Tech Tree Node Parameters'!$A$3:$B$218,2,FALSE))</f>
        <v/>
      </c>
      <c r="CX60" s="62" t="str">
        <f>IF(CX59="","",VLOOKUP(CX59,'Tech Tree Node Parameters'!$A$3:$B$218,2,FALSE))</f>
        <v/>
      </c>
      <c r="CY60" s="36" t="str">
        <f>IF(CY59="","",VLOOKUP(CY59,'Tech Tree Node Parameters'!$A$3:$B$218,2,FALSE))</f>
        <v/>
      </c>
    </row>
    <row r="61" spans="1:103" s="2" customFormat="1" x14ac:dyDescent="0.25">
      <c r="A61" s="72">
        <f t="shared" ref="A61:A65" si="11">A63+1</f>
        <v>33</v>
      </c>
      <c r="B61" s="69">
        <f>B63+$D$6</f>
        <v>1291</v>
      </c>
      <c r="C61" s="39"/>
      <c r="D61" s="61"/>
      <c r="E61" s="61"/>
      <c r="F61" s="61"/>
      <c r="G61" s="61"/>
      <c r="H61" s="61"/>
      <c r="I61" s="61"/>
      <c r="J61" s="61"/>
      <c r="K61" s="61"/>
      <c r="L61" s="61"/>
      <c r="M61" s="61"/>
      <c r="N61" s="61"/>
      <c r="O61" s="61"/>
      <c r="P61" s="61"/>
      <c r="Q61" s="61"/>
      <c r="R61" s="61"/>
      <c r="S61" s="61"/>
      <c r="T61" s="61"/>
      <c r="U61" s="61"/>
      <c r="V61" s="61"/>
      <c r="W61" s="61"/>
      <c r="X61" s="61"/>
      <c r="Y61" s="61"/>
      <c r="Z61" s="61"/>
      <c r="AA61" s="61"/>
      <c r="AB61" s="61"/>
      <c r="AC61" s="61"/>
      <c r="AD61" s="61"/>
      <c r="AE61" s="61"/>
      <c r="AF61" s="61"/>
      <c r="AG61" s="61"/>
      <c r="AH61" s="61"/>
      <c r="AI61" s="61"/>
      <c r="AJ61" s="61"/>
      <c r="AK61" s="61"/>
      <c r="AL61" s="61"/>
      <c r="AM61" s="61"/>
      <c r="AN61" s="61"/>
      <c r="AO61" s="61"/>
      <c r="AP61" s="61"/>
      <c r="AQ61" s="61"/>
      <c r="AR61" s="61"/>
      <c r="AS61" s="61"/>
      <c r="AT61" s="61"/>
      <c r="AU61" s="61"/>
      <c r="AV61" s="61"/>
      <c r="AW61" s="61"/>
      <c r="AX61" s="61"/>
      <c r="AY61" s="61"/>
      <c r="AZ61" s="61"/>
      <c r="BA61" s="61"/>
      <c r="BB61" s="61"/>
      <c r="BC61" s="61"/>
      <c r="BD61" s="61"/>
      <c r="BE61" s="61"/>
      <c r="BF61" s="61"/>
      <c r="BG61" s="61"/>
      <c r="BH61" s="61"/>
      <c r="BI61" s="61"/>
      <c r="BJ61" s="61"/>
      <c r="BK61" s="61"/>
      <c r="BL61" s="61"/>
      <c r="BM61" s="61"/>
      <c r="BN61" s="61"/>
      <c r="BO61" s="61"/>
      <c r="BP61" s="61"/>
      <c r="BQ61" s="61"/>
      <c r="BR61" s="61"/>
      <c r="BS61" s="61"/>
      <c r="BT61" s="61"/>
      <c r="BU61" s="61"/>
      <c r="BV61" s="61"/>
      <c r="BW61" s="61"/>
      <c r="BX61" s="61"/>
      <c r="BY61" s="61"/>
      <c r="BZ61" s="61"/>
      <c r="CA61" s="61"/>
      <c r="CB61" s="61"/>
      <c r="CC61" s="61"/>
      <c r="CD61" s="61"/>
      <c r="CE61" s="61"/>
      <c r="CF61" s="61"/>
      <c r="CG61" s="61"/>
      <c r="CH61" s="61"/>
      <c r="CI61" s="61"/>
      <c r="CJ61" s="61"/>
      <c r="CK61" s="61"/>
      <c r="CL61" s="61"/>
      <c r="CM61" s="61"/>
      <c r="CN61" s="61"/>
      <c r="CO61" s="61"/>
      <c r="CP61" s="61"/>
      <c r="CQ61" s="61"/>
      <c r="CR61" s="61"/>
      <c r="CS61" s="61"/>
      <c r="CT61" s="61"/>
      <c r="CU61" s="61"/>
      <c r="CV61" s="61"/>
      <c r="CW61" s="61"/>
      <c r="CX61" s="61"/>
      <c r="CY61" s="35"/>
    </row>
    <row r="62" spans="1:103" s="2" customFormat="1" x14ac:dyDescent="0.25">
      <c r="A62" s="72"/>
      <c r="B62" s="70"/>
      <c r="C62" s="40"/>
      <c r="D62" s="62" t="str">
        <f>IF(D61="","",VLOOKUP(D61,'Tech Tree Node Parameters'!$A$3:$B$218,2,FALSE))</f>
        <v/>
      </c>
      <c r="E62" s="62" t="str">
        <f>IF(E61="","",VLOOKUP(E61,'Tech Tree Node Parameters'!$A$3:$B$218,2,FALSE))</f>
        <v/>
      </c>
      <c r="F62" s="62" t="str">
        <f>IF(F61="","",VLOOKUP(F61,'Tech Tree Node Parameters'!$A$3:$B$218,2,FALSE))</f>
        <v/>
      </c>
      <c r="G62" s="62" t="str">
        <f>IF(G61="","",VLOOKUP(G61,'Tech Tree Node Parameters'!$A$3:$B$218,2,FALSE))</f>
        <v/>
      </c>
      <c r="H62" s="62" t="str">
        <f>IF(H61="","",VLOOKUP(H61,'Tech Tree Node Parameters'!$A$3:$B$218,2,FALSE))</f>
        <v/>
      </c>
      <c r="I62" s="62" t="str">
        <f>IF(I61="","",VLOOKUP(I61,'Tech Tree Node Parameters'!$A$3:$B$218,2,FALSE))</f>
        <v/>
      </c>
      <c r="J62" s="62" t="str">
        <f>IF(J61="","",VLOOKUP(J61,'Tech Tree Node Parameters'!$A$3:$B$218,2,FALSE))</f>
        <v/>
      </c>
      <c r="K62" s="62" t="str">
        <f>IF(K61="","",VLOOKUP(K61,'Tech Tree Node Parameters'!$A$3:$B$218,2,FALSE))</f>
        <v/>
      </c>
      <c r="L62" s="62" t="str">
        <f>IF(L61="","",VLOOKUP(L61,'Tech Tree Node Parameters'!$A$3:$B$218,2,FALSE))</f>
        <v/>
      </c>
      <c r="M62" s="62" t="str">
        <f>IF(M61="","",VLOOKUP(M61,'Tech Tree Node Parameters'!$A$3:$B$218,2,FALSE))</f>
        <v/>
      </c>
      <c r="N62" s="62" t="str">
        <f>IF(N61="","",VLOOKUP(N61,'Tech Tree Node Parameters'!$A$3:$B$218,2,FALSE))</f>
        <v/>
      </c>
      <c r="O62" s="62" t="str">
        <f>IF(O61="","",VLOOKUP(O61,'Tech Tree Node Parameters'!$A$3:$B$218,2,FALSE))</f>
        <v/>
      </c>
      <c r="P62" s="62" t="str">
        <f>IF(P61="","",VLOOKUP(P61,'Tech Tree Node Parameters'!$A$3:$B$218,2,FALSE))</f>
        <v/>
      </c>
      <c r="Q62" s="62" t="str">
        <f>IF(Q61="","",VLOOKUP(Q61,'Tech Tree Node Parameters'!$A$3:$B$218,2,FALSE))</f>
        <v/>
      </c>
      <c r="R62" s="62" t="str">
        <f>IF(R61="","",VLOOKUP(R61,'Tech Tree Node Parameters'!$A$3:$B$218,2,FALSE))</f>
        <v/>
      </c>
      <c r="S62" s="62" t="str">
        <f>IF(S61="","",VLOOKUP(S61,'Tech Tree Node Parameters'!$A$3:$B$218,2,FALSE))</f>
        <v/>
      </c>
      <c r="T62" s="62" t="str">
        <f>IF(T61="","",VLOOKUP(T61,'Tech Tree Node Parameters'!$A$3:$B$218,2,FALSE))</f>
        <v/>
      </c>
      <c r="U62" s="62" t="str">
        <f>IF(U61="","",VLOOKUP(U61,'Tech Tree Node Parameters'!$A$3:$B$218,2,FALSE))</f>
        <v/>
      </c>
      <c r="V62" s="62" t="str">
        <f>IF(V61="","",VLOOKUP(V61,'Tech Tree Node Parameters'!$A$3:$B$218,2,FALSE))</f>
        <v/>
      </c>
      <c r="W62" s="62" t="str">
        <f>IF(W61="","",VLOOKUP(W61,'Tech Tree Node Parameters'!$A$3:$B$218,2,FALSE))</f>
        <v/>
      </c>
      <c r="X62" s="62" t="str">
        <f>IF(X61="","",VLOOKUP(X61,'Tech Tree Node Parameters'!$A$3:$B$218,2,FALSE))</f>
        <v/>
      </c>
      <c r="Y62" s="62" t="str">
        <f>IF(Y61="","",VLOOKUP(Y61,'Tech Tree Node Parameters'!$A$3:$B$218,2,FALSE))</f>
        <v/>
      </c>
      <c r="Z62" s="62" t="str">
        <f>IF(Z61="","",VLOOKUP(Z61,'Tech Tree Node Parameters'!$A$3:$B$218,2,FALSE))</f>
        <v/>
      </c>
      <c r="AA62" s="62" t="str">
        <f>IF(AA61="","",VLOOKUP(AA61,'Tech Tree Node Parameters'!$A$3:$B$218,2,FALSE))</f>
        <v/>
      </c>
      <c r="AB62" s="62" t="str">
        <f>IF(AB61="","",VLOOKUP(AB61,'Tech Tree Node Parameters'!$A$3:$B$218,2,FALSE))</f>
        <v/>
      </c>
      <c r="AC62" s="62" t="str">
        <f>IF(AC61="","",VLOOKUP(AC61,'Tech Tree Node Parameters'!$A$3:$B$218,2,FALSE))</f>
        <v/>
      </c>
      <c r="AD62" s="62" t="str">
        <f>IF(AD61="","",VLOOKUP(AD61,'Tech Tree Node Parameters'!$A$3:$B$218,2,FALSE))</f>
        <v/>
      </c>
      <c r="AE62" s="62" t="str">
        <f>IF(AE61="","",VLOOKUP(AE61,'Tech Tree Node Parameters'!$A$3:$B$218,2,FALSE))</f>
        <v/>
      </c>
      <c r="AF62" s="62" t="str">
        <f>IF(AF61="","",VLOOKUP(AF61,'Tech Tree Node Parameters'!$A$3:$B$218,2,FALSE))</f>
        <v/>
      </c>
      <c r="AG62" s="62" t="str">
        <f>IF(AG61="","",VLOOKUP(AG61,'Tech Tree Node Parameters'!$A$3:$B$218,2,FALSE))</f>
        <v/>
      </c>
      <c r="AH62" s="62" t="str">
        <f>IF(AH61="","",VLOOKUP(AH61,'Tech Tree Node Parameters'!$A$3:$B$218,2,FALSE))</f>
        <v/>
      </c>
      <c r="AI62" s="62" t="str">
        <f>IF(AI61="","",VLOOKUP(AI61,'Tech Tree Node Parameters'!$A$3:$B$218,2,FALSE))</f>
        <v/>
      </c>
      <c r="AJ62" s="62" t="str">
        <f>IF(AJ61="","",VLOOKUP(AJ61,'Tech Tree Node Parameters'!$A$3:$B$218,2,FALSE))</f>
        <v/>
      </c>
      <c r="AK62" s="62" t="str">
        <f>IF(AK61="","",VLOOKUP(AK61,'Tech Tree Node Parameters'!$A$3:$B$218,2,FALSE))</f>
        <v/>
      </c>
      <c r="AL62" s="62" t="str">
        <f>IF(AL61="","",VLOOKUP(AL61,'Tech Tree Node Parameters'!$A$3:$B$218,2,FALSE))</f>
        <v/>
      </c>
      <c r="AM62" s="62" t="str">
        <f>IF(AM61="","",VLOOKUP(AM61,'Tech Tree Node Parameters'!$A$3:$B$218,2,FALSE))</f>
        <v/>
      </c>
      <c r="AN62" s="62" t="str">
        <f>IF(AN61="","",VLOOKUP(AN61,'Tech Tree Node Parameters'!$A$3:$B$218,2,FALSE))</f>
        <v/>
      </c>
      <c r="AO62" s="62" t="str">
        <f>IF(AO61="","",VLOOKUP(AO61,'Tech Tree Node Parameters'!$A$3:$B$218,2,FALSE))</f>
        <v/>
      </c>
      <c r="AP62" s="62" t="str">
        <f>IF(AP61="","",VLOOKUP(AP61,'Tech Tree Node Parameters'!$A$3:$B$218,2,FALSE))</f>
        <v/>
      </c>
      <c r="AQ62" s="62" t="str">
        <f>IF(AQ61="","",VLOOKUP(AQ61,'Tech Tree Node Parameters'!$A$3:$B$218,2,FALSE))</f>
        <v/>
      </c>
      <c r="AR62" s="62" t="str">
        <f>IF(AR61="","",VLOOKUP(AR61,'Tech Tree Node Parameters'!$A$3:$B$218,2,FALSE))</f>
        <v/>
      </c>
      <c r="AS62" s="62" t="str">
        <f>IF(AS61="","",VLOOKUP(AS61,'Tech Tree Node Parameters'!$A$3:$B$218,2,FALSE))</f>
        <v/>
      </c>
      <c r="AT62" s="62" t="str">
        <f>IF(AT61="","",VLOOKUP(AT61,'Tech Tree Node Parameters'!$A$3:$B$218,2,FALSE))</f>
        <v/>
      </c>
      <c r="AU62" s="62" t="str">
        <f>IF(AU61="","",VLOOKUP(AU61,'Tech Tree Node Parameters'!$A$3:$B$218,2,FALSE))</f>
        <v/>
      </c>
      <c r="AV62" s="62" t="str">
        <f>IF(AV61="","",VLOOKUP(AV61,'Tech Tree Node Parameters'!$A$3:$B$218,2,FALSE))</f>
        <v/>
      </c>
      <c r="AW62" s="62" t="s">
        <v>1288</v>
      </c>
      <c r="AX62" s="62" t="str">
        <f>IF(AX61="","",VLOOKUP(AX61,'Tech Tree Node Parameters'!$A$3:$B$218,2,FALSE))</f>
        <v/>
      </c>
      <c r="AY62" s="62" t="str">
        <f>IF(AY61="","",VLOOKUP(AY61,'Tech Tree Node Parameters'!$A$3:$B$218,2,FALSE))</f>
        <v/>
      </c>
      <c r="AZ62" s="62" t="str">
        <f>IF(AZ61="","",VLOOKUP(AZ61,'Tech Tree Node Parameters'!$A$3:$B$218,2,FALSE))</f>
        <v/>
      </c>
      <c r="BA62" s="62" t="str">
        <f>IF(BA61="","",VLOOKUP(BA61,'Tech Tree Node Parameters'!$A$3:$B$218,2,FALSE))</f>
        <v/>
      </c>
      <c r="BB62" s="62" t="str">
        <f>IF(BB61="","",VLOOKUP(BB61,'Tech Tree Node Parameters'!$A$3:$B$218,2,FALSE))</f>
        <v/>
      </c>
      <c r="BC62" s="62" t="str">
        <f>IF(BC61="","",VLOOKUP(BC61,'Tech Tree Node Parameters'!$A$3:$B$218,2,FALSE))</f>
        <v/>
      </c>
      <c r="BD62" s="62" t="str">
        <f>IF(BD61="","",VLOOKUP(BD61,'Tech Tree Node Parameters'!$A$3:$B$218,2,FALSE))</f>
        <v/>
      </c>
      <c r="BE62" s="62" t="str">
        <f>IF(BE61="","",VLOOKUP(BE61,'Tech Tree Node Parameters'!$A$3:$B$218,2,FALSE))</f>
        <v/>
      </c>
      <c r="BF62" s="62" t="str">
        <f>IF(BF61="","",VLOOKUP(BF61,'Tech Tree Node Parameters'!$A$3:$B$218,2,FALSE))</f>
        <v/>
      </c>
      <c r="BG62" s="62" t="str">
        <f>IF(BG61="","",VLOOKUP(BG61,'Tech Tree Node Parameters'!$A$3:$B$218,2,FALSE))</f>
        <v/>
      </c>
      <c r="BH62" s="62" t="str">
        <f>IF(BH61="","",VLOOKUP(BH61,'Tech Tree Node Parameters'!$A$3:$B$218,2,FALSE))</f>
        <v/>
      </c>
      <c r="BI62" s="62" t="str">
        <f>IF(BI61="","",VLOOKUP(BI61,'Tech Tree Node Parameters'!$A$3:$B$218,2,FALSE))</f>
        <v/>
      </c>
      <c r="BJ62" s="62" t="str">
        <f>IF(BJ61="","",VLOOKUP(BJ61,'Tech Tree Node Parameters'!$A$3:$B$218,2,FALSE))</f>
        <v/>
      </c>
      <c r="BK62" s="62" t="str">
        <f>IF(BK61="","",VLOOKUP(BK61,'Tech Tree Node Parameters'!$A$3:$B$218,2,FALSE))</f>
        <v/>
      </c>
      <c r="BL62" s="62" t="str">
        <f>IF(BL61="","",VLOOKUP(BL61,'Tech Tree Node Parameters'!$A$3:$B$218,2,FALSE))</f>
        <v/>
      </c>
      <c r="BM62" s="62" t="str">
        <f>IF(BM61="","",VLOOKUP(BM61,'Tech Tree Node Parameters'!$A$3:$B$218,2,FALSE))</f>
        <v/>
      </c>
      <c r="BN62" s="62" t="str">
        <f>IF(BN61="","",VLOOKUP(BN61,'Tech Tree Node Parameters'!$A$3:$B$218,2,FALSE))</f>
        <v/>
      </c>
      <c r="BO62" s="62" t="str">
        <f>IF(BO61="","",VLOOKUP(BO61,'Tech Tree Node Parameters'!$A$3:$B$218,2,FALSE))</f>
        <v/>
      </c>
      <c r="BP62" s="62" t="str">
        <f>IF(BP61="","",VLOOKUP(BP61,'Tech Tree Node Parameters'!$A$3:$B$218,2,FALSE))</f>
        <v/>
      </c>
      <c r="BQ62" s="62" t="str">
        <f>IF(BQ61="","",VLOOKUP(BQ61,'Tech Tree Node Parameters'!$A$3:$B$218,2,FALSE))</f>
        <v/>
      </c>
      <c r="BR62" s="62" t="str">
        <f>IF(BR61="","",VLOOKUP(BR61,'Tech Tree Node Parameters'!$A$3:$B$218,2,FALSE))</f>
        <v/>
      </c>
      <c r="BS62" s="62" t="str">
        <f>IF(BS61="","",VLOOKUP(BS61,'Tech Tree Node Parameters'!$A$3:$B$218,2,FALSE))</f>
        <v/>
      </c>
      <c r="BT62" s="62" t="str">
        <f>IF(BT61="","",VLOOKUP(BT61,'Tech Tree Node Parameters'!$A$3:$B$218,2,FALSE))</f>
        <v/>
      </c>
      <c r="BU62" s="62" t="str">
        <f>IF(BU61="","",VLOOKUP(BU61,'Tech Tree Node Parameters'!$A$3:$B$218,2,FALSE))</f>
        <v/>
      </c>
      <c r="BV62" s="62" t="str">
        <f>IF(BV61="","",VLOOKUP(BV61,'Tech Tree Node Parameters'!$A$3:$B$218,2,FALSE))</f>
        <v/>
      </c>
      <c r="BW62" s="62" t="str">
        <f>IF(BW61="","",VLOOKUP(BW61,'Tech Tree Node Parameters'!$A$3:$B$218,2,FALSE))</f>
        <v/>
      </c>
      <c r="BX62" s="62" t="str">
        <f>IF(BX61="","",VLOOKUP(BX61,'Tech Tree Node Parameters'!$A$3:$B$218,2,FALSE))</f>
        <v/>
      </c>
      <c r="BY62" s="62" t="str">
        <f>IF(BY61="","",VLOOKUP(BY61,'Tech Tree Node Parameters'!$A$3:$B$218,2,FALSE))</f>
        <v/>
      </c>
      <c r="BZ62" s="62" t="str">
        <f>IF(BZ61="","",VLOOKUP(BZ61,'Tech Tree Node Parameters'!$A$3:$B$218,2,FALSE))</f>
        <v/>
      </c>
      <c r="CA62" s="62" t="str">
        <f>IF(CA61="","",VLOOKUP(CA61,'Tech Tree Node Parameters'!$A$3:$B$218,2,FALSE))</f>
        <v/>
      </c>
      <c r="CB62" s="62" t="str">
        <f>IF(CB61="","",VLOOKUP(CB61,'Tech Tree Node Parameters'!$A$3:$B$218,2,FALSE))</f>
        <v/>
      </c>
      <c r="CC62" s="62" t="str">
        <f>IF(CC61="","",VLOOKUP(CC61,'Tech Tree Node Parameters'!$A$3:$B$218,2,FALSE))</f>
        <v/>
      </c>
      <c r="CD62" s="62" t="str">
        <f>IF(CD61="","",VLOOKUP(CD61,'Tech Tree Node Parameters'!$A$3:$B$218,2,FALSE))</f>
        <v/>
      </c>
      <c r="CE62" s="62" t="str">
        <f>IF(CE61="","",VLOOKUP(CE61,'Tech Tree Node Parameters'!$A$3:$B$218,2,FALSE))</f>
        <v/>
      </c>
      <c r="CF62" s="62" t="str">
        <f>IF(CF61="","",VLOOKUP(CF61,'Tech Tree Node Parameters'!$A$3:$B$218,2,FALSE))</f>
        <v/>
      </c>
      <c r="CG62" s="62" t="str">
        <f>IF(CG61="","",VLOOKUP(CG61,'Tech Tree Node Parameters'!$A$3:$B$218,2,FALSE))</f>
        <v/>
      </c>
      <c r="CH62" s="62" t="str">
        <f>IF(CH61="","",VLOOKUP(CH61,'Tech Tree Node Parameters'!$A$3:$B$218,2,FALSE))</f>
        <v/>
      </c>
      <c r="CI62" s="62" t="str">
        <f>IF(CI61="","",VLOOKUP(CI61,'Tech Tree Node Parameters'!$A$3:$B$218,2,FALSE))</f>
        <v/>
      </c>
      <c r="CJ62" s="62" t="str">
        <f>IF(CJ61="","",VLOOKUP(CJ61,'Tech Tree Node Parameters'!$A$3:$B$218,2,FALSE))</f>
        <v/>
      </c>
      <c r="CK62" s="62" t="str">
        <f>IF(CK61="","",VLOOKUP(CK61,'Tech Tree Node Parameters'!$A$3:$B$218,2,FALSE))</f>
        <v/>
      </c>
      <c r="CL62" s="62" t="str">
        <f>IF(CL61="","",VLOOKUP(CL61,'Tech Tree Node Parameters'!$A$3:$B$218,2,FALSE))</f>
        <v/>
      </c>
      <c r="CM62" s="62" t="str">
        <f>IF(CM61="","",VLOOKUP(CM61,'Tech Tree Node Parameters'!$A$3:$B$218,2,FALSE))</f>
        <v/>
      </c>
      <c r="CN62" s="62" t="str">
        <f>IF(CN61="","",VLOOKUP(CN61,'Tech Tree Node Parameters'!$A$3:$B$218,2,FALSE))</f>
        <v/>
      </c>
      <c r="CO62" s="62" t="str">
        <f>IF(CO61="","",VLOOKUP(CO61,'Tech Tree Node Parameters'!$A$3:$B$218,2,FALSE))</f>
        <v/>
      </c>
      <c r="CP62" s="62" t="str">
        <f>IF(CP61="","",VLOOKUP(CP61,'Tech Tree Node Parameters'!$A$3:$B$218,2,FALSE))</f>
        <v/>
      </c>
      <c r="CQ62" s="62" t="str">
        <f>IF(CQ61="","",VLOOKUP(CQ61,'Tech Tree Node Parameters'!$A$3:$B$218,2,FALSE))</f>
        <v/>
      </c>
      <c r="CR62" s="62" t="str">
        <f>IF(CR61="","",VLOOKUP(CR61,'Tech Tree Node Parameters'!$A$3:$B$218,2,FALSE))</f>
        <v/>
      </c>
      <c r="CS62" s="62" t="str">
        <f>IF(CS61="","",VLOOKUP(CS61,'Tech Tree Node Parameters'!$A$3:$B$218,2,FALSE))</f>
        <v/>
      </c>
      <c r="CT62" s="62" t="str">
        <f>IF(CT61="","",VLOOKUP(CT61,'Tech Tree Node Parameters'!$A$3:$B$218,2,FALSE))</f>
        <v/>
      </c>
      <c r="CU62" s="62" t="str">
        <f>IF(CU61="","",VLOOKUP(CU61,'Tech Tree Node Parameters'!$A$3:$B$218,2,FALSE))</f>
        <v/>
      </c>
      <c r="CV62" s="62" t="str">
        <f>IF(CV61="","",VLOOKUP(CV61,'Tech Tree Node Parameters'!$A$3:$B$218,2,FALSE))</f>
        <v/>
      </c>
      <c r="CW62" s="62" t="str">
        <f>IF(CW61="","",VLOOKUP(CW61,'Tech Tree Node Parameters'!$A$3:$B$218,2,FALSE))</f>
        <v/>
      </c>
      <c r="CX62" s="62" t="str">
        <f>IF(CX61="","",VLOOKUP(CX61,'Tech Tree Node Parameters'!$A$3:$B$218,2,FALSE))</f>
        <v/>
      </c>
      <c r="CY62" s="36" t="str">
        <f>IF(CY61="","",VLOOKUP(CY61,'Tech Tree Node Parameters'!$A$3:$B$218,2,FALSE))</f>
        <v/>
      </c>
    </row>
    <row r="63" spans="1:103" s="8" customFormat="1" x14ac:dyDescent="0.25">
      <c r="A63" s="72">
        <f t="shared" si="11"/>
        <v>32</v>
      </c>
      <c r="B63" s="69">
        <f>B65+$D$6</f>
        <v>1253</v>
      </c>
      <c r="C63" s="39"/>
      <c r="D63" s="61"/>
      <c r="E63" s="61"/>
      <c r="F63" s="61"/>
      <c r="G63" s="61"/>
      <c r="H63" s="61"/>
      <c r="I63" s="61"/>
      <c r="J63" s="61"/>
      <c r="K63" s="61"/>
      <c r="L63" s="61"/>
      <c r="M63" s="61"/>
      <c r="N63" s="61"/>
      <c r="O63" s="61"/>
      <c r="P63" s="61"/>
      <c r="Q63" s="61"/>
      <c r="R63" s="61"/>
      <c r="S63" s="61"/>
      <c r="T63" s="61"/>
      <c r="U63" s="61"/>
      <c r="V63" s="61"/>
      <c r="W63" s="61"/>
      <c r="X63" s="61"/>
      <c r="Y63" s="61"/>
      <c r="Z63" s="61"/>
      <c r="AA63" s="61"/>
      <c r="AB63" s="61"/>
      <c r="AC63" s="61"/>
      <c r="AD63" s="61"/>
      <c r="AE63" s="61"/>
      <c r="AF63" s="61"/>
      <c r="AG63" s="61"/>
      <c r="AH63" s="61"/>
      <c r="AI63" s="61" t="s">
        <v>488</v>
      </c>
      <c r="AJ63" s="61"/>
      <c r="AK63" s="61" t="s">
        <v>486</v>
      </c>
      <c r="AL63" s="61"/>
      <c r="AM63" s="61" t="s">
        <v>127</v>
      </c>
      <c r="AN63" s="61"/>
      <c r="AO63" s="61"/>
      <c r="AP63" s="61"/>
      <c r="AQ63" s="61"/>
      <c r="AR63" s="61"/>
      <c r="AS63" s="61"/>
      <c r="AT63" s="61"/>
      <c r="AU63" s="61"/>
      <c r="AV63" s="61"/>
      <c r="AW63" s="61" t="s">
        <v>122</v>
      </c>
      <c r="AX63" s="61"/>
      <c r="AY63" s="61" t="s">
        <v>1318</v>
      </c>
      <c r="AZ63" s="61"/>
      <c r="BA63" s="61"/>
      <c r="BB63" s="61"/>
      <c r="BC63" s="61"/>
      <c r="BD63" s="61"/>
      <c r="BE63" s="61"/>
      <c r="BF63" s="61"/>
      <c r="BG63" s="61" t="s">
        <v>78</v>
      </c>
      <c r="BH63" s="61"/>
      <c r="BI63" s="61" t="s">
        <v>89</v>
      </c>
      <c r="BJ63" s="61"/>
      <c r="BK63" s="61" t="s">
        <v>115</v>
      </c>
      <c r="BL63" s="61"/>
      <c r="BM63" s="61" t="s">
        <v>114</v>
      </c>
      <c r="BN63" s="61"/>
      <c r="BO63" s="61" t="s">
        <v>76</v>
      </c>
      <c r="BP63" s="61"/>
      <c r="BQ63" s="61"/>
      <c r="BR63" s="61"/>
      <c r="BS63" s="61"/>
      <c r="BT63" s="61"/>
      <c r="BU63" s="61"/>
      <c r="BV63" s="61"/>
      <c r="BW63" s="61"/>
      <c r="BX63" s="61"/>
      <c r="BY63" s="61"/>
      <c r="BZ63" s="61"/>
      <c r="CA63" s="61"/>
      <c r="CB63" s="61"/>
      <c r="CC63" s="61"/>
      <c r="CD63" s="61"/>
      <c r="CE63" s="61"/>
      <c r="CF63" s="61"/>
      <c r="CG63" s="61"/>
      <c r="CH63" s="61"/>
      <c r="CI63" s="61"/>
      <c r="CJ63" s="61"/>
      <c r="CK63" s="61"/>
      <c r="CL63" s="61"/>
      <c r="CM63" s="61"/>
      <c r="CN63" s="61"/>
      <c r="CO63" s="61"/>
      <c r="CP63" s="61"/>
      <c r="CQ63" s="61"/>
      <c r="CR63" s="61"/>
      <c r="CS63" s="61"/>
      <c r="CT63" s="61"/>
      <c r="CU63" s="61"/>
      <c r="CV63" s="61"/>
      <c r="CW63" s="61"/>
      <c r="CX63" s="61"/>
      <c r="CY63" s="35"/>
    </row>
    <row r="64" spans="1:103" s="8" customFormat="1" x14ac:dyDescent="0.25">
      <c r="A64" s="72"/>
      <c r="B64" s="70"/>
      <c r="C64" s="40"/>
      <c r="D64" s="62" t="str">
        <f>IF(D63="","",VLOOKUP(D63,'Tech Tree Node Parameters'!$A$3:$B$218,2,FALSE))</f>
        <v/>
      </c>
      <c r="E64" s="62" t="str">
        <f>IF(E63="","",VLOOKUP(E63,'Tech Tree Node Parameters'!$A$3:$B$218,2,FALSE))</f>
        <v/>
      </c>
      <c r="F64" s="62" t="str">
        <f>IF(F63="","",VLOOKUP(F63,'Tech Tree Node Parameters'!$A$3:$B$218,2,FALSE))</f>
        <v/>
      </c>
      <c r="G64" s="62" t="str">
        <f>IF(G63="","",VLOOKUP(G63,'Tech Tree Node Parameters'!$A$3:$B$218,2,FALSE))</f>
        <v/>
      </c>
      <c r="H64" s="62" t="str">
        <f>IF(H63="","",VLOOKUP(H63,'Tech Tree Node Parameters'!$A$3:$B$218,2,FALSE))</f>
        <v/>
      </c>
      <c r="I64" s="62" t="str">
        <f>IF(I63="","",VLOOKUP(I63,'Tech Tree Node Parameters'!$A$3:$B$218,2,FALSE))</f>
        <v/>
      </c>
      <c r="J64" s="62" t="str">
        <f>IF(J63="","",VLOOKUP(J63,'Tech Tree Node Parameters'!$A$3:$B$218,2,FALSE))</f>
        <v/>
      </c>
      <c r="K64" s="62" t="str">
        <f>IF(K63="","",VLOOKUP(K63,'Tech Tree Node Parameters'!$A$3:$B$218,2,FALSE))</f>
        <v/>
      </c>
      <c r="L64" s="62" t="str">
        <f>IF(L63="","",VLOOKUP(L63,'Tech Tree Node Parameters'!$A$3:$B$218,2,FALSE))</f>
        <v/>
      </c>
      <c r="M64" s="62" t="str">
        <f>IF(M63="","",VLOOKUP(M63,'Tech Tree Node Parameters'!$A$3:$B$218,2,FALSE))</f>
        <v/>
      </c>
      <c r="N64" s="62" t="str">
        <f>IF(N63="","",VLOOKUP(N63,'Tech Tree Node Parameters'!$A$3:$B$218,2,FALSE))</f>
        <v/>
      </c>
      <c r="O64" s="62" t="str">
        <f>IF(O63="","",VLOOKUP(O63,'Tech Tree Node Parameters'!$A$3:$B$218,2,FALSE))</f>
        <v/>
      </c>
      <c r="P64" s="62" t="str">
        <f>IF(P63="","",VLOOKUP(P63,'Tech Tree Node Parameters'!$A$3:$B$218,2,FALSE))</f>
        <v/>
      </c>
      <c r="Q64" s="62" t="str">
        <f>IF(Q63="","",VLOOKUP(Q63,'Tech Tree Node Parameters'!$A$3:$B$218,2,FALSE))</f>
        <v/>
      </c>
      <c r="R64" s="62" t="str">
        <f>IF(R63="","",VLOOKUP(R63,'Tech Tree Node Parameters'!$A$3:$B$218,2,FALSE))</f>
        <v/>
      </c>
      <c r="S64" s="62" t="str">
        <f>IF(S63="","",VLOOKUP(S63,'Tech Tree Node Parameters'!$A$3:$B$218,2,FALSE))</f>
        <v/>
      </c>
      <c r="T64" s="62" t="str">
        <f>IF(T63="","",VLOOKUP(T63,'Tech Tree Node Parameters'!$A$3:$B$218,2,FALSE))</f>
        <v/>
      </c>
      <c r="U64" s="62" t="str">
        <f>IF(U63="","",VLOOKUP(U63,'Tech Tree Node Parameters'!$A$3:$B$218,2,FALSE))</f>
        <v/>
      </c>
      <c r="V64" s="62" t="str">
        <f>IF(V63="","",VLOOKUP(V63,'Tech Tree Node Parameters'!$A$3:$B$218,2,FALSE))</f>
        <v/>
      </c>
      <c r="W64" s="62" t="str">
        <f>IF(W63="","",VLOOKUP(W63,'Tech Tree Node Parameters'!$A$3:$B$218,2,FALSE))</f>
        <v/>
      </c>
      <c r="X64" s="62" t="str">
        <f>IF(X63="","",VLOOKUP(X63,'Tech Tree Node Parameters'!$A$3:$B$218,2,FALSE))</f>
        <v/>
      </c>
      <c r="Y64" s="62" t="str">
        <f>IF(Y63="","",VLOOKUP(Y63,'Tech Tree Node Parameters'!$A$3:$B$218,2,FALSE))</f>
        <v/>
      </c>
      <c r="Z64" s="62" t="str">
        <f>IF(Z63="","",VLOOKUP(Z63,'Tech Tree Node Parameters'!$A$3:$B$218,2,FALSE))</f>
        <v/>
      </c>
      <c r="AA64" s="62" t="str">
        <f>IF(AA63="","",VLOOKUP(AA63,'Tech Tree Node Parameters'!$A$3:$B$218,2,FALSE))</f>
        <v/>
      </c>
      <c r="AB64" s="62" t="str">
        <f>IF(AB63="","",VLOOKUP(AB63,'Tech Tree Node Parameters'!$A$3:$B$218,2,FALSE))</f>
        <v/>
      </c>
      <c r="AC64" s="62" t="str">
        <f>IF(AC63="","",VLOOKUP(AC63,'Tech Tree Node Parameters'!$A$3:$B$218,2,FALSE))</f>
        <v/>
      </c>
      <c r="AD64" s="62" t="str">
        <f>IF(AD63="","",VLOOKUP(AD63,'Tech Tree Node Parameters'!$A$3:$B$218,2,FALSE))</f>
        <v/>
      </c>
      <c r="AE64" s="62" t="str">
        <f>IF(AE63="","",VLOOKUP(AE63,'Tech Tree Node Parameters'!$A$3:$B$218,2,FALSE))</f>
        <v/>
      </c>
      <c r="AF64" s="62" t="str">
        <f>IF(AF63="","",VLOOKUP(AF63,'Tech Tree Node Parameters'!$A$3:$B$218,2,FALSE))</f>
        <v/>
      </c>
      <c r="AG64" s="62" t="str">
        <f>IF(AG63="","",VLOOKUP(AG63,'Tech Tree Node Parameters'!$A$3:$B$218,2,FALSE))</f>
        <v/>
      </c>
      <c r="AH64" s="62" t="str">
        <f>IF(AH63="","",VLOOKUP(AH63,'Tech Tree Node Parameters'!$A$3:$B$218,2,FALSE))</f>
        <v/>
      </c>
      <c r="AI64" s="62" t="str">
        <f>IF(AI63="","",VLOOKUP(AI63,'Tech Tree Node Parameters'!$A$3:$B$218,2,FALSE))</f>
        <v>Experimental 1.25m Rocketry</v>
      </c>
      <c r="AJ64" s="62" t="str">
        <f>IF(AJ63="","",VLOOKUP(AJ63,'Tech Tree Node Parameters'!$A$3:$B$218,2,FALSE))</f>
        <v/>
      </c>
      <c r="AK64" s="62" t="str">
        <f>IF(AK63="","",VLOOKUP(AK63,'Tech Tree Node Parameters'!$A$3:$B$218,2,FALSE))</f>
        <v>Advanced 1.25m Rocketry</v>
      </c>
      <c r="AL64" s="62" t="str">
        <f>IF(AL63="","",VLOOKUP(AL63,'Tech Tree Node Parameters'!$A$3:$B$218,2,FALSE))</f>
        <v/>
      </c>
      <c r="AM64" s="62" t="str">
        <f>IF(AM63="","",VLOOKUP(AM63,'Tech Tree Node Parameters'!$A$3:$B$218,2,FALSE))</f>
        <v>1.25m Rocketry</v>
      </c>
      <c r="AN64" s="62" t="str">
        <f>IF(AN63="","",VLOOKUP(AN63,'Tech Tree Node Parameters'!$A$3:$B$218,2,FALSE))</f>
        <v/>
      </c>
      <c r="AO64" s="62" t="str">
        <f>IF(AO63="","",VLOOKUP(AO63,'Tech Tree Node Parameters'!$A$3:$B$218,2,FALSE))</f>
        <v/>
      </c>
      <c r="AP64" s="62" t="str">
        <f>IF(AP63="","",VLOOKUP(AP63,'Tech Tree Node Parameters'!$A$3:$B$218,2,FALSE))</f>
        <v/>
      </c>
      <c r="AQ64" s="62" t="str">
        <f>IF(AQ63="","",VLOOKUP(AQ63,'Tech Tree Node Parameters'!$A$3:$B$218,2,FALSE))</f>
        <v/>
      </c>
      <c r="AR64" s="62" t="str">
        <f>IF(AR63="","",VLOOKUP(AR63,'Tech Tree Node Parameters'!$A$3:$B$218,2,FALSE))</f>
        <v/>
      </c>
      <c r="AS64" s="62" t="str">
        <f>IF(AS63="","",VLOOKUP(AS63,'Tech Tree Node Parameters'!$A$3:$B$218,2,FALSE))</f>
        <v/>
      </c>
      <c r="AT64" s="62" t="str">
        <f>IF(AT63="","",VLOOKUP(AT63,'Tech Tree Node Parameters'!$A$3:$B$218,2,FALSE))</f>
        <v/>
      </c>
      <c r="AU64" s="62" t="str">
        <f>IF(AU63="","",VLOOKUP(AU63,'Tech Tree Node Parameters'!$A$3:$B$218,2,FALSE))</f>
        <v/>
      </c>
      <c r="AV64" s="62" t="str">
        <f>IF(AV63="","",VLOOKUP(AV63,'Tech Tree Node Parameters'!$A$3:$B$218,2,FALSE))</f>
        <v/>
      </c>
      <c r="AW64" s="62" t="s">
        <v>329</v>
      </c>
      <c r="AX64" s="62" t="str">
        <f>IF(AX63="","",VLOOKUP(AX63,'Tech Tree Node Parameters'!$A$3:$B$218,2,FALSE))</f>
        <v/>
      </c>
      <c r="AY64" s="62" t="str">
        <f>IF(AY63="","",VLOOKUP(AY63,'Tech Tree Node Parameters'!$A$3:$B$218,2,FALSE))</f>
        <v>Ablative Materials</v>
      </c>
      <c r="AZ64" s="62" t="str">
        <f>IF(AZ63="","",VLOOKUP(AZ63,'Tech Tree Node Parameters'!$A$3:$B$218,2,FALSE))</f>
        <v/>
      </c>
      <c r="BA64" s="62" t="str">
        <f>IF(BA63="","",VLOOKUP(BA63,'Tech Tree Node Parameters'!$A$3:$B$218,2,FALSE))</f>
        <v/>
      </c>
      <c r="BB64" s="62" t="str">
        <f>IF(BB63="","",VLOOKUP(BB63,'Tech Tree Node Parameters'!$A$3:$B$218,2,FALSE))</f>
        <v/>
      </c>
      <c r="BC64" s="62" t="str">
        <f>IF(BC63="","",VLOOKUP(BC63,'Tech Tree Node Parameters'!$A$3:$B$218,2,FALSE))</f>
        <v/>
      </c>
      <c r="BD64" s="62" t="str">
        <f>IF(BD63="","",VLOOKUP(BD63,'Tech Tree Node Parameters'!$A$3:$B$218,2,FALSE))</f>
        <v/>
      </c>
      <c r="BE64" s="62" t="str">
        <f>IF(BE63="","",VLOOKUP(BE63,'Tech Tree Node Parameters'!$A$3:$B$218,2,FALSE))</f>
        <v/>
      </c>
      <c r="BF64" s="62" t="str">
        <f>IF(BF63="","",VLOOKUP(BF63,'Tech Tree Node Parameters'!$A$3:$B$218,2,FALSE))</f>
        <v/>
      </c>
      <c r="BG64" s="62" t="str">
        <f>IF(BG63="","",VLOOKUP(BG63,'Tech Tree Node Parameters'!$A$3:$B$218,2,FALSE))</f>
        <v>Structural Engineering</v>
      </c>
      <c r="BH64" s="62" t="str">
        <f>IF(BH63="","",VLOOKUP(BH63,'Tech Tree Node Parameters'!$A$3:$B$218,2,FALSE))</f>
        <v/>
      </c>
      <c r="BI64" s="62" t="str">
        <f>IF(BI63="","",VLOOKUP(BI63,'Tech Tree Node Parameters'!$A$3:$B$218,2,FALSE))</f>
        <v>Specialized Construction</v>
      </c>
      <c r="BJ64" s="62" t="str">
        <f>IF(BJ63="","",VLOOKUP(BJ63,'Tech Tree Node Parameters'!$A$3:$B$218,2,FALSE))</f>
        <v/>
      </c>
      <c r="BK64" s="62" t="str">
        <f>IF(BK63="","",VLOOKUP(BK63,'Tech Tree Node Parameters'!$A$3:$B$218,2,FALSE))</f>
        <v>Advanced Metalworks</v>
      </c>
      <c r="BL64" s="62" t="str">
        <f>IF(BL63="","",VLOOKUP(BL63,'Tech Tree Node Parameters'!$A$3:$B$218,2,FALSE))</f>
        <v/>
      </c>
      <c r="BM64" s="62" t="s">
        <v>1347</v>
      </c>
      <c r="BN64" s="62" t="str">
        <f>IF(BN63="","",VLOOKUP(BN63,'Tech Tree Node Parameters'!$A$3:$B$218,2,FALSE))</f>
        <v/>
      </c>
      <c r="BO64" s="62" t="str">
        <f>IF(BO63="","",VLOOKUP(BO63,'Tech Tree Node Parameters'!$A$3:$B$218,2,FALSE))</f>
        <v>Exotic Alloys</v>
      </c>
      <c r="BP64" s="62" t="str">
        <f>IF(BP63="","",VLOOKUP(BP63,'Tech Tree Node Parameters'!$A$3:$B$218,2,FALSE))</f>
        <v/>
      </c>
      <c r="BQ64" s="62" t="str">
        <f>IF(BQ63="","",VLOOKUP(BQ63,'Tech Tree Node Parameters'!$A$3:$B$218,2,FALSE))</f>
        <v/>
      </c>
      <c r="BR64" s="62" t="str">
        <f>IF(BR63="","",VLOOKUP(BR63,'Tech Tree Node Parameters'!$A$3:$B$218,2,FALSE))</f>
        <v/>
      </c>
      <c r="BS64" s="62" t="str">
        <f>IF(BS63="","",VLOOKUP(BS63,'Tech Tree Node Parameters'!$A$3:$B$218,2,FALSE))</f>
        <v/>
      </c>
      <c r="BT64" s="62" t="str">
        <f>IF(BT63="","",VLOOKUP(BT63,'Tech Tree Node Parameters'!$A$3:$B$218,2,FALSE))</f>
        <v/>
      </c>
      <c r="BU64" s="62" t="str">
        <f>IF(BU63="","",VLOOKUP(BU63,'Tech Tree Node Parameters'!$A$3:$B$218,2,FALSE))</f>
        <v/>
      </c>
      <c r="BV64" s="62" t="str">
        <f>IF(BV63="","",VLOOKUP(BV63,'Tech Tree Node Parameters'!$A$3:$B$218,2,FALSE))</f>
        <v/>
      </c>
      <c r="BW64" s="62" t="str">
        <f>IF(BW63="","",VLOOKUP(BW63,'Tech Tree Node Parameters'!$A$3:$B$218,2,FALSE))</f>
        <v/>
      </c>
      <c r="BX64" s="62" t="str">
        <f>IF(BX63="","",VLOOKUP(BX63,'Tech Tree Node Parameters'!$A$3:$B$218,2,FALSE))</f>
        <v/>
      </c>
      <c r="BY64" s="62" t="str">
        <f>IF(BY63="","",VLOOKUP(BY63,'Tech Tree Node Parameters'!$A$3:$B$218,2,FALSE))</f>
        <v/>
      </c>
      <c r="BZ64" s="62" t="str">
        <f>IF(BZ63="","",VLOOKUP(BZ63,'Tech Tree Node Parameters'!$A$3:$B$218,2,FALSE))</f>
        <v/>
      </c>
      <c r="CA64" s="62" t="str">
        <f>IF(CA63="","",VLOOKUP(CA63,'Tech Tree Node Parameters'!$A$3:$B$218,2,FALSE))</f>
        <v/>
      </c>
      <c r="CB64" s="62" t="str">
        <f>IF(CB63="","",VLOOKUP(CB63,'Tech Tree Node Parameters'!$A$3:$B$218,2,FALSE))</f>
        <v/>
      </c>
      <c r="CC64" s="62" t="str">
        <f>IF(CC63="","",VLOOKUP(CC63,'Tech Tree Node Parameters'!$A$3:$B$218,2,FALSE))</f>
        <v/>
      </c>
      <c r="CD64" s="62" t="str">
        <f>IF(CD63="","",VLOOKUP(CD63,'Tech Tree Node Parameters'!$A$3:$B$218,2,FALSE))</f>
        <v/>
      </c>
      <c r="CE64" s="62" t="str">
        <f>IF(CE63="","",VLOOKUP(CE63,'Tech Tree Node Parameters'!$A$3:$B$218,2,FALSE))</f>
        <v/>
      </c>
      <c r="CF64" s="62" t="str">
        <f>IF(CF63="","",VLOOKUP(CF63,'Tech Tree Node Parameters'!$A$3:$B$218,2,FALSE))</f>
        <v/>
      </c>
      <c r="CG64" s="62" t="str">
        <f>IF(CG63="","",VLOOKUP(CG63,'Tech Tree Node Parameters'!$A$3:$B$218,2,FALSE))</f>
        <v/>
      </c>
      <c r="CH64" s="62" t="str">
        <f>IF(CH63="","",VLOOKUP(CH63,'Tech Tree Node Parameters'!$A$3:$B$218,2,FALSE))</f>
        <v/>
      </c>
      <c r="CI64" s="62" t="str">
        <f>IF(CI63="","",VLOOKUP(CI63,'Tech Tree Node Parameters'!$A$3:$B$218,2,FALSE))</f>
        <v/>
      </c>
      <c r="CJ64" s="62" t="str">
        <f>IF(CJ63="","",VLOOKUP(CJ63,'Tech Tree Node Parameters'!$A$3:$B$218,2,FALSE))</f>
        <v/>
      </c>
      <c r="CK64" s="62" t="str">
        <f>IF(CK63="","",VLOOKUP(CK63,'Tech Tree Node Parameters'!$A$3:$B$218,2,FALSE))</f>
        <v/>
      </c>
      <c r="CL64" s="62" t="str">
        <f>IF(CL63="","",VLOOKUP(CL63,'Tech Tree Node Parameters'!$A$3:$B$218,2,FALSE))</f>
        <v/>
      </c>
      <c r="CM64" s="62" t="str">
        <f>IF(CM63="","",VLOOKUP(CM63,'Tech Tree Node Parameters'!$A$3:$B$218,2,FALSE))</f>
        <v/>
      </c>
      <c r="CN64" s="62" t="str">
        <f>IF(CN63="","",VLOOKUP(CN63,'Tech Tree Node Parameters'!$A$3:$B$218,2,FALSE))</f>
        <v/>
      </c>
      <c r="CO64" s="62" t="str">
        <f>IF(CO63="","",VLOOKUP(CO63,'Tech Tree Node Parameters'!$A$3:$B$218,2,FALSE))</f>
        <v/>
      </c>
      <c r="CP64" s="62" t="str">
        <f>IF(CP63="","",VLOOKUP(CP63,'Tech Tree Node Parameters'!$A$3:$B$218,2,FALSE))</f>
        <v/>
      </c>
      <c r="CQ64" s="62" t="str">
        <f>IF(CQ63="","",VLOOKUP(CQ63,'Tech Tree Node Parameters'!$A$3:$B$218,2,FALSE))</f>
        <v/>
      </c>
      <c r="CR64" s="62" t="str">
        <f>IF(CR63="","",VLOOKUP(CR63,'Tech Tree Node Parameters'!$A$3:$B$218,2,FALSE))</f>
        <v/>
      </c>
      <c r="CS64" s="62" t="str">
        <f>IF(CS63="","",VLOOKUP(CS63,'Tech Tree Node Parameters'!$A$3:$B$218,2,FALSE))</f>
        <v/>
      </c>
      <c r="CT64" s="62" t="str">
        <f>IF(CT63="","",VLOOKUP(CT63,'Tech Tree Node Parameters'!$A$3:$B$218,2,FALSE))</f>
        <v/>
      </c>
      <c r="CU64" s="62" t="str">
        <f>IF(CU63="","",VLOOKUP(CU63,'Tech Tree Node Parameters'!$A$3:$B$218,2,FALSE))</f>
        <v/>
      </c>
      <c r="CV64" s="62" t="str">
        <f>IF(CV63="","",VLOOKUP(CV63,'Tech Tree Node Parameters'!$A$3:$B$218,2,FALSE))</f>
        <v/>
      </c>
      <c r="CW64" s="62" t="str">
        <f>IF(CW63="","",VLOOKUP(CW63,'Tech Tree Node Parameters'!$A$3:$B$218,2,FALSE))</f>
        <v/>
      </c>
      <c r="CX64" s="62" t="str">
        <f>IF(CX63="","",VLOOKUP(CX63,'Tech Tree Node Parameters'!$A$3:$B$218,2,FALSE))</f>
        <v/>
      </c>
      <c r="CY64" s="36" t="str">
        <f>IF(CY63="","",VLOOKUP(CY63,'Tech Tree Node Parameters'!$A$3:$B$218,2,FALSE))</f>
        <v/>
      </c>
    </row>
    <row r="65" spans="1:103" x14ac:dyDescent="0.25">
      <c r="A65" s="72">
        <f t="shared" si="11"/>
        <v>31</v>
      </c>
      <c r="B65" s="69">
        <f>B67+$D$6</f>
        <v>1215</v>
      </c>
      <c r="C65" s="39"/>
      <c r="D65" s="61"/>
      <c r="E65" s="61"/>
      <c r="F65" s="61"/>
      <c r="G65" s="61"/>
      <c r="H65" s="61"/>
      <c r="I65" s="61"/>
      <c r="J65" s="61"/>
      <c r="K65" s="61"/>
      <c r="L65" s="61"/>
      <c r="M65" s="61"/>
      <c r="N65" s="61"/>
      <c r="O65" s="61"/>
      <c r="P65" s="61"/>
      <c r="Q65" s="61"/>
      <c r="R65" s="61"/>
      <c r="S65" s="61"/>
      <c r="T65" s="61"/>
      <c r="U65" s="61"/>
      <c r="V65" s="61"/>
      <c r="W65" s="61"/>
      <c r="X65" s="61"/>
      <c r="Y65" s="61"/>
      <c r="Z65" s="61"/>
      <c r="AA65" s="61"/>
      <c r="AB65" s="61"/>
      <c r="AC65" s="61"/>
      <c r="AD65" s="61"/>
      <c r="AE65" s="61"/>
      <c r="AF65" s="61"/>
      <c r="AG65" s="61"/>
      <c r="AH65" s="61"/>
      <c r="AI65" s="61"/>
      <c r="AJ65" s="61"/>
      <c r="AK65" s="61"/>
      <c r="AL65" s="61"/>
      <c r="AM65" s="61"/>
      <c r="AN65" s="61"/>
      <c r="AO65" s="61"/>
      <c r="AP65" s="61"/>
      <c r="AQ65" s="61"/>
      <c r="AR65" s="61"/>
      <c r="AS65" s="61"/>
      <c r="AT65" s="61"/>
      <c r="AU65" s="61"/>
      <c r="AV65" s="61"/>
      <c r="AW65" s="61"/>
      <c r="AX65" s="61"/>
      <c r="AY65" s="61"/>
      <c r="AZ65" s="61"/>
      <c r="BA65" s="61"/>
      <c r="BB65" s="61"/>
      <c r="BC65" s="61"/>
      <c r="BD65" s="61"/>
      <c r="BE65" s="61"/>
      <c r="BF65" s="61"/>
      <c r="BG65" s="61"/>
      <c r="BH65" s="61"/>
      <c r="BI65" s="61"/>
      <c r="BJ65" s="61"/>
      <c r="BK65" s="61"/>
      <c r="BL65" s="61"/>
      <c r="BM65" s="61"/>
      <c r="BN65" s="61"/>
      <c r="BO65" s="61"/>
      <c r="BP65" s="61"/>
      <c r="BQ65" s="61"/>
      <c r="BR65" s="61"/>
      <c r="BS65" s="61"/>
      <c r="BT65" s="61"/>
      <c r="BU65" s="61"/>
      <c r="BV65" s="61"/>
      <c r="BW65" s="61"/>
      <c r="BX65" s="61"/>
      <c r="BY65" s="61"/>
      <c r="BZ65" s="61"/>
      <c r="CA65" s="61"/>
      <c r="CB65" s="61"/>
      <c r="CC65" s="61"/>
      <c r="CD65" s="61"/>
      <c r="CE65" s="61"/>
      <c r="CF65" s="61"/>
      <c r="CG65" s="61"/>
      <c r="CH65" s="61"/>
      <c r="CI65" s="61"/>
      <c r="CJ65" s="61"/>
      <c r="CK65" s="61"/>
      <c r="CL65" s="61"/>
      <c r="CM65" s="61"/>
      <c r="CN65" s="61"/>
      <c r="CO65" s="61"/>
      <c r="CP65" s="61"/>
      <c r="CQ65" s="61"/>
      <c r="CR65" s="61"/>
      <c r="CS65" s="61"/>
      <c r="CT65" s="61"/>
      <c r="CU65" s="61"/>
      <c r="CV65" s="61"/>
      <c r="CW65" s="61"/>
      <c r="CX65" s="61"/>
      <c r="CY65" s="35"/>
    </row>
    <row r="66" spans="1:103" x14ac:dyDescent="0.25">
      <c r="A66" s="72"/>
      <c r="B66" s="70"/>
      <c r="C66" s="40"/>
      <c r="D66" s="62" t="str">
        <f>IF(D65="","",VLOOKUP(D65,'Tech Tree Node Parameters'!$A$3:$B$218,2,FALSE))</f>
        <v/>
      </c>
      <c r="E66" s="62" t="str">
        <f>IF(E65="","",VLOOKUP(E65,'Tech Tree Node Parameters'!$A$3:$B$218,2,FALSE))</f>
        <v/>
      </c>
      <c r="F66" s="62" t="str">
        <f>IF(F65="","",VLOOKUP(F65,'Tech Tree Node Parameters'!$A$3:$B$218,2,FALSE))</f>
        <v/>
      </c>
      <c r="G66" s="62" t="str">
        <f>IF(G65="","",VLOOKUP(G65,'Tech Tree Node Parameters'!$A$3:$B$218,2,FALSE))</f>
        <v/>
      </c>
      <c r="H66" s="62" t="str">
        <f>IF(H65="","",VLOOKUP(H65,'Tech Tree Node Parameters'!$A$3:$B$218,2,FALSE))</f>
        <v/>
      </c>
      <c r="I66" s="62" t="str">
        <f>IF(I65="","",VLOOKUP(I65,'Tech Tree Node Parameters'!$A$3:$B$218,2,FALSE))</f>
        <v/>
      </c>
      <c r="J66" s="62" t="str">
        <f>IF(J65="","",VLOOKUP(J65,'Tech Tree Node Parameters'!$A$3:$B$218,2,FALSE))</f>
        <v/>
      </c>
      <c r="K66" s="62" t="str">
        <f>IF(K65="","",VLOOKUP(K65,'Tech Tree Node Parameters'!$A$3:$B$218,2,FALSE))</f>
        <v/>
      </c>
      <c r="L66" s="62" t="str">
        <f>IF(L65="","",VLOOKUP(L65,'Tech Tree Node Parameters'!$A$3:$B$218,2,FALSE))</f>
        <v/>
      </c>
      <c r="M66" s="62" t="str">
        <f>IF(M65="","",VLOOKUP(M65,'Tech Tree Node Parameters'!$A$3:$B$218,2,FALSE))</f>
        <v/>
      </c>
      <c r="N66" s="62" t="str">
        <f>IF(N65="","",VLOOKUP(N65,'Tech Tree Node Parameters'!$A$3:$B$218,2,FALSE))</f>
        <v/>
      </c>
      <c r="O66" s="62" t="str">
        <f>IF(O65="","",VLOOKUP(O65,'Tech Tree Node Parameters'!$A$3:$B$218,2,FALSE))</f>
        <v/>
      </c>
      <c r="P66" s="62" t="str">
        <f>IF(P65="","",VLOOKUP(P65,'Tech Tree Node Parameters'!$A$3:$B$218,2,FALSE))</f>
        <v/>
      </c>
      <c r="Q66" s="62" t="str">
        <f>IF(Q65="","",VLOOKUP(Q65,'Tech Tree Node Parameters'!$A$3:$B$218,2,FALSE))</f>
        <v/>
      </c>
      <c r="R66" s="62" t="str">
        <f>IF(R65="","",VLOOKUP(R65,'Tech Tree Node Parameters'!$A$3:$B$218,2,FALSE))</f>
        <v/>
      </c>
      <c r="S66" s="62" t="str">
        <f>IF(S65="","",VLOOKUP(S65,'Tech Tree Node Parameters'!$A$3:$B$218,2,FALSE))</f>
        <v/>
      </c>
      <c r="T66" s="62" t="str">
        <f>IF(T65="","",VLOOKUP(T65,'Tech Tree Node Parameters'!$A$3:$B$218,2,FALSE))</f>
        <v/>
      </c>
      <c r="U66" s="62" t="str">
        <f>IF(U65="","",VLOOKUP(U65,'Tech Tree Node Parameters'!$A$3:$B$218,2,FALSE))</f>
        <v/>
      </c>
      <c r="V66" s="62" t="str">
        <f>IF(V65="","",VLOOKUP(V65,'Tech Tree Node Parameters'!$A$3:$B$218,2,FALSE))</f>
        <v/>
      </c>
      <c r="W66" s="62" t="str">
        <f>IF(W65="","",VLOOKUP(W65,'Tech Tree Node Parameters'!$A$3:$B$218,2,FALSE))</f>
        <v/>
      </c>
      <c r="X66" s="62" t="str">
        <f>IF(X65="","",VLOOKUP(X65,'Tech Tree Node Parameters'!$A$3:$B$218,2,FALSE))</f>
        <v/>
      </c>
      <c r="Y66" s="62" t="str">
        <f>IF(Y65="","",VLOOKUP(Y65,'Tech Tree Node Parameters'!$A$3:$B$218,2,FALSE))</f>
        <v/>
      </c>
      <c r="Z66" s="62" t="str">
        <f>IF(Z65="","",VLOOKUP(Z65,'Tech Tree Node Parameters'!$A$3:$B$218,2,FALSE))</f>
        <v/>
      </c>
      <c r="AA66" s="62" t="str">
        <f>IF(AA65="","",VLOOKUP(AA65,'Tech Tree Node Parameters'!$A$3:$B$218,2,FALSE))</f>
        <v/>
      </c>
      <c r="AB66" s="62" t="str">
        <f>IF(AB65="","",VLOOKUP(AB65,'Tech Tree Node Parameters'!$A$3:$B$218,2,FALSE))</f>
        <v/>
      </c>
      <c r="AC66" s="62" t="str">
        <f>IF(AC65="","",VLOOKUP(AC65,'Tech Tree Node Parameters'!$A$3:$B$218,2,FALSE))</f>
        <v/>
      </c>
      <c r="AD66" s="62" t="str">
        <f>IF(AD65="","",VLOOKUP(AD65,'Tech Tree Node Parameters'!$A$3:$B$218,2,FALSE))</f>
        <v/>
      </c>
      <c r="AE66" s="62" t="str">
        <f>IF(AE65="","",VLOOKUP(AE65,'Tech Tree Node Parameters'!$A$3:$B$218,2,FALSE))</f>
        <v/>
      </c>
      <c r="AF66" s="62" t="str">
        <f>IF(AF65="","",VLOOKUP(AF65,'Tech Tree Node Parameters'!$A$3:$B$218,2,FALSE))</f>
        <v/>
      </c>
      <c r="AG66" s="62" t="str">
        <f>IF(AG65="","",VLOOKUP(AG65,'Tech Tree Node Parameters'!$A$3:$B$218,2,FALSE))</f>
        <v/>
      </c>
      <c r="AH66" s="62" t="str">
        <f>IF(AH65="","",VLOOKUP(AH65,'Tech Tree Node Parameters'!$A$3:$B$218,2,FALSE))</f>
        <v/>
      </c>
      <c r="AI66" s="62" t="str">
        <f>IF(AI65="","",VLOOKUP(AI65,'Tech Tree Node Parameters'!$A$3:$B$218,2,FALSE))</f>
        <v/>
      </c>
      <c r="AJ66" s="62" t="str">
        <f>IF(AJ65="","",VLOOKUP(AJ65,'Tech Tree Node Parameters'!$A$3:$B$218,2,FALSE))</f>
        <v/>
      </c>
      <c r="AK66" s="62" t="str">
        <f>IF(AK65="","",VLOOKUP(AK65,'Tech Tree Node Parameters'!$A$3:$B$218,2,FALSE))</f>
        <v/>
      </c>
      <c r="AL66" s="62" t="str">
        <f>IF(AL65="","",VLOOKUP(AL65,'Tech Tree Node Parameters'!$A$3:$B$218,2,FALSE))</f>
        <v/>
      </c>
      <c r="AM66" s="62" t="str">
        <f>IF(AM65="","",VLOOKUP(AM65,'Tech Tree Node Parameters'!$A$3:$B$218,2,FALSE))</f>
        <v/>
      </c>
      <c r="AN66" s="62" t="str">
        <f>IF(AN65="","",VLOOKUP(AN65,'Tech Tree Node Parameters'!$A$3:$B$218,2,FALSE))</f>
        <v/>
      </c>
      <c r="AO66" s="62" t="str">
        <f>IF(AO65="","",VLOOKUP(AO65,'Tech Tree Node Parameters'!$A$3:$B$218,2,FALSE))</f>
        <v/>
      </c>
      <c r="AP66" s="62" t="str">
        <f>IF(AP65="","",VLOOKUP(AP65,'Tech Tree Node Parameters'!$A$3:$B$218,2,FALSE))</f>
        <v/>
      </c>
      <c r="AQ66" s="62" t="str">
        <f>IF(AQ65="","",VLOOKUP(AQ65,'Tech Tree Node Parameters'!$A$3:$B$218,2,FALSE))</f>
        <v/>
      </c>
      <c r="AR66" s="62" t="str">
        <f>IF(AR65="","",VLOOKUP(AR65,'Tech Tree Node Parameters'!$A$3:$B$218,2,FALSE))</f>
        <v/>
      </c>
      <c r="AS66" s="62" t="str">
        <f>IF(AS65="","",VLOOKUP(AS65,'Tech Tree Node Parameters'!$A$3:$B$218,2,FALSE))</f>
        <v/>
      </c>
      <c r="AT66" s="62" t="str">
        <f>IF(AT65="","",VLOOKUP(AT65,'Tech Tree Node Parameters'!$A$3:$B$218,2,FALSE))</f>
        <v/>
      </c>
      <c r="AU66" s="62" t="str">
        <f>IF(AU65="","",VLOOKUP(AU65,'Tech Tree Node Parameters'!$A$3:$B$218,2,FALSE))</f>
        <v/>
      </c>
      <c r="AV66" s="62" t="str">
        <f>IF(AV65="","",VLOOKUP(AV65,'Tech Tree Node Parameters'!$A$3:$B$218,2,FALSE))</f>
        <v/>
      </c>
      <c r="AW66" s="62" t="str">
        <f>IF(AW65="","",VLOOKUP(AW65,'Tech Tree Node Parameters'!$A$3:$B$218,2,FALSE))</f>
        <v/>
      </c>
      <c r="AX66" s="62" t="str">
        <f>IF(AX65="","",VLOOKUP(AX65,'Tech Tree Node Parameters'!$A$3:$B$218,2,FALSE))</f>
        <v/>
      </c>
      <c r="AY66" s="62" t="str">
        <f>IF(AY65="","",VLOOKUP(AY65,'Tech Tree Node Parameters'!$A$3:$B$218,2,FALSE))</f>
        <v/>
      </c>
      <c r="AZ66" s="62" t="str">
        <f>IF(AZ65="","",VLOOKUP(AZ65,'Tech Tree Node Parameters'!$A$3:$B$218,2,FALSE))</f>
        <v/>
      </c>
      <c r="BA66" s="62" t="str">
        <f>IF(BA65="","",VLOOKUP(BA65,'Tech Tree Node Parameters'!$A$3:$B$218,2,FALSE))</f>
        <v/>
      </c>
      <c r="BB66" s="62" t="str">
        <f>IF(BB65="","",VLOOKUP(BB65,'Tech Tree Node Parameters'!$A$3:$B$218,2,FALSE))</f>
        <v/>
      </c>
      <c r="BC66" s="62" t="str">
        <f>IF(BC65="","",VLOOKUP(BC65,'Tech Tree Node Parameters'!$A$3:$B$218,2,FALSE))</f>
        <v/>
      </c>
      <c r="BD66" s="62" t="str">
        <f>IF(BD65="","",VLOOKUP(BD65,'Tech Tree Node Parameters'!$A$3:$B$218,2,FALSE))</f>
        <v/>
      </c>
      <c r="BE66" s="62" t="str">
        <f>IF(BE65="","",VLOOKUP(BE65,'Tech Tree Node Parameters'!$A$3:$B$218,2,FALSE))</f>
        <v/>
      </c>
      <c r="BF66" s="62" t="str">
        <f>IF(BF65="","",VLOOKUP(BF65,'Tech Tree Node Parameters'!$A$3:$B$218,2,FALSE))</f>
        <v/>
      </c>
      <c r="BG66" s="62" t="str">
        <f>IF(BG65="","",VLOOKUP(BG65,'Tech Tree Node Parameters'!$A$3:$B$218,2,FALSE))</f>
        <v/>
      </c>
      <c r="BH66" s="62" t="str">
        <f>IF(BH65="","",VLOOKUP(BH65,'Tech Tree Node Parameters'!$A$3:$B$218,2,FALSE))</f>
        <v/>
      </c>
      <c r="BI66" s="62" t="str">
        <f>IF(BI65="","",VLOOKUP(BI65,'Tech Tree Node Parameters'!$A$3:$B$218,2,FALSE))</f>
        <v/>
      </c>
      <c r="BJ66" s="62" t="str">
        <f>IF(BJ65="","",VLOOKUP(BJ65,'Tech Tree Node Parameters'!$A$3:$B$218,2,FALSE))</f>
        <v/>
      </c>
      <c r="BK66" s="62" t="str">
        <f>IF(BK65="","",VLOOKUP(BK65,'Tech Tree Node Parameters'!$A$3:$B$218,2,FALSE))</f>
        <v/>
      </c>
      <c r="BL66" s="62" t="str">
        <f>IF(BL65="","",VLOOKUP(BL65,'Tech Tree Node Parameters'!$A$3:$B$218,2,FALSE))</f>
        <v/>
      </c>
      <c r="BM66" s="62" t="str">
        <f>IF(BM65="","",VLOOKUP(BM65,'Tech Tree Node Parameters'!$A$3:$B$218,2,FALSE))</f>
        <v/>
      </c>
      <c r="BN66" s="62" t="str">
        <f>IF(BN65="","",VLOOKUP(BN65,'Tech Tree Node Parameters'!$A$3:$B$218,2,FALSE))</f>
        <v/>
      </c>
      <c r="BO66" s="62" t="str">
        <f>IF(BO65="","",VLOOKUP(BO65,'Tech Tree Node Parameters'!$A$3:$B$218,2,FALSE))</f>
        <v/>
      </c>
      <c r="BP66" s="62" t="str">
        <f>IF(BP65="","",VLOOKUP(BP65,'Tech Tree Node Parameters'!$A$3:$B$218,2,FALSE))</f>
        <v/>
      </c>
      <c r="BQ66" s="62" t="str">
        <f>IF(BQ65="","",VLOOKUP(BQ65,'Tech Tree Node Parameters'!$A$3:$B$218,2,FALSE))</f>
        <v/>
      </c>
      <c r="BR66" s="62" t="str">
        <f>IF(BR65="","",VLOOKUP(BR65,'Tech Tree Node Parameters'!$A$3:$B$218,2,FALSE))</f>
        <v/>
      </c>
      <c r="BS66" s="62" t="str">
        <f>IF(BS65="","",VLOOKUP(BS65,'Tech Tree Node Parameters'!$A$3:$B$218,2,FALSE))</f>
        <v/>
      </c>
      <c r="BT66" s="62" t="str">
        <f>IF(BT65="","",VLOOKUP(BT65,'Tech Tree Node Parameters'!$A$3:$B$218,2,FALSE))</f>
        <v/>
      </c>
      <c r="BU66" s="62" t="str">
        <f>IF(BU65="","",VLOOKUP(BU65,'Tech Tree Node Parameters'!$A$3:$B$218,2,FALSE))</f>
        <v/>
      </c>
      <c r="BV66" s="62" t="str">
        <f>IF(BV65="","",VLOOKUP(BV65,'Tech Tree Node Parameters'!$A$3:$B$218,2,FALSE))</f>
        <v/>
      </c>
      <c r="BW66" s="62" t="str">
        <f>IF(BW65="","",VLOOKUP(BW65,'Tech Tree Node Parameters'!$A$3:$B$218,2,FALSE))</f>
        <v/>
      </c>
      <c r="BX66" s="62" t="str">
        <f>IF(BX65="","",VLOOKUP(BX65,'Tech Tree Node Parameters'!$A$3:$B$218,2,FALSE))</f>
        <v/>
      </c>
      <c r="BY66" s="62" t="str">
        <f>IF(BY65="","",VLOOKUP(BY65,'Tech Tree Node Parameters'!$A$3:$B$218,2,FALSE))</f>
        <v/>
      </c>
      <c r="BZ66" s="62" t="str">
        <f>IF(BZ65="","",VLOOKUP(BZ65,'Tech Tree Node Parameters'!$A$3:$B$218,2,FALSE))</f>
        <v/>
      </c>
      <c r="CA66" s="62" t="str">
        <f>IF(CA65="","",VLOOKUP(CA65,'Tech Tree Node Parameters'!$A$3:$B$218,2,FALSE))</f>
        <v/>
      </c>
      <c r="CB66" s="62" t="str">
        <f>IF(CB65="","",VLOOKUP(CB65,'Tech Tree Node Parameters'!$A$3:$B$218,2,FALSE))</f>
        <v/>
      </c>
      <c r="CC66" s="62" t="str">
        <f>IF(CC65="","",VLOOKUP(CC65,'Tech Tree Node Parameters'!$A$3:$B$218,2,FALSE))</f>
        <v/>
      </c>
      <c r="CD66" s="62" t="str">
        <f>IF(CD65="","",VLOOKUP(CD65,'Tech Tree Node Parameters'!$A$3:$B$218,2,FALSE))</f>
        <v/>
      </c>
      <c r="CE66" s="62" t="str">
        <f>IF(CE65="","",VLOOKUP(CE65,'Tech Tree Node Parameters'!$A$3:$B$218,2,FALSE))</f>
        <v/>
      </c>
      <c r="CF66" s="62" t="str">
        <f>IF(CF65="","",VLOOKUP(CF65,'Tech Tree Node Parameters'!$A$3:$B$218,2,FALSE))</f>
        <v/>
      </c>
      <c r="CG66" s="62" t="str">
        <f>IF(CG65="","",VLOOKUP(CG65,'Tech Tree Node Parameters'!$A$3:$B$218,2,FALSE))</f>
        <v/>
      </c>
      <c r="CH66" s="62" t="str">
        <f>IF(CH65="","",VLOOKUP(CH65,'Tech Tree Node Parameters'!$A$3:$B$218,2,FALSE))</f>
        <v/>
      </c>
      <c r="CI66" s="62" t="str">
        <f>IF(CI65="","",VLOOKUP(CI65,'Tech Tree Node Parameters'!$A$3:$B$218,2,FALSE))</f>
        <v/>
      </c>
      <c r="CJ66" s="62" t="str">
        <f>IF(CJ65="","",VLOOKUP(CJ65,'Tech Tree Node Parameters'!$A$3:$B$218,2,FALSE))</f>
        <v/>
      </c>
      <c r="CK66" s="62" t="str">
        <f>IF(CK65="","",VLOOKUP(CK65,'Tech Tree Node Parameters'!$A$3:$B$218,2,FALSE))</f>
        <v/>
      </c>
      <c r="CL66" s="62" t="str">
        <f>IF(CL65="","",VLOOKUP(CL65,'Tech Tree Node Parameters'!$A$3:$B$218,2,FALSE))</f>
        <v/>
      </c>
      <c r="CM66" s="62" t="str">
        <f>IF(CM65="","",VLOOKUP(CM65,'Tech Tree Node Parameters'!$A$3:$B$218,2,FALSE))</f>
        <v/>
      </c>
      <c r="CN66" s="62" t="str">
        <f>IF(CN65="","",VLOOKUP(CN65,'Tech Tree Node Parameters'!$A$3:$B$218,2,FALSE))</f>
        <v/>
      </c>
      <c r="CO66" s="62" t="str">
        <f>IF(CO65="","",VLOOKUP(CO65,'Tech Tree Node Parameters'!$A$3:$B$218,2,FALSE))</f>
        <v/>
      </c>
      <c r="CP66" s="62" t="str">
        <f>IF(CP65="","",VLOOKUP(CP65,'Tech Tree Node Parameters'!$A$3:$B$218,2,FALSE))</f>
        <v/>
      </c>
      <c r="CQ66" s="62" t="str">
        <f>IF(CQ65="","",VLOOKUP(CQ65,'Tech Tree Node Parameters'!$A$3:$B$218,2,FALSE))</f>
        <v/>
      </c>
      <c r="CR66" s="62" t="str">
        <f>IF(CR65="","",VLOOKUP(CR65,'Tech Tree Node Parameters'!$A$3:$B$218,2,FALSE))</f>
        <v/>
      </c>
      <c r="CS66" s="62" t="str">
        <f>IF(CS65="","",VLOOKUP(CS65,'Tech Tree Node Parameters'!$A$3:$B$218,2,FALSE))</f>
        <v/>
      </c>
      <c r="CT66" s="62" t="str">
        <f>IF(CT65="","",VLOOKUP(CT65,'Tech Tree Node Parameters'!$A$3:$B$218,2,FALSE))</f>
        <v/>
      </c>
      <c r="CU66" s="62" t="str">
        <f>IF(CU65="","",VLOOKUP(CU65,'Tech Tree Node Parameters'!$A$3:$B$218,2,FALSE))</f>
        <v/>
      </c>
      <c r="CV66" s="62" t="str">
        <f>IF(CV65="","",VLOOKUP(CV65,'Tech Tree Node Parameters'!$A$3:$B$218,2,FALSE))</f>
        <v/>
      </c>
      <c r="CW66" s="62" t="str">
        <f>IF(CW65="","",VLOOKUP(CW65,'Tech Tree Node Parameters'!$A$3:$B$218,2,FALSE))</f>
        <v/>
      </c>
      <c r="CX66" s="62" t="str">
        <f>IF(CX65="","",VLOOKUP(CX65,'Tech Tree Node Parameters'!$A$3:$B$218,2,FALSE))</f>
        <v/>
      </c>
      <c r="CY66" s="36" t="str">
        <f>IF(CY65="","",VLOOKUP(CY65,'Tech Tree Node Parameters'!$A$3:$B$218,2,FALSE))</f>
        <v/>
      </c>
    </row>
    <row r="67" spans="1:103" x14ac:dyDescent="0.25">
      <c r="A67" s="72">
        <f t="shared" ref="A67" si="12">A69+1</f>
        <v>30</v>
      </c>
      <c r="B67" s="69">
        <f>B69+$D$6</f>
        <v>1177</v>
      </c>
      <c r="C67" s="39"/>
      <c r="D67" s="61"/>
      <c r="E67" s="61"/>
      <c r="F67" s="61"/>
      <c r="G67" s="61"/>
      <c r="H67" s="61"/>
      <c r="I67" s="61"/>
      <c r="J67" s="61"/>
      <c r="K67" s="61"/>
      <c r="L67" s="61"/>
      <c r="M67" s="61"/>
      <c r="N67" s="61"/>
      <c r="O67" s="61"/>
      <c r="P67" s="61"/>
      <c r="Q67" s="61"/>
      <c r="R67" s="61"/>
      <c r="S67" s="61"/>
      <c r="T67" s="61"/>
      <c r="U67" s="61"/>
      <c r="V67" s="61"/>
      <c r="W67" s="61"/>
      <c r="X67" s="61"/>
      <c r="Y67" s="61"/>
      <c r="Z67" s="61"/>
      <c r="AA67" s="61"/>
      <c r="AB67" s="61"/>
      <c r="AC67" s="61"/>
      <c r="AD67" s="61"/>
      <c r="AE67" s="61"/>
      <c r="AF67" s="61"/>
      <c r="AG67" s="61"/>
      <c r="AH67" s="61"/>
      <c r="AI67" s="61"/>
      <c r="AJ67" s="61"/>
      <c r="AK67" s="61" t="s">
        <v>487</v>
      </c>
      <c r="AL67" s="61"/>
      <c r="AM67" s="61" t="s">
        <v>165</v>
      </c>
      <c r="AN67" s="61"/>
      <c r="AO67" s="61" t="s">
        <v>99</v>
      </c>
      <c r="AP67" s="61"/>
      <c r="AQ67" s="61"/>
      <c r="AR67" s="61"/>
      <c r="AS67" s="61"/>
      <c r="AT67" s="61"/>
      <c r="AU67" s="61"/>
      <c r="AV67" s="61"/>
      <c r="AW67" s="61" t="s">
        <v>87</v>
      </c>
      <c r="AX67" s="61"/>
      <c r="AY67" s="61" t="s">
        <v>526</v>
      </c>
      <c r="AZ67" s="61"/>
      <c r="BA67" s="61"/>
      <c r="BB67" s="61"/>
      <c r="BC67" s="61"/>
      <c r="BD67" s="61"/>
      <c r="BE67" s="61"/>
      <c r="BF67" s="61"/>
      <c r="BG67" s="61"/>
      <c r="BH67" s="61"/>
      <c r="BI67" s="61"/>
      <c r="BJ67" s="61"/>
      <c r="BK67" s="61"/>
      <c r="BL67" s="61"/>
      <c r="BM67" s="61" t="s">
        <v>97</v>
      </c>
      <c r="BN67" s="61"/>
      <c r="BO67" s="61" t="s">
        <v>118</v>
      </c>
      <c r="BP67" s="61"/>
      <c r="BQ67" s="61"/>
      <c r="BR67" s="61"/>
      <c r="BS67" s="61"/>
      <c r="BT67" s="61"/>
      <c r="BU67" s="61"/>
      <c r="BV67" s="61"/>
      <c r="BW67" s="61"/>
      <c r="BX67" s="61"/>
      <c r="BY67" s="61"/>
      <c r="BZ67" s="61"/>
      <c r="CA67" s="61"/>
      <c r="CB67" s="61"/>
      <c r="CC67" s="61"/>
      <c r="CD67" s="61"/>
      <c r="CE67" s="61"/>
      <c r="CF67" s="61"/>
      <c r="CG67" s="61"/>
      <c r="CH67" s="61"/>
      <c r="CI67" s="61"/>
      <c r="CJ67" s="61"/>
      <c r="CK67" s="61"/>
      <c r="CL67" s="61"/>
      <c r="CM67" s="61"/>
      <c r="CN67" s="61"/>
      <c r="CO67" s="61"/>
      <c r="CP67" s="61"/>
      <c r="CQ67" s="61"/>
      <c r="CR67" s="61"/>
      <c r="CS67" s="61"/>
      <c r="CT67" s="61"/>
      <c r="CU67" s="61"/>
      <c r="CV67" s="61"/>
      <c r="CW67" s="61"/>
      <c r="CX67" s="61"/>
      <c r="CY67" s="35"/>
    </row>
    <row r="68" spans="1:103" x14ac:dyDescent="0.25">
      <c r="A68" s="72"/>
      <c r="B68" s="70"/>
      <c r="C68" s="40"/>
      <c r="D68" s="62" t="str">
        <f>IF(D67="","",VLOOKUP(D67,'Tech Tree Node Parameters'!$A$3:$B$218,2,FALSE))</f>
        <v/>
      </c>
      <c r="E68" s="62" t="str">
        <f>IF(E67="","",VLOOKUP(E67,'Tech Tree Node Parameters'!$A$3:$B$218,2,FALSE))</f>
        <v/>
      </c>
      <c r="F68" s="62" t="str">
        <f>IF(F67="","",VLOOKUP(F67,'Tech Tree Node Parameters'!$A$3:$B$218,2,FALSE))</f>
        <v/>
      </c>
      <c r="G68" s="62" t="str">
        <f>IF(G67="","",VLOOKUP(G67,'Tech Tree Node Parameters'!$A$3:$B$218,2,FALSE))</f>
        <v/>
      </c>
      <c r="H68" s="62" t="str">
        <f>IF(H67="","",VLOOKUP(H67,'Tech Tree Node Parameters'!$A$3:$B$218,2,FALSE))</f>
        <v/>
      </c>
      <c r="I68" s="62" t="str">
        <f>IF(I67="","",VLOOKUP(I67,'Tech Tree Node Parameters'!$A$3:$B$218,2,FALSE))</f>
        <v/>
      </c>
      <c r="J68" s="62" t="str">
        <f>IF(J67="","",VLOOKUP(J67,'Tech Tree Node Parameters'!$A$3:$B$218,2,FALSE))</f>
        <v/>
      </c>
      <c r="K68" s="62" t="str">
        <f>IF(K67="","",VLOOKUP(K67,'Tech Tree Node Parameters'!$A$3:$B$218,2,FALSE))</f>
        <v/>
      </c>
      <c r="L68" s="62" t="str">
        <f>IF(L67="","",VLOOKUP(L67,'Tech Tree Node Parameters'!$A$3:$B$218,2,FALSE))</f>
        <v/>
      </c>
      <c r="M68" s="62" t="str">
        <f>IF(M67="","",VLOOKUP(M67,'Tech Tree Node Parameters'!$A$3:$B$218,2,FALSE))</f>
        <v/>
      </c>
      <c r="N68" s="62" t="str">
        <f>IF(N67="","",VLOOKUP(N67,'Tech Tree Node Parameters'!$A$3:$B$218,2,FALSE))</f>
        <v/>
      </c>
      <c r="O68" s="62" t="str">
        <f>IF(O67="","",VLOOKUP(O67,'Tech Tree Node Parameters'!$A$3:$B$218,2,FALSE))</f>
        <v/>
      </c>
      <c r="P68" s="62" t="str">
        <f>IF(P67="","",VLOOKUP(P67,'Tech Tree Node Parameters'!$A$3:$B$218,2,FALSE))</f>
        <v/>
      </c>
      <c r="Q68" s="62" t="str">
        <f>IF(Q67="","",VLOOKUP(Q67,'Tech Tree Node Parameters'!$A$3:$B$218,2,FALSE))</f>
        <v/>
      </c>
      <c r="R68" s="62" t="str">
        <f>IF(R67="","",VLOOKUP(R67,'Tech Tree Node Parameters'!$A$3:$B$218,2,FALSE))</f>
        <v/>
      </c>
      <c r="S68" s="62" t="str">
        <f>IF(S67="","",VLOOKUP(S67,'Tech Tree Node Parameters'!$A$3:$B$218,2,FALSE))</f>
        <v/>
      </c>
      <c r="T68" s="62" t="str">
        <f>IF(T67="","",VLOOKUP(T67,'Tech Tree Node Parameters'!$A$3:$B$218,2,FALSE))</f>
        <v/>
      </c>
      <c r="U68" s="62" t="str">
        <f>IF(U67="","",VLOOKUP(U67,'Tech Tree Node Parameters'!$A$3:$B$218,2,FALSE))</f>
        <v/>
      </c>
      <c r="V68" s="62" t="str">
        <f>IF(V67="","",VLOOKUP(V67,'Tech Tree Node Parameters'!$A$3:$B$218,2,FALSE))</f>
        <v/>
      </c>
      <c r="W68" s="62" t="str">
        <f>IF(W67="","",VLOOKUP(W67,'Tech Tree Node Parameters'!$A$3:$B$218,2,FALSE))</f>
        <v/>
      </c>
      <c r="X68" s="62" t="str">
        <f>IF(X67="","",VLOOKUP(X67,'Tech Tree Node Parameters'!$A$3:$B$218,2,FALSE))</f>
        <v/>
      </c>
      <c r="Y68" s="62" t="str">
        <f>IF(Y67="","",VLOOKUP(Y67,'Tech Tree Node Parameters'!$A$3:$B$218,2,FALSE))</f>
        <v/>
      </c>
      <c r="Z68" s="62" t="str">
        <f>IF(Z67="","",VLOOKUP(Z67,'Tech Tree Node Parameters'!$A$3:$B$218,2,FALSE))</f>
        <v/>
      </c>
      <c r="AA68" s="62" t="str">
        <f>IF(AA67="","",VLOOKUP(AA67,'Tech Tree Node Parameters'!$A$3:$B$218,2,FALSE))</f>
        <v/>
      </c>
      <c r="AB68" s="62" t="str">
        <f>IF(AB67="","",VLOOKUP(AB67,'Tech Tree Node Parameters'!$A$3:$B$218,2,FALSE))</f>
        <v/>
      </c>
      <c r="AC68" s="62" t="str">
        <f>IF(AC67="","",VLOOKUP(AC67,'Tech Tree Node Parameters'!$A$3:$B$218,2,FALSE))</f>
        <v/>
      </c>
      <c r="AD68" s="62" t="str">
        <f>IF(AD67="","",VLOOKUP(AD67,'Tech Tree Node Parameters'!$A$3:$B$218,2,FALSE))</f>
        <v/>
      </c>
      <c r="AE68" s="62" t="str">
        <f>IF(AE67="","",VLOOKUP(AE67,'Tech Tree Node Parameters'!$A$3:$B$218,2,FALSE))</f>
        <v/>
      </c>
      <c r="AF68" s="62" t="str">
        <f>IF(AF67="","",VLOOKUP(AF67,'Tech Tree Node Parameters'!$A$3:$B$218,2,FALSE))</f>
        <v/>
      </c>
      <c r="AG68" s="62" t="str">
        <f>IF(AG67="","",VLOOKUP(AG67,'Tech Tree Node Parameters'!$A$3:$B$218,2,FALSE))</f>
        <v/>
      </c>
      <c r="AH68" s="62" t="str">
        <f>IF(AH67="","",VLOOKUP(AH67,'Tech Tree Node Parameters'!$A$3:$B$218,2,FALSE))</f>
        <v/>
      </c>
      <c r="AI68" s="62" t="str">
        <f>IF(AI67="","",VLOOKUP(AI67,'Tech Tree Node Parameters'!$A$3:$B$218,2,FALSE))</f>
        <v/>
      </c>
      <c r="AJ68" s="62" t="str">
        <f>IF(AJ67="","",VLOOKUP(AJ67,'Tech Tree Node Parameters'!$A$3:$B$218,2,FALSE))</f>
        <v/>
      </c>
      <c r="AK68" s="62" t="str">
        <f>IF(AK67="","",VLOOKUP(AK67,'Tech Tree Node Parameters'!$A$3:$B$218,2,FALSE))</f>
        <v>Experimental 0.625m Rocketry</v>
      </c>
      <c r="AL68" s="62" t="str">
        <f>IF(AL67="","",VLOOKUP(AL67,'Tech Tree Node Parameters'!$A$3:$B$218,2,FALSE))</f>
        <v/>
      </c>
      <c r="AM68" s="62" t="str">
        <f>IF(AM67="","",VLOOKUP(AM67,'Tech Tree Node Parameters'!$A$3:$B$218,2,FALSE))</f>
        <v>Advanced 0.625m Rocketry</v>
      </c>
      <c r="AN68" s="62" t="str">
        <f>IF(AN67="","",VLOOKUP(AN67,'Tech Tree Node Parameters'!$A$3:$B$218,2,FALSE))</f>
        <v/>
      </c>
      <c r="AO68" s="62" t="str">
        <f>IF(AO67="","",VLOOKUP(AO67,'Tech Tree Node Parameters'!$A$3:$B$218,2,FALSE))</f>
        <v>0.625m Rocketry</v>
      </c>
      <c r="AP68" s="62" t="str">
        <f>IF(AP67="","",VLOOKUP(AP67,'Tech Tree Node Parameters'!$A$3:$B$218,2,FALSE))</f>
        <v/>
      </c>
      <c r="AQ68" s="62" t="str">
        <f>IF(AQ67="","",VLOOKUP(AQ67,'Tech Tree Node Parameters'!$A$3:$B$218,2,FALSE))</f>
        <v/>
      </c>
      <c r="AR68" s="62" t="str">
        <f>IF(AR67="","",VLOOKUP(AR67,'Tech Tree Node Parameters'!$A$3:$B$218,2,FALSE))</f>
        <v/>
      </c>
      <c r="AS68" s="62" t="str">
        <f>IF(AS67="","",VLOOKUP(AS67,'Tech Tree Node Parameters'!$A$3:$B$218,2,FALSE))</f>
        <v/>
      </c>
      <c r="AT68" s="62" t="str">
        <f>IF(AT67="","",VLOOKUP(AT67,'Tech Tree Node Parameters'!$A$3:$B$218,2,FALSE))</f>
        <v/>
      </c>
      <c r="AU68" s="62" t="str">
        <f>IF(AU67="","",VLOOKUP(AU67,'Tech Tree Node Parameters'!$A$3:$B$218,2,FALSE))</f>
        <v/>
      </c>
      <c r="AV68" s="62" t="str">
        <f>IF(AV67="","",VLOOKUP(AV67,'Tech Tree Node Parameters'!$A$3:$B$218,2,FALSE))</f>
        <v/>
      </c>
      <c r="AW68" s="62" t="str">
        <f>IF(AW67="","",VLOOKUP(AW67,'Tech Tree Node Parameters'!$A$3:$B$218,2,FALSE))</f>
        <v>Heat Management Systems</v>
      </c>
      <c r="AX68" s="62" t="str">
        <f>IF(AX67="","",VLOOKUP(AX67,'Tech Tree Node Parameters'!$A$3:$B$218,2,FALSE))</f>
        <v/>
      </c>
      <c r="AY68" s="62" t="s">
        <v>2293</v>
      </c>
      <c r="AZ68" s="62" t="str">
        <f>IF(AZ67="","",VLOOKUP(AZ67,'Tech Tree Node Parameters'!$A$3:$B$218,2,FALSE))</f>
        <v/>
      </c>
      <c r="BA68" s="62" t="str">
        <f>IF(BA67="","",VLOOKUP(BA67,'Tech Tree Node Parameters'!$A$3:$B$218,2,FALSE))</f>
        <v/>
      </c>
      <c r="BB68" s="62" t="str">
        <f>IF(BB67="","",VLOOKUP(BB67,'Tech Tree Node Parameters'!$A$3:$B$218,2,FALSE))</f>
        <v/>
      </c>
      <c r="BC68" s="62" t="str">
        <f>IF(BC67="","",VLOOKUP(BC67,'Tech Tree Node Parameters'!$A$3:$B$218,2,FALSE))</f>
        <v/>
      </c>
      <c r="BD68" s="62" t="str">
        <f>IF(BD67="","",VLOOKUP(BD67,'Tech Tree Node Parameters'!$A$3:$B$218,2,FALSE))</f>
        <v/>
      </c>
      <c r="BE68" s="62" t="str">
        <f>IF(BE67="","",VLOOKUP(BE67,'Tech Tree Node Parameters'!$A$3:$B$218,2,FALSE))</f>
        <v/>
      </c>
      <c r="BF68" s="62" t="str">
        <f>IF(BF67="","",VLOOKUP(BF67,'Tech Tree Node Parameters'!$A$3:$B$218,2,FALSE))</f>
        <v/>
      </c>
      <c r="BG68" s="62" t="str">
        <f>IF(BG67="","",VLOOKUP(BG67,'Tech Tree Node Parameters'!$A$3:$B$218,2,FALSE))</f>
        <v/>
      </c>
      <c r="BH68" s="62" t="str">
        <f>IF(BH67="","",VLOOKUP(BH67,'Tech Tree Node Parameters'!$A$3:$B$218,2,FALSE))</f>
        <v/>
      </c>
      <c r="BI68" s="62" t="str">
        <f>IF(BI67="","",VLOOKUP(BI67,'Tech Tree Node Parameters'!$A$3:$B$218,2,FALSE))</f>
        <v/>
      </c>
      <c r="BJ68" s="62" t="str">
        <f>IF(BJ67="","",VLOOKUP(BJ67,'Tech Tree Node Parameters'!$A$3:$B$218,2,FALSE))</f>
        <v/>
      </c>
      <c r="BK68" s="62" t="str">
        <f>IF(BK67="","",VLOOKUP(BK67,'Tech Tree Node Parameters'!$A$3:$B$218,2,FALSE))</f>
        <v/>
      </c>
      <c r="BL68" s="62" t="str">
        <f>IF(BL67="","",VLOOKUP(BL67,'Tech Tree Node Parameters'!$A$3:$B$218,2,FALSE))</f>
        <v/>
      </c>
      <c r="BM68" s="62" t="s">
        <v>1346</v>
      </c>
      <c r="BN68" s="62" t="str">
        <f>IF(BN67="","",VLOOKUP(BN67,'Tech Tree Node Parameters'!$A$3:$B$218,2,FALSE))</f>
        <v/>
      </c>
      <c r="BO68" s="62" t="s">
        <v>1348</v>
      </c>
      <c r="BP68" s="62" t="str">
        <f>IF(BP67="","",VLOOKUP(BP67,'Tech Tree Node Parameters'!$A$3:$B$218,2,FALSE))</f>
        <v/>
      </c>
      <c r="BQ68" s="62" t="str">
        <f>IF(BQ67="","",VLOOKUP(BQ67,'Tech Tree Node Parameters'!$A$3:$B$218,2,FALSE))</f>
        <v/>
      </c>
      <c r="BR68" s="62" t="str">
        <f>IF(BR67="","",VLOOKUP(BR67,'Tech Tree Node Parameters'!$A$3:$B$218,2,FALSE))</f>
        <v/>
      </c>
      <c r="BS68" s="62" t="str">
        <f>IF(BS67="","",VLOOKUP(BS67,'Tech Tree Node Parameters'!$A$3:$B$218,2,FALSE))</f>
        <v/>
      </c>
      <c r="BT68" s="62" t="str">
        <f>IF(BT67="","",VLOOKUP(BT67,'Tech Tree Node Parameters'!$A$3:$B$218,2,FALSE))</f>
        <v/>
      </c>
      <c r="BU68" s="62" t="str">
        <f>IF(BU67="","",VLOOKUP(BU67,'Tech Tree Node Parameters'!$A$3:$B$218,2,FALSE))</f>
        <v/>
      </c>
      <c r="BV68" s="62" t="str">
        <f>IF(BV67="","",VLOOKUP(BV67,'Tech Tree Node Parameters'!$A$3:$B$218,2,FALSE))</f>
        <v/>
      </c>
      <c r="BW68" s="62" t="str">
        <f>IF(BW67="","",VLOOKUP(BW67,'Tech Tree Node Parameters'!$A$3:$B$218,2,FALSE))</f>
        <v/>
      </c>
      <c r="BX68" s="62" t="str">
        <f>IF(BX67="","",VLOOKUP(BX67,'Tech Tree Node Parameters'!$A$3:$B$218,2,FALSE))</f>
        <v/>
      </c>
      <c r="BY68" s="62" t="str">
        <f>IF(BY67="","",VLOOKUP(BY67,'Tech Tree Node Parameters'!$A$3:$B$218,2,FALSE))</f>
        <v/>
      </c>
      <c r="BZ68" s="62" t="str">
        <f>IF(BZ67="","",VLOOKUP(BZ67,'Tech Tree Node Parameters'!$A$3:$B$218,2,FALSE))</f>
        <v/>
      </c>
      <c r="CA68" s="62" t="str">
        <f>IF(CA67="","",VLOOKUP(CA67,'Tech Tree Node Parameters'!$A$3:$B$218,2,FALSE))</f>
        <v/>
      </c>
      <c r="CB68" s="62" t="str">
        <f>IF(CB67="","",VLOOKUP(CB67,'Tech Tree Node Parameters'!$A$3:$B$218,2,FALSE))</f>
        <v/>
      </c>
      <c r="CC68" s="62" t="str">
        <f>IF(CC67="","",VLOOKUP(CC67,'Tech Tree Node Parameters'!$A$3:$B$218,2,FALSE))</f>
        <v/>
      </c>
      <c r="CD68" s="62" t="str">
        <f>IF(CD67="","",VLOOKUP(CD67,'Tech Tree Node Parameters'!$A$3:$B$218,2,FALSE))</f>
        <v/>
      </c>
      <c r="CE68" s="62" t="str">
        <f>IF(CE67="","",VLOOKUP(CE67,'Tech Tree Node Parameters'!$A$3:$B$218,2,FALSE))</f>
        <v/>
      </c>
      <c r="CF68" s="62" t="str">
        <f>IF(CF67="","",VLOOKUP(CF67,'Tech Tree Node Parameters'!$A$3:$B$218,2,FALSE))</f>
        <v/>
      </c>
      <c r="CG68" s="62" t="str">
        <f>IF(CG67="","",VLOOKUP(CG67,'Tech Tree Node Parameters'!$A$3:$B$218,2,FALSE))</f>
        <v/>
      </c>
      <c r="CH68" s="62" t="str">
        <f>IF(CH67="","",VLOOKUP(CH67,'Tech Tree Node Parameters'!$A$3:$B$218,2,FALSE))</f>
        <v/>
      </c>
      <c r="CI68" s="62" t="str">
        <f>IF(CI67="","",VLOOKUP(CI67,'Tech Tree Node Parameters'!$A$3:$B$218,2,FALSE))</f>
        <v/>
      </c>
      <c r="CJ68" s="62" t="str">
        <f>IF(CJ67="","",VLOOKUP(CJ67,'Tech Tree Node Parameters'!$A$3:$B$218,2,FALSE))</f>
        <v/>
      </c>
      <c r="CK68" s="62" t="str">
        <f>IF(CK67="","",VLOOKUP(CK67,'Tech Tree Node Parameters'!$A$3:$B$218,2,FALSE))</f>
        <v/>
      </c>
      <c r="CL68" s="62" t="str">
        <f>IF(CL67="","",VLOOKUP(CL67,'Tech Tree Node Parameters'!$A$3:$B$218,2,FALSE))</f>
        <v/>
      </c>
      <c r="CM68" s="62" t="str">
        <f>IF(CM67="","",VLOOKUP(CM67,'Tech Tree Node Parameters'!$A$3:$B$218,2,FALSE))</f>
        <v/>
      </c>
      <c r="CN68" s="62" t="str">
        <f>IF(CN67="","",VLOOKUP(CN67,'Tech Tree Node Parameters'!$A$3:$B$218,2,FALSE))</f>
        <v/>
      </c>
      <c r="CO68" s="62" t="str">
        <f>IF(CO67="","",VLOOKUP(CO67,'Tech Tree Node Parameters'!$A$3:$B$218,2,FALSE))</f>
        <v/>
      </c>
      <c r="CP68" s="62" t="str">
        <f>IF(CP67="","",VLOOKUP(CP67,'Tech Tree Node Parameters'!$A$3:$B$218,2,FALSE))</f>
        <v/>
      </c>
      <c r="CQ68" s="62" t="str">
        <f>IF(CQ67="","",VLOOKUP(CQ67,'Tech Tree Node Parameters'!$A$3:$B$218,2,FALSE))</f>
        <v/>
      </c>
      <c r="CR68" s="62" t="str">
        <f>IF(CR67="","",VLOOKUP(CR67,'Tech Tree Node Parameters'!$A$3:$B$218,2,FALSE))</f>
        <v/>
      </c>
      <c r="CS68" s="62" t="str">
        <f>IF(CS67="","",VLOOKUP(CS67,'Tech Tree Node Parameters'!$A$3:$B$218,2,FALSE))</f>
        <v/>
      </c>
      <c r="CT68" s="62" t="str">
        <f>IF(CT67="","",VLOOKUP(CT67,'Tech Tree Node Parameters'!$A$3:$B$218,2,FALSE))</f>
        <v/>
      </c>
      <c r="CU68" s="62" t="str">
        <f>IF(CU67="","",VLOOKUP(CU67,'Tech Tree Node Parameters'!$A$3:$B$218,2,FALSE))</f>
        <v/>
      </c>
      <c r="CV68" s="62" t="str">
        <f>IF(CV67="","",VLOOKUP(CV67,'Tech Tree Node Parameters'!$A$3:$B$218,2,FALSE))</f>
        <v/>
      </c>
      <c r="CW68" s="62" t="str">
        <f>IF(CW67="","",VLOOKUP(CW67,'Tech Tree Node Parameters'!$A$3:$B$218,2,FALSE))</f>
        <v/>
      </c>
      <c r="CX68" s="62" t="str">
        <f>IF(CX67="","",VLOOKUP(CX67,'Tech Tree Node Parameters'!$A$3:$B$218,2,FALSE))</f>
        <v/>
      </c>
      <c r="CY68" s="36" t="str">
        <f>IF(CY67="","",VLOOKUP(CY67,'Tech Tree Node Parameters'!$A$3:$B$218,2,FALSE))</f>
        <v/>
      </c>
    </row>
    <row r="69" spans="1:103" x14ac:dyDescent="0.25">
      <c r="A69" s="72">
        <f t="shared" ref="A69" si="13">A71+1</f>
        <v>29</v>
      </c>
      <c r="B69" s="69">
        <f>B71+$D$6</f>
        <v>1139</v>
      </c>
      <c r="C69" s="39"/>
      <c r="D69" s="61"/>
      <c r="E69" s="61"/>
      <c r="F69" s="61"/>
      <c r="G69" s="61"/>
      <c r="H69" s="61"/>
      <c r="I69" s="61"/>
      <c r="J69" s="61"/>
      <c r="K69" s="61"/>
      <c r="L69" s="61"/>
      <c r="M69" s="61"/>
      <c r="N69" s="61"/>
      <c r="O69" s="61"/>
      <c r="P69" s="61"/>
      <c r="Q69" s="61"/>
      <c r="R69" s="61"/>
      <c r="S69" s="61"/>
      <c r="T69" s="61"/>
      <c r="U69" s="61"/>
      <c r="V69" s="61"/>
      <c r="W69" s="61"/>
      <c r="X69" s="61"/>
      <c r="Y69" s="61"/>
      <c r="Z69" s="61"/>
      <c r="AA69" s="61"/>
      <c r="AB69" s="61"/>
      <c r="AC69" s="61"/>
      <c r="AD69" s="61"/>
      <c r="AE69" s="61"/>
      <c r="AF69" s="61"/>
      <c r="AG69" s="61"/>
      <c r="AH69" s="61"/>
      <c r="AI69" s="61"/>
      <c r="AJ69" s="61"/>
      <c r="AK69" s="61"/>
      <c r="AL69" s="61"/>
      <c r="AM69" s="61"/>
      <c r="AN69" s="61"/>
      <c r="AO69" s="61"/>
      <c r="AP69" s="61"/>
      <c r="AQ69" s="61"/>
      <c r="AR69" s="61"/>
      <c r="AS69" s="61"/>
      <c r="AT69" s="61"/>
      <c r="AU69" s="61"/>
      <c r="AV69" s="61"/>
      <c r="AW69" s="61"/>
      <c r="AX69" s="61"/>
      <c r="AY69" s="61"/>
      <c r="AZ69" s="61"/>
      <c r="BA69" s="61"/>
      <c r="BB69" s="61"/>
      <c r="BC69" s="61"/>
      <c r="BD69" s="61"/>
      <c r="BE69" s="61"/>
      <c r="BF69" s="61"/>
      <c r="BG69" s="61"/>
      <c r="BH69" s="61"/>
      <c r="BI69" s="61"/>
      <c r="BJ69" s="61"/>
      <c r="BK69" s="61"/>
      <c r="BL69" s="61"/>
      <c r="BM69" s="61"/>
      <c r="BN69" s="61"/>
      <c r="BO69" s="61"/>
      <c r="BP69" s="61"/>
      <c r="BQ69" s="61"/>
      <c r="BR69" s="61"/>
      <c r="BS69" s="61"/>
      <c r="BT69" s="61"/>
      <c r="BU69" s="61"/>
      <c r="BV69" s="61"/>
      <c r="BW69" s="61"/>
      <c r="BX69" s="61"/>
      <c r="BY69" s="61"/>
      <c r="BZ69" s="61"/>
      <c r="CA69" s="61"/>
      <c r="CB69" s="61"/>
      <c r="CC69" s="61"/>
      <c r="CD69" s="61"/>
      <c r="CE69" s="61"/>
      <c r="CF69" s="61"/>
      <c r="CG69" s="61"/>
      <c r="CH69" s="61"/>
      <c r="CI69" s="61"/>
      <c r="CJ69" s="61"/>
      <c r="CK69" s="61"/>
      <c r="CL69" s="61"/>
      <c r="CM69" s="61"/>
      <c r="CN69" s="61"/>
      <c r="CO69" s="61"/>
      <c r="CP69" s="61"/>
      <c r="CQ69" s="61"/>
      <c r="CR69" s="61"/>
      <c r="CS69" s="61"/>
      <c r="CT69" s="61"/>
      <c r="CU69" s="61"/>
      <c r="CV69" s="61"/>
      <c r="CW69" s="61"/>
      <c r="CX69" s="61"/>
      <c r="CY69" s="35"/>
    </row>
    <row r="70" spans="1:103" x14ac:dyDescent="0.25">
      <c r="A70" s="72"/>
      <c r="B70" s="70"/>
      <c r="C70" s="40"/>
      <c r="D70" s="62" t="str">
        <f>IF(D69="","",VLOOKUP(D69,'Tech Tree Node Parameters'!$A$3:$B$218,2,FALSE))</f>
        <v/>
      </c>
      <c r="E70" s="62" t="str">
        <f>IF(E69="","",VLOOKUP(E69,'Tech Tree Node Parameters'!$A$3:$B$218,2,FALSE))</f>
        <v/>
      </c>
      <c r="F70" s="62" t="str">
        <f>IF(F69="","",VLOOKUP(F69,'Tech Tree Node Parameters'!$A$3:$B$218,2,FALSE))</f>
        <v/>
      </c>
      <c r="G70" s="62" t="str">
        <f>IF(G69="","",VLOOKUP(G69,'Tech Tree Node Parameters'!$A$3:$B$218,2,FALSE))</f>
        <v/>
      </c>
      <c r="H70" s="62" t="str">
        <f>IF(H69="","",VLOOKUP(H69,'Tech Tree Node Parameters'!$A$3:$B$218,2,FALSE))</f>
        <v/>
      </c>
      <c r="I70" s="62" t="str">
        <f>IF(I69="","",VLOOKUP(I69,'Tech Tree Node Parameters'!$A$3:$B$218,2,FALSE))</f>
        <v/>
      </c>
      <c r="J70" s="62" t="str">
        <f>IF(J69="","",VLOOKUP(J69,'Tech Tree Node Parameters'!$A$3:$B$218,2,FALSE))</f>
        <v/>
      </c>
      <c r="K70" s="62" t="str">
        <f>IF(K69="","",VLOOKUP(K69,'Tech Tree Node Parameters'!$A$3:$B$218,2,FALSE))</f>
        <v/>
      </c>
      <c r="L70" s="62" t="str">
        <f>IF(L69="","",VLOOKUP(L69,'Tech Tree Node Parameters'!$A$3:$B$218,2,FALSE))</f>
        <v/>
      </c>
      <c r="M70" s="62" t="str">
        <f>IF(M69="","",VLOOKUP(M69,'Tech Tree Node Parameters'!$A$3:$B$218,2,FALSE))</f>
        <v/>
      </c>
      <c r="N70" s="62" t="str">
        <f>IF(N69="","",VLOOKUP(N69,'Tech Tree Node Parameters'!$A$3:$B$218,2,FALSE))</f>
        <v/>
      </c>
      <c r="O70" s="62" t="str">
        <f>IF(O69="","",VLOOKUP(O69,'Tech Tree Node Parameters'!$A$3:$B$218,2,FALSE))</f>
        <v/>
      </c>
      <c r="P70" s="62" t="str">
        <f>IF(P69="","",VLOOKUP(P69,'Tech Tree Node Parameters'!$A$3:$B$218,2,FALSE))</f>
        <v/>
      </c>
      <c r="Q70" s="62" t="str">
        <f>IF(Q69="","",VLOOKUP(Q69,'Tech Tree Node Parameters'!$A$3:$B$218,2,FALSE))</f>
        <v/>
      </c>
      <c r="R70" s="62" t="str">
        <f>IF(R69="","",VLOOKUP(R69,'Tech Tree Node Parameters'!$A$3:$B$218,2,FALSE))</f>
        <v/>
      </c>
      <c r="S70" s="62" t="str">
        <f>IF(S69="","",VLOOKUP(S69,'Tech Tree Node Parameters'!$A$3:$B$218,2,FALSE))</f>
        <v/>
      </c>
      <c r="T70" s="62" t="str">
        <f>IF(T69="","",VLOOKUP(T69,'Tech Tree Node Parameters'!$A$3:$B$218,2,FALSE))</f>
        <v/>
      </c>
      <c r="U70" s="62" t="str">
        <f>IF(U69="","",VLOOKUP(U69,'Tech Tree Node Parameters'!$A$3:$B$218,2,FALSE))</f>
        <v/>
      </c>
      <c r="V70" s="62" t="str">
        <f>IF(V69="","",VLOOKUP(V69,'Tech Tree Node Parameters'!$A$3:$B$218,2,FALSE))</f>
        <v/>
      </c>
      <c r="W70" s="62" t="str">
        <f>IF(W69="","",VLOOKUP(W69,'Tech Tree Node Parameters'!$A$3:$B$218,2,FALSE))</f>
        <v/>
      </c>
      <c r="X70" s="62" t="str">
        <f>IF(X69="","",VLOOKUP(X69,'Tech Tree Node Parameters'!$A$3:$B$218,2,FALSE))</f>
        <v/>
      </c>
      <c r="Y70" s="62" t="str">
        <f>IF(Y69="","",VLOOKUP(Y69,'Tech Tree Node Parameters'!$A$3:$B$218,2,FALSE))</f>
        <v/>
      </c>
      <c r="Z70" s="62" t="str">
        <f>IF(Z69="","",VLOOKUP(Z69,'Tech Tree Node Parameters'!$A$3:$B$218,2,FALSE))</f>
        <v/>
      </c>
      <c r="AA70" s="62" t="str">
        <f>IF(AA69="","",VLOOKUP(AA69,'Tech Tree Node Parameters'!$A$3:$B$218,2,FALSE))</f>
        <v/>
      </c>
      <c r="AB70" s="62" t="str">
        <f>IF(AB69="","",VLOOKUP(AB69,'Tech Tree Node Parameters'!$A$3:$B$218,2,FALSE))</f>
        <v/>
      </c>
      <c r="AC70" s="62" t="str">
        <f>IF(AC69="","",VLOOKUP(AC69,'Tech Tree Node Parameters'!$A$3:$B$218,2,FALSE))</f>
        <v/>
      </c>
      <c r="AD70" s="62" t="str">
        <f>IF(AD69="","",VLOOKUP(AD69,'Tech Tree Node Parameters'!$A$3:$B$218,2,FALSE))</f>
        <v/>
      </c>
      <c r="AE70" s="62" t="str">
        <f>IF(AE69="","",VLOOKUP(AE69,'Tech Tree Node Parameters'!$A$3:$B$218,2,FALSE))</f>
        <v/>
      </c>
      <c r="AF70" s="62" t="str">
        <f>IF(AF69="","",VLOOKUP(AF69,'Tech Tree Node Parameters'!$A$3:$B$218,2,FALSE))</f>
        <v/>
      </c>
      <c r="AG70" s="62" t="str">
        <f>IF(AG69="","",VLOOKUP(AG69,'Tech Tree Node Parameters'!$A$3:$B$218,2,FALSE))</f>
        <v/>
      </c>
      <c r="AH70" s="62" t="str">
        <f>IF(AH69="","",VLOOKUP(AH69,'Tech Tree Node Parameters'!$A$3:$B$218,2,FALSE))</f>
        <v/>
      </c>
      <c r="AI70" s="62" t="str">
        <f>IF(AI69="","",VLOOKUP(AI69,'Tech Tree Node Parameters'!$A$3:$B$218,2,FALSE))</f>
        <v/>
      </c>
      <c r="AJ70" s="62" t="str">
        <f>IF(AJ69="","",VLOOKUP(AJ69,'Tech Tree Node Parameters'!$A$3:$B$218,2,FALSE))</f>
        <v/>
      </c>
      <c r="AK70" s="62" t="str">
        <f>IF(AK69="","",VLOOKUP(AK69,'Tech Tree Node Parameters'!$A$3:$B$218,2,FALSE))</f>
        <v/>
      </c>
      <c r="AL70" s="62" t="str">
        <f>IF(AL69="","",VLOOKUP(AL69,'Tech Tree Node Parameters'!$A$3:$B$218,2,FALSE))</f>
        <v/>
      </c>
      <c r="AM70" s="62" t="str">
        <f>IF(AM69="","",VLOOKUP(AM69,'Tech Tree Node Parameters'!$A$3:$B$218,2,FALSE))</f>
        <v/>
      </c>
      <c r="AN70" s="62" t="str">
        <f>IF(AN69="","",VLOOKUP(AN69,'Tech Tree Node Parameters'!$A$3:$B$218,2,FALSE))</f>
        <v/>
      </c>
      <c r="AO70" s="62" t="str">
        <f>IF(AO69="","",VLOOKUP(AO69,'Tech Tree Node Parameters'!$A$3:$B$218,2,FALSE))</f>
        <v/>
      </c>
      <c r="AP70" s="62" t="str">
        <f>IF(AP69="","",VLOOKUP(AP69,'Tech Tree Node Parameters'!$A$3:$B$218,2,FALSE))</f>
        <v/>
      </c>
      <c r="AQ70" s="62" t="str">
        <f>IF(AQ69="","",VLOOKUP(AQ69,'Tech Tree Node Parameters'!$A$3:$B$218,2,FALSE))</f>
        <v/>
      </c>
      <c r="AR70" s="62" t="str">
        <f>IF(AR69="","",VLOOKUP(AR69,'Tech Tree Node Parameters'!$A$3:$B$218,2,FALSE))</f>
        <v/>
      </c>
      <c r="AS70" s="62" t="str">
        <f>IF(AS69="","",VLOOKUP(AS69,'Tech Tree Node Parameters'!$A$3:$B$218,2,FALSE))</f>
        <v/>
      </c>
      <c r="AT70" s="62" t="str">
        <f>IF(AT69="","",VLOOKUP(AT69,'Tech Tree Node Parameters'!$A$3:$B$218,2,FALSE))</f>
        <v/>
      </c>
      <c r="AU70" s="62" t="str">
        <f>IF(AU69="","",VLOOKUP(AU69,'Tech Tree Node Parameters'!$A$3:$B$218,2,FALSE))</f>
        <v/>
      </c>
      <c r="AV70" s="62" t="str">
        <f>IF(AV69="","",VLOOKUP(AV69,'Tech Tree Node Parameters'!$A$3:$B$218,2,FALSE))</f>
        <v/>
      </c>
      <c r="AW70" s="62" t="str">
        <f>IF(AW69="","",VLOOKUP(AW69,'Tech Tree Node Parameters'!$A$3:$B$218,2,FALSE))</f>
        <v/>
      </c>
      <c r="AX70" s="62" t="str">
        <f>IF(AX69="","",VLOOKUP(AX69,'Tech Tree Node Parameters'!$A$3:$B$218,2,FALSE))</f>
        <v/>
      </c>
      <c r="AY70" s="62" t="str">
        <f>IF(AY69="","",VLOOKUP(AY69,'Tech Tree Node Parameters'!$A$3:$B$218,2,FALSE))</f>
        <v/>
      </c>
      <c r="AZ70" s="62" t="str">
        <f>IF(AZ69="","",VLOOKUP(AZ69,'Tech Tree Node Parameters'!$A$3:$B$218,2,FALSE))</f>
        <v/>
      </c>
      <c r="BA70" s="62" t="str">
        <f>IF(BA69="","",VLOOKUP(BA69,'Tech Tree Node Parameters'!$A$3:$B$218,2,FALSE))</f>
        <v/>
      </c>
      <c r="BB70" s="62" t="str">
        <f>IF(BB69="","",VLOOKUP(BB69,'Tech Tree Node Parameters'!$A$3:$B$218,2,FALSE))</f>
        <v/>
      </c>
      <c r="BC70" s="62" t="str">
        <f>IF(BC69="","",VLOOKUP(BC69,'Tech Tree Node Parameters'!$A$3:$B$218,2,FALSE))</f>
        <v/>
      </c>
      <c r="BD70" s="62" t="str">
        <f>IF(BD69="","",VLOOKUP(BD69,'Tech Tree Node Parameters'!$A$3:$B$218,2,FALSE))</f>
        <v/>
      </c>
      <c r="BE70" s="62" t="str">
        <f>IF(BE69="","",VLOOKUP(BE69,'Tech Tree Node Parameters'!$A$3:$B$218,2,FALSE))</f>
        <v/>
      </c>
      <c r="BF70" s="62" t="str">
        <f>IF(BF69="","",VLOOKUP(BF69,'Tech Tree Node Parameters'!$A$3:$B$218,2,FALSE))</f>
        <v/>
      </c>
      <c r="BG70" s="62" t="str">
        <f>IF(BG69="","",VLOOKUP(BG69,'Tech Tree Node Parameters'!$A$3:$B$218,2,FALSE))</f>
        <v/>
      </c>
      <c r="BH70" s="62" t="str">
        <f>IF(BH69="","",VLOOKUP(BH69,'Tech Tree Node Parameters'!$A$3:$B$218,2,FALSE))</f>
        <v/>
      </c>
      <c r="BI70" s="62" t="str">
        <f>IF(BI69="","",VLOOKUP(BI69,'Tech Tree Node Parameters'!$A$3:$B$218,2,FALSE))</f>
        <v/>
      </c>
      <c r="BJ70" s="62" t="str">
        <f>IF(BJ69="","",VLOOKUP(BJ69,'Tech Tree Node Parameters'!$A$3:$B$218,2,FALSE))</f>
        <v/>
      </c>
      <c r="BK70" s="62" t="str">
        <f>IF(BK69="","",VLOOKUP(BK69,'Tech Tree Node Parameters'!$A$3:$B$218,2,FALSE))</f>
        <v/>
      </c>
      <c r="BL70" s="62" t="str">
        <f>IF(BL69="","",VLOOKUP(BL69,'Tech Tree Node Parameters'!$A$3:$B$218,2,FALSE))</f>
        <v/>
      </c>
      <c r="BM70" s="62" t="str">
        <f>IF(BM69="","",VLOOKUP(BM69,'Tech Tree Node Parameters'!$A$3:$B$218,2,FALSE))</f>
        <v/>
      </c>
      <c r="BN70" s="62" t="str">
        <f>IF(BN69="","",VLOOKUP(BN69,'Tech Tree Node Parameters'!$A$3:$B$218,2,FALSE))</f>
        <v/>
      </c>
      <c r="BO70" s="62" t="str">
        <f>IF(BO69="","",VLOOKUP(BO69,'Tech Tree Node Parameters'!$A$3:$B$218,2,FALSE))</f>
        <v/>
      </c>
      <c r="BP70" s="62" t="str">
        <f>IF(BP69="","",VLOOKUP(BP69,'Tech Tree Node Parameters'!$A$3:$B$218,2,FALSE))</f>
        <v/>
      </c>
      <c r="BQ70" s="62" t="str">
        <f>IF(BQ69="","",VLOOKUP(BQ69,'Tech Tree Node Parameters'!$A$3:$B$218,2,FALSE))</f>
        <v/>
      </c>
      <c r="BR70" s="62" t="str">
        <f>IF(BR69="","",VLOOKUP(BR69,'Tech Tree Node Parameters'!$A$3:$B$218,2,FALSE))</f>
        <v/>
      </c>
      <c r="BS70" s="62" t="str">
        <f>IF(BS69="","",VLOOKUP(BS69,'Tech Tree Node Parameters'!$A$3:$B$218,2,FALSE))</f>
        <v/>
      </c>
      <c r="BT70" s="62" t="str">
        <f>IF(BT69="","",VLOOKUP(BT69,'Tech Tree Node Parameters'!$A$3:$B$218,2,FALSE))</f>
        <v/>
      </c>
      <c r="BU70" s="62" t="str">
        <f>IF(BU69="","",VLOOKUP(BU69,'Tech Tree Node Parameters'!$A$3:$B$218,2,FALSE))</f>
        <v/>
      </c>
      <c r="BV70" s="62" t="str">
        <f>IF(BV69="","",VLOOKUP(BV69,'Tech Tree Node Parameters'!$A$3:$B$218,2,FALSE))</f>
        <v/>
      </c>
      <c r="BW70" s="62" t="str">
        <f>IF(BW69="","",VLOOKUP(BW69,'Tech Tree Node Parameters'!$A$3:$B$218,2,FALSE))</f>
        <v/>
      </c>
      <c r="BX70" s="62" t="str">
        <f>IF(BX69="","",VLOOKUP(BX69,'Tech Tree Node Parameters'!$A$3:$B$218,2,FALSE))</f>
        <v/>
      </c>
      <c r="BY70" s="62" t="str">
        <f>IF(BY69="","",VLOOKUP(BY69,'Tech Tree Node Parameters'!$A$3:$B$218,2,FALSE))</f>
        <v/>
      </c>
      <c r="BZ70" s="62" t="str">
        <f>IF(BZ69="","",VLOOKUP(BZ69,'Tech Tree Node Parameters'!$A$3:$B$218,2,FALSE))</f>
        <v/>
      </c>
      <c r="CA70" s="62" t="str">
        <f>IF(CA69="","",VLOOKUP(CA69,'Tech Tree Node Parameters'!$A$3:$B$218,2,FALSE))</f>
        <v/>
      </c>
      <c r="CB70" s="62" t="str">
        <f>IF(CB69="","",VLOOKUP(CB69,'Tech Tree Node Parameters'!$A$3:$B$218,2,FALSE))</f>
        <v/>
      </c>
      <c r="CC70" s="62" t="str">
        <f>IF(CC69="","",VLOOKUP(CC69,'Tech Tree Node Parameters'!$A$3:$B$218,2,FALSE))</f>
        <v/>
      </c>
      <c r="CD70" s="62" t="str">
        <f>IF(CD69="","",VLOOKUP(CD69,'Tech Tree Node Parameters'!$A$3:$B$218,2,FALSE))</f>
        <v/>
      </c>
      <c r="CE70" s="62" t="str">
        <f>IF(CE69="","",VLOOKUP(CE69,'Tech Tree Node Parameters'!$A$3:$B$218,2,FALSE))</f>
        <v/>
      </c>
      <c r="CF70" s="62" t="str">
        <f>IF(CF69="","",VLOOKUP(CF69,'Tech Tree Node Parameters'!$A$3:$B$218,2,FALSE))</f>
        <v/>
      </c>
      <c r="CG70" s="62" t="str">
        <f>IF(CG69="","",VLOOKUP(CG69,'Tech Tree Node Parameters'!$A$3:$B$218,2,FALSE))</f>
        <v/>
      </c>
      <c r="CH70" s="62" t="str">
        <f>IF(CH69="","",VLOOKUP(CH69,'Tech Tree Node Parameters'!$A$3:$B$218,2,FALSE))</f>
        <v/>
      </c>
      <c r="CI70" s="62" t="str">
        <f>IF(CI69="","",VLOOKUP(CI69,'Tech Tree Node Parameters'!$A$3:$B$218,2,FALSE))</f>
        <v/>
      </c>
      <c r="CJ70" s="62" t="str">
        <f>IF(CJ69="","",VLOOKUP(CJ69,'Tech Tree Node Parameters'!$A$3:$B$218,2,FALSE))</f>
        <v/>
      </c>
      <c r="CK70" s="62" t="str">
        <f>IF(CK69="","",VLOOKUP(CK69,'Tech Tree Node Parameters'!$A$3:$B$218,2,FALSE))</f>
        <v/>
      </c>
      <c r="CL70" s="62" t="str">
        <f>IF(CL69="","",VLOOKUP(CL69,'Tech Tree Node Parameters'!$A$3:$B$218,2,FALSE))</f>
        <v/>
      </c>
      <c r="CM70" s="62" t="str">
        <f>IF(CM69="","",VLOOKUP(CM69,'Tech Tree Node Parameters'!$A$3:$B$218,2,FALSE))</f>
        <v/>
      </c>
      <c r="CN70" s="62" t="str">
        <f>IF(CN69="","",VLOOKUP(CN69,'Tech Tree Node Parameters'!$A$3:$B$218,2,FALSE))</f>
        <v/>
      </c>
      <c r="CO70" s="62" t="str">
        <f>IF(CO69="","",VLOOKUP(CO69,'Tech Tree Node Parameters'!$A$3:$B$218,2,FALSE))</f>
        <v/>
      </c>
      <c r="CP70" s="62" t="str">
        <f>IF(CP69="","",VLOOKUP(CP69,'Tech Tree Node Parameters'!$A$3:$B$218,2,FALSE))</f>
        <v/>
      </c>
      <c r="CQ70" s="62" t="str">
        <f>IF(CQ69="","",VLOOKUP(CQ69,'Tech Tree Node Parameters'!$A$3:$B$218,2,FALSE))</f>
        <v/>
      </c>
      <c r="CR70" s="62" t="str">
        <f>IF(CR69="","",VLOOKUP(CR69,'Tech Tree Node Parameters'!$A$3:$B$218,2,FALSE))</f>
        <v/>
      </c>
      <c r="CS70" s="62" t="str">
        <f>IF(CS69="","",VLOOKUP(CS69,'Tech Tree Node Parameters'!$A$3:$B$218,2,FALSE))</f>
        <v/>
      </c>
      <c r="CT70" s="62" t="str">
        <f>IF(CT69="","",VLOOKUP(CT69,'Tech Tree Node Parameters'!$A$3:$B$218,2,FALSE))</f>
        <v/>
      </c>
      <c r="CU70" s="62" t="str">
        <f>IF(CU69="","",VLOOKUP(CU69,'Tech Tree Node Parameters'!$A$3:$B$218,2,FALSE))</f>
        <v/>
      </c>
      <c r="CV70" s="62" t="str">
        <f>IF(CV69="","",VLOOKUP(CV69,'Tech Tree Node Parameters'!$A$3:$B$218,2,FALSE))</f>
        <v/>
      </c>
      <c r="CW70" s="62" t="str">
        <f>IF(CW69="","",VLOOKUP(CW69,'Tech Tree Node Parameters'!$A$3:$B$218,2,FALSE))</f>
        <v/>
      </c>
      <c r="CX70" s="62" t="str">
        <f>IF(CX69="","",VLOOKUP(CX69,'Tech Tree Node Parameters'!$A$3:$B$218,2,FALSE))</f>
        <v/>
      </c>
      <c r="CY70" s="36" t="str">
        <f>IF(CY69="","",VLOOKUP(CY69,'Tech Tree Node Parameters'!$A$3:$B$218,2,FALSE))</f>
        <v/>
      </c>
    </row>
    <row r="71" spans="1:103" x14ac:dyDescent="0.25">
      <c r="A71" s="72">
        <f t="shared" ref="A71" si="14">A73+1</f>
        <v>28</v>
      </c>
      <c r="B71" s="69">
        <f>B73+$D$6</f>
        <v>1101</v>
      </c>
      <c r="C71" s="39"/>
      <c r="D71" s="61"/>
      <c r="E71" s="61"/>
      <c r="F71" s="61"/>
      <c r="G71" s="61"/>
      <c r="H71" s="61"/>
      <c r="I71" s="61"/>
      <c r="J71" s="61"/>
      <c r="K71" s="61"/>
      <c r="L71" s="61"/>
      <c r="M71" s="61"/>
      <c r="N71" s="61"/>
      <c r="O71" s="61"/>
      <c r="P71" s="61"/>
      <c r="Q71" s="61"/>
      <c r="R71" s="61"/>
      <c r="S71" s="61"/>
      <c r="T71" s="61"/>
      <c r="U71" s="61"/>
      <c r="V71" s="61"/>
      <c r="W71" s="61"/>
      <c r="X71" s="61"/>
      <c r="Y71" s="61"/>
      <c r="Z71" s="61"/>
      <c r="AA71" s="61"/>
      <c r="AB71" s="61"/>
      <c r="AC71" s="61"/>
      <c r="AD71" s="61"/>
      <c r="AE71" s="61"/>
      <c r="AF71" s="61"/>
      <c r="AG71" s="61"/>
      <c r="AH71" s="61"/>
      <c r="AI71" s="61"/>
      <c r="AJ71" s="61"/>
      <c r="AK71" s="61"/>
      <c r="AL71" s="61"/>
      <c r="AM71" s="61" t="s">
        <v>214</v>
      </c>
      <c r="AN71" s="61"/>
      <c r="AO71" s="61" t="s">
        <v>51</v>
      </c>
      <c r="AP71" s="61"/>
      <c r="AQ71" s="61"/>
      <c r="AR71" s="61"/>
      <c r="AS71" s="61"/>
      <c r="AT71" s="61"/>
      <c r="AU71" s="61"/>
      <c r="AV71" s="61"/>
      <c r="AW71" s="61"/>
      <c r="AX71" s="61"/>
      <c r="AY71" s="31"/>
      <c r="AZ71" s="61"/>
      <c r="BA71" s="31"/>
      <c r="BB71" s="61"/>
      <c r="BC71" s="61"/>
      <c r="BD71" s="61"/>
      <c r="BE71" s="61"/>
      <c r="BF71" s="61"/>
      <c r="BG71" s="61" t="s">
        <v>493</v>
      </c>
      <c r="BH71" s="61"/>
      <c r="BI71" s="61" t="s">
        <v>492</v>
      </c>
      <c r="BJ71" s="61"/>
      <c r="BK71" s="61" t="s">
        <v>494</v>
      </c>
      <c r="BL71" s="61"/>
      <c r="BM71" s="61"/>
      <c r="BN71" s="61"/>
      <c r="BO71" s="61"/>
      <c r="BP71" s="61"/>
      <c r="BQ71" s="61"/>
      <c r="BR71" s="61"/>
      <c r="BS71" s="61"/>
      <c r="BT71" s="61"/>
      <c r="BU71" s="61"/>
      <c r="BV71" s="61"/>
      <c r="BW71" s="61"/>
      <c r="BX71" s="61"/>
      <c r="BY71" s="61"/>
      <c r="BZ71" s="61"/>
      <c r="CA71" s="61"/>
      <c r="CB71" s="61"/>
      <c r="CC71" s="61"/>
      <c r="CD71" s="61"/>
      <c r="CE71" s="61"/>
      <c r="CF71" s="61"/>
      <c r="CG71" s="61"/>
      <c r="CH71" s="61"/>
      <c r="CI71" s="61"/>
      <c r="CJ71" s="61"/>
      <c r="CK71" s="61"/>
      <c r="CL71" s="61"/>
      <c r="CM71" s="61"/>
      <c r="CN71" s="61"/>
      <c r="CO71" s="61"/>
      <c r="CP71" s="61"/>
      <c r="CQ71" s="61"/>
      <c r="CR71" s="61"/>
      <c r="CS71" s="61"/>
      <c r="CT71" s="61"/>
      <c r="CU71" s="61"/>
      <c r="CV71" s="61"/>
      <c r="CW71" s="61"/>
      <c r="CX71" s="61"/>
      <c r="CY71" s="35"/>
    </row>
    <row r="72" spans="1:103" x14ac:dyDescent="0.25">
      <c r="A72" s="72"/>
      <c r="B72" s="70"/>
      <c r="C72" s="40"/>
      <c r="D72" s="62" t="str">
        <f>IF(D71="","",VLOOKUP(D71,'Tech Tree Node Parameters'!$A$3:$B$218,2,FALSE))</f>
        <v/>
      </c>
      <c r="E72" s="62" t="str">
        <f>IF(E71="","",VLOOKUP(E71,'Tech Tree Node Parameters'!$A$3:$B$218,2,FALSE))</f>
        <v/>
      </c>
      <c r="F72" s="62" t="str">
        <f>IF(F71="","",VLOOKUP(F71,'Tech Tree Node Parameters'!$A$3:$B$218,2,FALSE))</f>
        <v/>
      </c>
      <c r="G72" s="62" t="str">
        <f>IF(G71="","",VLOOKUP(G71,'Tech Tree Node Parameters'!$A$3:$B$218,2,FALSE))</f>
        <v/>
      </c>
      <c r="H72" s="62" t="str">
        <f>IF(H71="","",VLOOKUP(H71,'Tech Tree Node Parameters'!$A$3:$B$218,2,FALSE))</f>
        <v/>
      </c>
      <c r="I72" s="62" t="str">
        <f>IF(I71="","",VLOOKUP(I71,'Tech Tree Node Parameters'!$A$3:$B$218,2,FALSE))</f>
        <v/>
      </c>
      <c r="J72" s="62" t="str">
        <f>IF(J71="","",VLOOKUP(J71,'Tech Tree Node Parameters'!$A$3:$B$218,2,FALSE))</f>
        <v/>
      </c>
      <c r="K72" s="62" t="str">
        <f>IF(K71="","",VLOOKUP(K71,'Tech Tree Node Parameters'!$A$3:$B$218,2,FALSE))</f>
        <v/>
      </c>
      <c r="L72" s="62" t="str">
        <f>IF(L71="","",VLOOKUP(L71,'Tech Tree Node Parameters'!$A$3:$B$218,2,FALSE))</f>
        <v/>
      </c>
      <c r="M72" s="62" t="str">
        <f>IF(M71="","",VLOOKUP(M71,'Tech Tree Node Parameters'!$A$3:$B$218,2,FALSE))</f>
        <v/>
      </c>
      <c r="N72" s="62" t="str">
        <f>IF(N71="","",VLOOKUP(N71,'Tech Tree Node Parameters'!$A$3:$B$218,2,FALSE))</f>
        <v/>
      </c>
      <c r="O72" s="62" t="str">
        <f>IF(O71="","",VLOOKUP(O71,'Tech Tree Node Parameters'!$A$3:$B$218,2,FALSE))</f>
        <v/>
      </c>
      <c r="P72" s="62" t="str">
        <f>IF(P71="","",VLOOKUP(P71,'Tech Tree Node Parameters'!$A$3:$B$218,2,FALSE))</f>
        <v/>
      </c>
      <c r="Q72" s="62" t="str">
        <f>IF(Q71="","",VLOOKUP(Q71,'Tech Tree Node Parameters'!$A$3:$B$218,2,FALSE))</f>
        <v/>
      </c>
      <c r="R72" s="62" t="str">
        <f>IF(R71="","",VLOOKUP(R71,'Tech Tree Node Parameters'!$A$3:$B$218,2,FALSE))</f>
        <v/>
      </c>
      <c r="S72" s="62" t="str">
        <f>IF(S71="","",VLOOKUP(S71,'Tech Tree Node Parameters'!$A$3:$B$218,2,FALSE))</f>
        <v/>
      </c>
      <c r="T72" s="62" t="str">
        <f>IF(T71="","",VLOOKUP(T71,'Tech Tree Node Parameters'!$A$3:$B$218,2,FALSE))</f>
        <v/>
      </c>
      <c r="U72" s="62" t="str">
        <f>IF(U71="","",VLOOKUP(U71,'Tech Tree Node Parameters'!$A$3:$B$218,2,FALSE))</f>
        <v/>
      </c>
      <c r="V72" s="62" t="str">
        <f>IF(V71="","",VLOOKUP(V71,'Tech Tree Node Parameters'!$A$3:$B$218,2,FALSE))</f>
        <v/>
      </c>
      <c r="W72" s="62" t="str">
        <f>IF(W71="","",VLOOKUP(W71,'Tech Tree Node Parameters'!$A$3:$B$218,2,FALSE))</f>
        <v/>
      </c>
      <c r="X72" s="62" t="str">
        <f>IF(X71="","",VLOOKUP(X71,'Tech Tree Node Parameters'!$A$3:$B$218,2,FALSE))</f>
        <v/>
      </c>
      <c r="Y72" s="62" t="str">
        <f>IF(Y71="","",VLOOKUP(Y71,'Tech Tree Node Parameters'!$A$3:$B$218,2,FALSE))</f>
        <v/>
      </c>
      <c r="Z72" s="62" t="str">
        <f>IF(Z71="","",VLOOKUP(Z71,'Tech Tree Node Parameters'!$A$3:$B$218,2,FALSE))</f>
        <v/>
      </c>
      <c r="AA72" s="62" t="str">
        <f>IF(AA71="","",VLOOKUP(AA71,'Tech Tree Node Parameters'!$A$3:$B$218,2,FALSE))</f>
        <v/>
      </c>
      <c r="AB72" s="62" t="str">
        <f>IF(AB71="","",VLOOKUP(AB71,'Tech Tree Node Parameters'!$A$3:$B$218,2,FALSE))</f>
        <v/>
      </c>
      <c r="AC72" s="62" t="str">
        <f>IF(AC71="","",VLOOKUP(AC71,'Tech Tree Node Parameters'!$A$3:$B$218,2,FALSE))</f>
        <v/>
      </c>
      <c r="AD72" s="62" t="str">
        <f>IF(AD71="","",VLOOKUP(AD71,'Tech Tree Node Parameters'!$A$3:$B$218,2,FALSE))</f>
        <v/>
      </c>
      <c r="AE72" s="62" t="str">
        <f>IF(AE71="","",VLOOKUP(AE71,'Tech Tree Node Parameters'!$A$3:$B$218,2,FALSE))</f>
        <v/>
      </c>
      <c r="AF72" s="62" t="str">
        <f>IF(AF71="","",VLOOKUP(AF71,'Tech Tree Node Parameters'!$A$3:$B$218,2,FALSE))</f>
        <v/>
      </c>
      <c r="AG72" s="62" t="str">
        <f>IF(AG71="","",VLOOKUP(AG71,'Tech Tree Node Parameters'!$A$3:$B$218,2,FALSE))</f>
        <v/>
      </c>
      <c r="AH72" s="62" t="str">
        <f>IF(AH71="","",VLOOKUP(AH71,'Tech Tree Node Parameters'!$A$3:$B$218,2,FALSE))</f>
        <v/>
      </c>
      <c r="AI72" s="62" t="str">
        <f>IF(AI71="","",VLOOKUP(AI71,'Tech Tree Node Parameters'!$A$3:$B$218,2,FALSE))</f>
        <v/>
      </c>
      <c r="AJ72" s="62" t="str">
        <f>IF(AJ71="","",VLOOKUP(AJ71,'Tech Tree Node Parameters'!$A$3:$B$218,2,FALSE))</f>
        <v/>
      </c>
      <c r="AK72" s="62" t="str">
        <f>IF(AK71="","",VLOOKUP(AK71,'Tech Tree Node Parameters'!$A$3:$B$218,2,FALSE))</f>
        <v/>
      </c>
      <c r="AL72" s="62" t="str">
        <f>IF(AL71="","",VLOOKUP(AL71,'Tech Tree Node Parameters'!$A$3:$B$218,2,FALSE))</f>
        <v/>
      </c>
      <c r="AM72" s="62" t="str">
        <f>IF(AM71="","",VLOOKUP(AM71,'Tech Tree Node Parameters'!$A$3:$B$218,2,FALSE))</f>
        <v>Advanced Ullage Motors</v>
      </c>
      <c r="AN72" s="62" t="str">
        <f>IF(AN71="","",VLOOKUP(AN71,'Tech Tree Node Parameters'!$A$3:$B$218,2,FALSE))</f>
        <v/>
      </c>
      <c r="AO72" s="62" t="str">
        <f>IF(AO71="","",VLOOKUP(AO71,'Tech Tree Node Parameters'!$A$3:$B$218,2,FALSE))</f>
        <v>Ullage Motors</v>
      </c>
      <c r="AP72" s="62" t="str">
        <f>IF(AP71="","",VLOOKUP(AP71,'Tech Tree Node Parameters'!$A$3:$B$218,2,FALSE))</f>
        <v/>
      </c>
      <c r="AQ72" s="62"/>
      <c r="AR72" s="62" t="str">
        <f>IF(AR71="","",VLOOKUP(AR71,'Tech Tree Node Parameters'!$A$3:$B$218,2,FALSE))</f>
        <v/>
      </c>
      <c r="AS72" s="62" t="str">
        <f>IF(AS71="","",VLOOKUP(AS71,'Tech Tree Node Parameters'!$A$3:$B$218,2,FALSE))</f>
        <v/>
      </c>
      <c r="AT72" s="62" t="str">
        <f>IF(AT71="","",VLOOKUP(AT71,'Tech Tree Node Parameters'!$A$3:$B$218,2,FALSE))</f>
        <v/>
      </c>
      <c r="AU72" s="62" t="str">
        <f>IF(AU71="","",VLOOKUP(AU71,'Tech Tree Node Parameters'!$A$3:$B$218,2,FALSE))</f>
        <v/>
      </c>
      <c r="AV72" s="62" t="str">
        <f>IF(AV71="","",VLOOKUP(AV71,'Tech Tree Node Parameters'!$A$3:$B$218,2,FALSE))</f>
        <v/>
      </c>
      <c r="AW72" s="62" t="str">
        <f>IF(AW71="","",VLOOKUP(AW71,'Tech Tree Node Parameters'!$A$3:$B$218,2,FALSE))</f>
        <v/>
      </c>
      <c r="AX72" s="62" t="str">
        <f>IF(AX71="","",VLOOKUP(AX71,'Tech Tree Node Parameters'!$A$3:$B$218,2,FALSE))</f>
        <v/>
      </c>
      <c r="AY72" s="57" t="str">
        <f>IF(AY71="","",VLOOKUP(AY71,'Tech Tree Node Parameters'!$A$3:$B$218,2,FALSE))</f>
        <v/>
      </c>
      <c r="AZ72" s="62" t="str">
        <f>IF(AZ71="","",VLOOKUP(AZ71,'Tech Tree Node Parameters'!$A$3:$B$218,2,FALSE))</f>
        <v/>
      </c>
      <c r="BA72" s="57" t="str">
        <f>IF(BA71="","",VLOOKUP(BA71,'Tech Tree Node Parameters'!$A$3:$B$218,2,FALSE))</f>
        <v/>
      </c>
      <c r="BB72" s="62" t="str">
        <f>IF(BB71="","",VLOOKUP(BB71,'Tech Tree Node Parameters'!$A$3:$B$218,2,FALSE))</f>
        <v/>
      </c>
      <c r="BC72" s="62" t="str">
        <f>IF(BC71="","",VLOOKUP(BC71,'Tech Tree Node Parameters'!$A$3:$B$218,2,FALSE))</f>
        <v/>
      </c>
      <c r="BD72" s="62" t="str">
        <f>IF(BD71="","",VLOOKUP(BD71,'Tech Tree Node Parameters'!$A$3:$B$218,2,FALSE))</f>
        <v/>
      </c>
      <c r="BE72" s="62" t="str">
        <f>IF(BE71="","",VLOOKUP(BE71,'Tech Tree Node Parameters'!$A$3:$B$218,2,FALSE))</f>
        <v/>
      </c>
      <c r="BF72" s="62" t="str">
        <f>IF(BF71="","",VLOOKUP(BF71,'Tech Tree Node Parameters'!$A$3:$B$218,2,FALSE))</f>
        <v/>
      </c>
      <c r="BG72" s="62" t="str">
        <f>IF(BG71="","",VLOOKUP(BG71,'Tech Tree Node Parameters'!$A$3:$B$218,2,FALSE))</f>
        <v>Strap-on Boosters</v>
      </c>
      <c r="BH72" s="62" t="str">
        <f>IF(BH71="","",VLOOKUP(BH71,'Tech Tree Node Parameters'!$A$3:$B$218,2,FALSE))</f>
        <v/>
      </c>
      <c r="BI72" s="62" t="str">
        <f>IF(BI71="","",VLOOKUP(BI71,'Tech Tree Node Parameters'!$A$3:$B$218,2,FALSE))</f>
        <v>Advanced Radial Decouplers</v>
      </c>
      <c r="BJ72" s="62" t="str">
        <f>IF(BJ71="","",VLOOKUP(BJ71,'Tech Tree Node Parameters'!$A$3:$B$218,2,FALSE))</f>
        <v/>
      </c>
      <c r="BK72" s="62" t="str">
        <f>IF(BK71="","",VLOOKUP(BK71,'Tech Tree Node Parameters'!$A$3:$B$218,2,FALSE))</f>
        <v>Experimental Radial Decouplers</v>
      </c>
      <c r="BL72" s="62" t="str">
        <f>IF(BL71="","",VLOOKUP(BL71,'Tech Tree Node Parameters'!$A$3:$B$218,2,FALSE))</f>
        <v/>
      </c>
      <c r="BM72" s="62" t="str">
        <f>IF(BM71="","",VLOOKUP(BM71,'Tech Tree Node Parameters'!$A$3:$B$218,2,FALSE))</f>
        <v/>
      </c>
      <c r="BN72" s="62" t="str">
        <f>IF(BN71="","",VLOOKUP(BN71,'Tech Tree Node Parameters'!$A$3:$B$218,2,FALSE))</f>
        <v/>
      </c>
      <c r="BO72" s="62" t="str">
        <f>IF(BO71="","",VLOOKUP(BO71,'Tech Tree Node Parameters'!$A$3:$B$218,2,FALSE))</f>
        <v/>
      </c>
      <c r="BP72" s="62" t="str">
        <f>IF(BP71="","",VLOOKUP(BP71,'Tech Tree Node Parameters'!$A$3:$B$218,2,FALSE))</f>
        <v/>
      </c>
      <c r="BQ72" s="62" t="str">
        <f>IF(BQ71="","",VLOOKUP(BQ71,'Tech Tree Node Parameters'!$A$3:$B$218,2,FALSE))</f>
        <v/>
      </c>
      <c r="BR72" s="62" t="str">
        <f>IF(BR71="","",VLOOKUP(BR71,'Tech Tree Node Parameters'!$A$3:$B$218,2,FALSE))</f>
        <v/>
      </c>
      <c r="BS72" s="62" t="str">
        <f>IF(BS71="","",VLOOKUP(BS71,'Tech Tree Node Parameters'!$A$3:$B$218,2,FALSE))</f>
        <v/>
      </c>
      <c r="BT72" s="62" t="str">
        <f>IF(BT71="","",VLOOKUP(BT71,'Tech Tree Node Parameters'!$A$3:$B$218,2,FALSE))</f>
        <v/>
      </c>
      <c r="BU72" s="62" t="str">
        <f>IF(BU71="","",VLOOKUP(BU71,'Tech Tree Node Parameters'!$A$3:$B$218,2,FALSE))</f>
        <v/>
      </c>
      <c r="BV72" s="62" t="str">
        <f>IF(BV71="","",VLOOKUP(BV71,'Tech Tree Node Parameters'!$A$3:$B$218,2,FALSE))</f>
        <v/>
      </c>
      <c r="BW72" s="62" t="str">
        <f>IF(BW71="","",VLOOKUP(BW71,'Tech Tree Node Parameters'!$A$3:$B$218,2,FALSE))</f>
        <v/>
      </c>
      <c r="BX72" s="62" t="str">
        <f>IF(BX71="","",VLOOKUP(BX71,'Tech Tree Node Parameters'!$A$3:$B$218,2,FALSE))</f>
        <v/>
      </c>
      <c r="BY72" s="62" t="str">
        <f>IF(BY71="","",VLOOKUP(BY71,'Tech Tree Node Parameters'!$A$3:$B$218,2,FALSE))</f>
        <v/>
      </c>
      <c r="BZ72" s="62" t="str">
        <f>IF(BZ71="","",VLOOKUP(BZ71,'Tech Tree Node Parameters'!$A$3:$B$218,2,FALSE))</f>
        <v/>
      </c>
      <c r="CA72" s="62" t="str">
        <f>IF(CA71="","",VLOOKUP(CA71,'Tech Tree Node Parameters'!$A$3:$B$218,2,FALSE))</f>
        <v/>
      </c>
      <c r="CB72" s="62" t="str">
        <f>IF(CB71="","",VLOOKUP(CB71,'Tech Tree Node Parameters'!$A$3:$B$218,2,FALSE))</f>
        <v/>
      </c>
      <c r="CC72" s="62" t="str">
        <f>IF(CC71="","",VLOOKUP(CC71,'Tech Tree Node Parameters'!$A$3:$B$218,2,FALSE))</f>
        <v/>
      </c>
      <c r="CD72" s="62" t="str">
        <f>IF(CD71="","",VLOOKUP(CD71,'Tech Tree Node Parameters'!$A$3:$B$218,2,FALSE))</f>
        <v/>
      </c>
      <c r="CE72" s="62" t="str">
        <f>IF(CE71="","",VLOOKUP(CE71,'Tech Tree Node Parameters'!$A$3:$B$218,2,FALSE))</f>
        <v/>
      </c>
      <c r="CF72" s="62" t="str">
        <f>IF(CF71="","",VLOOKUP(CF71,'Tech Tree Node Parameters'!$A$3:$B$218,2,FALSE))</f>
        <v/>
      </c>
      <c r="CG72" s="62" t="str">
        <f>IF(CG71="","",VLOOKUP(CG71,'Tech Tree Node Parameters'!$A$3:$B$218,2,FALSE))</f>
        <v/>
      </c>
      <c r="CH72" s="62" t="str">
        <f>IF(CH71="","",VLOOKUP(CH71,'Tech Tree Node Parameters'!$A$3:$B$218,2,FALSE))</f>
        <v/>
      </c>
      <c r="CI72" s="62" t="str">
        <f>IF(CI71="","",VLOOKUP(CI71,'Tech Tree Node Parameters'!$A$3:$B$218,2,FALSE))</f>
        <v/>
      </c>
      <c r="CJ72" s="62" t="str">
        <f>IF(CJ71="","",VLOOKUP(CJ71,'Tech Tree Node Parameters'!$A$3:$B$218,2,FALSE))</f>
        <v/>
      </c>
      <c r="CK72" s="62" t="str">
        <f>IF(CK71="","",VLOOKUP(CK71,'Tech Tree Node Parameters'!$A$3:$B$218,2,FALSE))</f>
        <v/>
      </c>
      <c r="CL72" s="62" t="str">
        <f>IF(CL71="","",VLOOKUP(CL71,'Tech Tree Node Parameters'!$A$3:$B$218,2,FALSE))</f>
        <v/>
      </c>
      <c r="CM72" s="62" t="str">
        <f>IF(CM71="","",VLOOKUP(CM71,'Tech Tree Node Parameters'!$A$3:$B$218,2,FALSE))</f>
        <v/>
      </c>
      <c r="CN72" s="62" t="str">
        <f>IF(CN71="","",VLOOKUP(CN71,'Tech Tree Node Parameters'!$A$3:$B$218,2,FALSE))</f>
        <v/>
      </c>
      <c r="CO72" s="62" t="str">
        <f>IF(CO71="","",VLOOKUP(CO71,'Tech Tree Node Parameters'!$A$3:$B$218,2,FALSE))</f>
        <v/>
      </c>
      <c r="CP72" s="62" t="str">
        <f>IF(CP71="","",VLOOKUP(CP71,'Tech Tree Node Parameters'!$A$3:$B$218,2,FALSE))</f>
        <v/>
      </c>
      <c r="CQ72" s="62" t="str">
        <f>IF(CQ71="","",VLOOKUP(CQ71,'Tech Tree Node Parameters'!$A$3:$B$218,2,FALSE))</f>
        <v/>
      </c>
      <c r="CR72" s="62" t="str">
        <f>IF(CR71="","",VLOOKUP(CR71,'Tech Tree Node Parameters'!$A$3:$B$218,2,FALSE))</f>
        <v/>
      </c>
      <c r="CS72" s="62" t="str">
        <f>IF(CS71="","",VLOOKUP(CS71,'Tech Tree Node Parameters'!$A$3:$B$218,2,FALSE))</f>
        <v/>
      </c>
      <c r="CT72" s="62" t="str">
        <f>IF(CT71="","",VLOOKUP(CT71,'Tech Tree Node Parameters'!$A$3:$B$218,2,FALSE))</f>
        <v/>
      </c>
      <c r="CU72" s="62" t="str">
        <f>IF(CU71="","",VLOOKUP(CU71,'Tech Tree Node Parameters'!$A$3:$B$218,2,FALSE))</f>
        <v/>
      </c>
      <c r="CV72" s="62" t="str">
        <f>IF(CV71="","",VLOOKUP(CV71,'Tech Tree Node Parameters'!$A$3:$B$218,2,FALSE))</f>
        <v/>
      </c>
      <c r="CW72" s="62" t="str">
        <f>IF(CW71="","",VLOOKUP(CW71,'Tech Tree Node Parameters'!$A$3:$B$218,2,FALSE))</f>
        <v/>
      </c>
      <c r="CX72" s="62" t="str">
        <f>IF(CX71="","",VLOOKUP(CX71,'Tech Tree Node Parameters'!$A$3:$B$218,2,FALSE))</f>
        <v/>
      </c>
      <c r="CY72" s="36" t="str">
        <f>IF(CY71="","",VLOOKUP(CY71,'Tech Tree Node Parameters'!$A$3:$B$218,2,FALSE))</f>
        <v/>
      </c>
    </row>
    <row r="73" spans="1:103" x14ac:dyDescent="0.25">
      <c r="A73" s="72">
        <f t="shared" ref="A73" si="15">A75+1</f>
        <v>27</v>
      </c>
      <c r="B73" s="69">
        <f>B75+$D$6</f>
        <v>1063</v>
      </c>
      <c r="C73" s="39"/>
      <c r="D73" s="61"/>
      <c r="E73" s="61"/>
      <c r="F73" s="61"/>
      <c r="G73" s="61"/>
      <c r="H73" s="61"/>
      <c r="I73" s="61"/>
      <c r="J73" s="61"/>
      <c r="K73" s="61"/>
      <c r="L73" s="61"/>
      <c r="M73" s="61"/>
      <c r="N73" s="61"/>
      <c r="O73" s="61"/>
      <c r="P73" s="61"/>
      <c r="Q73" s="61"/>
      <c r="R73" s="61"/>
      <c r="S73" s="61"/>
      <c r="T73" s="61"/>
      <c r="U73" s="61"/>
      <c r="V73" s="61"/>
      <c r="W73" s="61"/>
      <c r="X73" s="61"/>
      <c r="Y73" s="61"/>
      <c r="Z73" s="61"/>
      <c r="AA73" s="61"/>
      <c r="AB73" s="61"/>
      <c r="AC73" s="61"/>
      <c r="AD73" s="61"/>
      <c r="AE73" s="61"/>
      <c r="AF73" s="61"/>
      <c r="AG73" s="61"/>
      <c r="AH73" s="61"/>
      <c r="AI73" s="61"/>
      <c r="AJ73" s="61"/>
      <c r="AK73" s="61"/>
      <c r="AL73" s="61"/>
      <c r="AM73" s="61"/>
      <c r="AN73" s="61"/>
      <c r="AO73" s="61"/>
      <c r="AP73" s="61"/>
      <c r="AQ73" s="61"/>
      <c r="AR73" s="61"/>
      <c r="AS73" s="61"/>
      <c r="AT73" s="61"/>
      <c r="AU73" s="61"/>
      <c r="AV73" s="61"/>
      <c r="AW73" s="61"/>
      <c r="AX73" s="61"/>
      <c r="AY73" s="61"/>
      <c r="AZ73" s="61"/>
      <c r="BA73" s="61"/>
      <c r="BB73" s="61"/>
      <c r="BC73" s="61"/>
      <c r="BD73" s="61"/>
      <c r="BE73" s="61"/>
      <c r="BF73" s="61"/>
      <c r="BG73" s="61"/>
      <c r="BH73" s="61"/>
      <c r="BI73" s="61"/>
      <c r="BJ73" s="61"/>
      <c r="BK73" s="61"/>
      <c r="BL73" s="61"/>
      <c r="BM73" s="61"/>
      <c r="BN73" s="61"/>
      <c r="BO73" s="61"/>
      <c r="BP73" s="61"/>
      <c r="BQ73" s="61"/>
      <c r="BR73" s="61"/>
      <c r="BS73" s="61"/>
      <c r="BT73" s="61"/>
      <c r="BU73" s="61"/>
      <c r="BV73" s="61"/>
      <c r="BW73" s="61"/>
      <c r="BX73" s="61"/>
      <c r="BY73" s="61"/>
      <c r="BZ73" s="61"/>
      <c r="CA73" s="61"/>
      <c r="CB73" s="61"/>
      <c r="CC73" s="61"/>
      <c r="CD73" s="61"/>
      <c r="CE73" s="61"/>
      <c r="CF73" s="61"/>
      <c r="CG73" s="61"/>
      <c r="CH73" s="61"/>
      <c r="CI73" s="61"/>
      <c r="CJ73" s="61"/>
      <c r="CK73" s="61"/>
      <c r="CL73" s="61"/>
      <c r="CM73" s="61"/>
      <c r="CN73" s="61"/>
      <c r="CO73" s="61"/>
      <c r="CP73" s="61"/>
      <c r="CQ73" s="61"/>
      <c r="CR73" s="61"/>
      <c r="CS73" s="61"/>
      <c r="CT73" s="61"/>
      <c r="CU73" s="61"/>
      <c r="CV73" s="61"/>
      <c r="CW73" s="61"/>
      <c r="CX73" s="61"/>
      <c r="CY73" s="35"/>
    </row>
    <row r="74" spans="1:103" x14ac:dyDescent="0.25">
      <c r="A74" s="72"/>
      <c r="B74" s="70"/>
      <c r="C74" s="40"/>
      <c r="D74" s="62" t="str">
        <f>IF(D73="","",VLOOKUP(D73,'Tech Tree Node Parameters'!$A$3:$B$218,2,FALSE))</f>
        <v/>
      </c>
      <c r="E74" s="62" t="str">
        <f>IF(E73="","",VLOOKUP(E73,'Tech Tree Node Parameters'!$A$3:$B$218,2,FALSE))</f>
        <v/>
      </c>
      <c r="F74" s="62" t="str">
        <f>IF(F73="","",VLOOKUP(F73,'Tech Tree Node Parameters'!$A$3:$B$218,2,FALSE))</f>
        <v/>
      </c>
      <c r="G74" s="62" t="str">
        <f>IF(G73="","",VLOOKUP(G73,'Tech Tree Node Parameters'!$A$3:$B$218,2,FALSE))</f>
        <v/>
      </c>
      <c r="H74" s="62" t="str">
        <f>IF(H73="","",VLOOKUP(H73,'Tech Tree Node Parameters'!$A$3:$B$218,2,FALSE))</f>
        <v/>
      </c>
      <c r="I74" s="62" t="str">
        <f>IF(I73="","",VLOOKUP(I73,'Tech Tree Node Parameters'!$A$3:$B$218,2,FALSE))</f>
        <v/>
      </c>
      <c r="J74" s="62" t="str">
        <f>IF(J73="","",VLOOKUP(J73,'Tech Tree Node Parameters'!$A$3:$B$218,2,FALSE))</f>
        <v/>
      </c>
      <c r="K74" s="62" t="str">
        <f>IF(K73="","",VLOOKUP(K73,'Tech Tree Node Parameters'!$A$3:$B$218,2,FALSE))</f>
        <v/>
      </c>
      <c r="L74" s="62" t="str">
        <f>IF(L73="","",VLOOKUP(L73,'Tech Tree Node Parameters'!$A$3:$B$218,2,FALSE))</f>
        <v/>
      </c>
      <c r="M74" s="62" t="str">
        <f>IF(M73="","",VLOOKUP(M73,'Tech Tree Node Parameters'!$A$3:$B$218,2,FALSE))</f>
        <v/>
      </c>
      <c r="N74" s="62" t="str">
        <f>IF(N73="","",VLOOKUP(N73,'Tech Tree Node Parameters'!$A$3:$B$218,2,FALSE))</f>
        <v/>
      </c>
      <c r="O74" s="62" t="str">
        <f>IF(O73="","",VLOOKUP(O73,'Tech Tree Node Parameters'!$A$3:$B$218,2,FALSE))</f>
        <v/>
      </c>
      <c r="P74" s="62" t="str">
        <f>IF(P73="","",VLOOKUP(P73,'Tech Tree Node Parameters'!$A$3:$B$218,2,FALSE))</f>
        <v/>
      </c>
      <c r="Q74" s="62" t="str">
        <f>IF(Q73="","",VLOOKUP(Q73,'Tech Tree Node Parameters'!$A$3:$B$218,2,FALSE))</f>
        <v/>
      </c>
      <c r="R74" s="62" t="str">
        <f>IF(R73="","",VLOOKUP(R73,'Tech Tree Node Parameters'!$A$3:$B$218,2,FALSE))</f>
        <v/>
      </c>
      <c r="S74" s="62" t="str">
        <f>IF(S73="","",VLOOKUP(S73,'Tech Tree Node Parameters'!$A$3:$B$218,2,FALSE))</f>
        <v/>
      </c>
      <c r="T74" s="62" t="str">
        <f>IF(T73="","",VLOOKUP(T73,'Tech Tree Node Parameters'!$A$3:$B$218,2,FALSE))</f>
        <v/>
      </c>
      <c r="U74" s="62" t="str">
        <f>IF(U73="","",VLOOKUP(U73,'Tech Tree Node Parameters'!$A$3:$B$218,2,FALSE))</f>
        <v/>
      </c>
      <c r="V74" s="62" t="str">
        <f>IF(V73="","",VLOOKUP(V73,'Tech Tree Node Parameters'!$A$3:$B$218,2,FALSE))</f>
        <v/>
      </c>
      <c r="W74" s="62" t="str">
        <f>IF(W73="","",VLOOKUP(W73,'Tech Tree Node Parameters'!$A$3:$B$218,2,FALSE))</f>
        <v/>
      </c>
      <c r="X74" s="62" t="str">
        <f>IF(X73="","",VLOOKUP(X73,'Tech Tree Node Parameters'!$A$3:$B$218,2,FALSE))</f>
        <v/>
      </c>
      <c r="Y74" s="62" t="str">
        <f>IF(Y73="","",VLOOKUP(Y73,'Tech Tree Node Parameters'!$A$3:$B$218,2,FALSE))</f>
        <v/>
      </c>
      <c r="Z74" s="62" t="str">
        <f>IF(Z73="","",VLOOKUP(Z73,'Tech Tree Node Parameters'!$A$3:$B$218,2,FALSE))</f>
        <v/>
      </c>
      <c r="AA74" s="62" t="str">
        <f>IF(AA73="","",VLOOKUP(AA73,'Tech Tree Node Parameters'!$A$3:$B$218,2,FALSE))</f>
        <v/>
      </c>
      <c r="AB74" s="62" t="str">
        <f>IF(AB73="","",VLOOKUP(AB73,'Tech Tree Node Parameters'!$A$3:$B$218,2,FALSE))</f>
        <v/>
      </c>
      <c r="AC74" s="62" t="str">
        <f>IF(AC73="","",VLOOKUP(AC73,'Tech Tree Node Parameters'!$A$3:$B$218,2,FALSE))</f>
        <v/>
      </c>
      <c r="AD74" s="62" t="str">
        <f>IF(AD73="","",VLOOKUP(AD73,'Tech Tree Node Parameters'!$A$3:$B$218,2,FALSE))</f>
        <v/>
      </c>
      <c r="AE74" s="62" t="str">
        <f>IF(AE73="","",VLOOKUP(AE73,'Tech Tree Node Parameters'!$A$3:$B$218,2,FALSE))</f>
        <v/>
      </c>
      <c r="AF74" s="62" t="str">
        <f>IF(AF73="","",VLOOKUP(AF73,'Tech Tree Node Parameters'!$A$3:$B$218,2,FALSE))</f>
        <v/>
      </c>
      <c r="AG74" s="62" t="str">
        <f>IF(AG73="","",VLOOKUP(AG73,'Tech Tree Node Parameters'!$A$3:$B$218,2,FALSE))</f>
        <v/>
      </c>
      <c r="AH74" s="62" t="str">
        <f>IF(AH73="","",VLOOKUP(AH73,'Tech Tree Node Parameters'!$A$3:$B$218,2,FALSE))</f>
        <v/>
      </c>
      <c r="AI74" s="62" t="str">
        <f>IF(AI73="","",VLOOKUP(AI73,'Tech Tree Node Parameters'!$A$3:$B$218,2,FALSE))</f>
        <v/>
      </c>
      <c r="AJ74" s="62" t="str">
        <f>IF(AJ73="","",VLOOKUP(AJ73,'Tech Tree Node Parameters'!$A$3:$B$218,2,FALSE))</f>
        <v/>
      </c>
      <c r="AK74" s="62" t="str">
        <f>IF(AK73="","",VLOOKUP(AK73,'Tech Tree Node Parameters'!$A$3:$B$218,2,FALSE))</f>
        <v/>
      </c>
      <c r="AL74" s="62" t="str">
        <f>IF(AL73="","",VLOOKUP(AL73,'Tech Tree Node Parameters'!$A$3:$B$218,2,FALSE))</f>
        <v/>
      </c>
      <c r="AM74" s="62" t="str">
        <f>IF(AM73="","",VLOOKUP(AM73,'Tech Tree Node Parameters'!$A$3:$B$218,2,FALSE))</f>
        <v/>
      </c>
      <c r="AN74" s="62" t="str">
        <f>IF(AN73="","",VLOOKUP(AN73,'Tech Tree Node Parameters'!$A$3:$B$218,2,FALSE))</f>
        <v/>
      </c>
      <c r="AO74" s="62" t="str">
        <f>IF(AO73="","",VLOOKUP(AO73,'Tech Tree Node Parameters'!$A$3:$B$218,2,FALSE))</f>
        <v/>
      </c>
      <c r="AP74" s="62" t="str">
        <f>IF(AP73="","",VLOOKUP(AP73,'Tech Tree Node Parameters'!$A$3:$B$218,2,FALSE))</f>
        <v/>
      </c>
      <c r="AQ74" s="62" t="str">
        <f>IF(AQ73="","",VLOOKUP(AQ73,'Tech Tree Node Parameters'!$A$3:$B$218,2,FALSE))</f>
        <v/>
      </c>
      <c r="AR74" s="62" t="str">
        <f>IF(AR73="","",VLOOKUP(AR73,'Tech Tree Node Parameters'!$A$3:$B$218,2,FALSE))</f>
        <v/>
      </c>
      <c r="AS74" s="62" t="str">
        <f>IF(AS73="","",VLOOKUP(AS73,'Tech Tree Node Parameters'!$A$3:$B$218,2,FALSE))</f>
        <v/>
      </c>
      <c r="AT74" s="62" t="str">
        <f>IF(AT73="","",VLOOKUP(AT73,'Tech Tree Node Parameters'!$A$3:$B$218,2,FALSE))</f>
        <v/>
      </c>
      <c r="AU74" s="62" t="str">
        <f>IF(AU73="","",VLOOKUP(AU73,'Tech Tree Node Parameters'!$A$3:$B$218,2,FALSE))</f>
        <v/>
      </c>
      <c r="AV74" s="62" t="str">
        <f>IF(AV73="","",VLOOKUP(AV73,'Tech Tree Node Parameters'!$A$3:$B$218,2,FALSE))</f>
        <v/>
      </c>
      <c r="AW74" s="62" t="str">
        <f>IF(AW73="","",VLOOKUP(AW73,'Tech Tree Node Parameters'!$A$3:$B$218,2,FALSE))</f>
        <v/>
      </c>
      <c r="AX74" s="62" t="str">
        <f>IF(AX73="","",VLOOKUP(AX73,'Tech Tree Node Parameters'!$A$3:$B$218,2,FALSE))</f>
        <v/>
      </c>
      <c r="AY74" s="62" t="str">
        <f>IF(AY73="","",VLOOKUP(AY73,'Tech Tree Node Parameters'!$A$3:$B$218,2,FALSE))</f>
        <v/>
      </c>
      <c r="AZ74" s="62" t="str">
        <f>IF(AZ73="","",VLOOKUP(AZ73,'Tech Tree Node Parameters'!$A$3:$B$218,2,FALSE))</f>
        <v/>
      </c>
      <c r="BA74" s="62" t="str">
        <f>IF(BA73="","",VLOOKUP(BA73,'Tech Tree Node Parameters'!$A$3:$B$218,2,FALSE))</f>
        <v/>
      </c>
      <c r="BB74" s="62" t="str">
        <f>IF(BB73="","",VLOOKUP(BB73,'Tech Tree Node Parameters'!$A$3:$B$218,2,FALSE))</f>
        <v/>
      </c>
      <c r="BC74" s="62" t="str">
        <f>IF(BC73="","",VLOOKUP(BC73,'Tech Tree Node Parameters'!$A$3:$B$218,2,FALSE))</f>
        <v/>
      </c>
      <c r="BD74" s="62" t="str">
        <f>IF(BD73="","",VLOOKUP(BD73,'Tech Tree Node Parameters'!$A$3:$B$218,2,FALSE))</f>
        <v/>
      </c>
      <c r="BE74" s="62" t="str">
        <f>IF(BE73="","",VLOOKUP(BE73,'Tech Tree Node Parameters'!$A$3:$B$218,2,FALSE))</f>
        <v/>
      </c>
      <c r="BF74" s="62" t="str">
        <f>IF(BF73="","",VLOOKUP(BF73,'Tech Tree Node Parameters'!$A$3:$B$218,2,FALSE))</f>
        <v/>
      </c>
      <c r="BG74" s="62" t="str">
        <f>IF(BG73="","",VLOOKUP(BG73,'Tech Tree Node Parameters'!$A$3:$B$218,2,FALSE))</f>
        <v/>
      </c>
      <c r="BH74" s="62" t="str">
        <f>IF(BH73="","",VLOOKUP(BH73,'Tech Tree Node Parameters'!$A$3:$B$218,2,FALSE))</f>
        <v/>
      </c>
      <c r="BI74" s="62" t="str">
        <f>IF(BI73="","",VLOOKUP(BI73,'Tech Tree Node Parameters'!$A$3:$B$218,2,FALSE))</f>
        <v/>
      </c>
      <c r="BJ74" s="62" t="str">
        <f>IF(BJ73="","",VLOOKUP(BJ73,'Tech Tree Node Parameters'!$A$3:$B$218,2,FALSE))</f>
        <v/>
      </c>
      <c r="BK74" s="62" t="str">
        <f>IF(BK73="","",VLOOKUP(BK73,'Tech Tree Node Parameters'!$A$3:$B$218,2,FALSE))</f>
        <v/>
      </c>
      <c r="BL74" s="62" t="str">
        <f>IF(BL73="","",VLOOKUP(BL73,'Tech Tree Node Parameters'!$A$3:$B$218,2,FALSE))</f>
        <v/>
      </c>
      <c r="BM74" s="62" t="str">
        <f>IF(BM73="","",VLOOKUP(BM73,'Tech Tree Node Parameters'!$A$3:$B$218,2,FALSE))</f>
        <v/>
      </c>
      <c r="BN74" s="62" t="str">
        <f>IF(BN73="","",VLOOKUP(BN73,'Tech Tree Node Parameters'!$A$3:$B$218,2,FALSE))</f>
        <v/>
      </c>
      <c r="BO74" s="62" t="str">
        <f>IF(BO73="","",VLOOKUP(BO73,'Tech Tree Node Parameters'!$A$3:$B$218,2,FALSE))</f>
        <v/>
      </c>
      <c r="BP74" s="62" t="str">
        <f>IF(BP73="","",VLOOKUP(BP73,'Tech Tree Node Parameters'!$A$3:$B$218,2,FALSE))</f>
        <v/>
      </c>
      <c r="BQ74" s="62" t="str">
        <f>IF(BQ73="","",VLOOKUP(BQ73,'Tech Tree Node Parameters'!$A$3:$B$218,2,FALSE))</f>
        <v/>
      </c>
      <c r="BR74" s="62" t="str">
        <f>IF(BR73="","",VLOOKUP(BR73,'Tech Tree Node Parameters'!$A$3:$B$218,2,FALSE))</f>
        <v/>
      </c>
      <c r="BS74" s="62" t="str">
        <f>IF(BS73="","",VLOOKUP(BS73,'Tech Tree Node Parameters'!$A$3:$B$218,2,FALSE))</f>
        <v/>
      </c>
      <c r="BT74" s="62" t="str">
        <f>IF(BT73="","",VLOOKUP(BT73,'Tech Tree Node Parameters'!$A$3:$B$218,2,FALSE))</f>
        <v/>
      </c>
      <c r="BU74" s="62" t="str">
        <f>IF(BU73="","",VLOOKUP(BU73,'Tech Tree Node Parameters'!$A$3:$B$218,2,FALSE))</f>
        <v/>
      </c>
      <c r="BV74" s="62" t="str">
        <f>IF(BV73="","",VLOOKUP(BV73,'Tech Tree Node Parameters'!$A$3:$B$218,2,FALSE))</f>
        <v/>
      </c>
      <c r="BW74" s="62" t="str">
        <f>IF(BW73="","",VLOOKUP(BW73,'Tech Tree Node Parameters'!$A$3:$B$218,2,FALSE))</f>
        <v/>
      </c>
      <c r="BX74" s="62" t="str">
        <f>IF(BX73="","",VLOOKUP(BX73,'Tech Tree Node Parameters'!$A$3:$B$218,2,FALSE))</f>
        <v/>
      </c>
      <c r="BY74" s="62" t="str">
        <f>IF(BY73="","",VLOOKUP(BY73,'Tech Tree Node Parameters'!$A$3:$B$218,2,FALSE))</f>
        <v/>
      </c>
      <c r="BZ74" s="62" t="str">
        <f>IF(BZ73="","",VLOOKUP(BZ73,'Tech Tree Node Parameters'!$A$3:$B$218,2,FALSE))</f>
        <v/>
      </c>
      <c r="CA74" s="62" t="str">
        <f>IF(CA73="","",VLOOKUP(CA73,'Tech Tree Node Parameters'!$A$3:$B$218,2,FALSE))</f>
        <v/>
      </c>
      <c r="CB74" s="62" t="str">
        <f>IF(CB73="","",VLOOKUP(CB73,'Tech Tree Node Parameters'!$A$3:$B$218,2,FALSE))</f>
        <v/>
      </c>
      <c r="CC74" s="62" t="str">
        <f>IF(CC73="","",VLOOKUP(CC73,'Tech Tree Node Parameters'!$A$3:$B$218,2,FALSE))</f>
        <v/>
      </c>
      <c r="CD74" s="62" t="str">
        <f>IF(CD73="","",VLOOKUP(CD73,'Tech Tree Node Parameters'!$A$3:$B$218,2,FALSE))</f>
        <v/>
      </c>
      <c r="CE74" s="62" t="str">
        <f>IF(CE73="","",VLOOKUP(CE73,'Tech Tree Node Parameters'!$A$3:$B$218,2,FALSE))</f>
        <v/>
      </c>
      <c r="CF74" s="62" t="str">
        <f>IF(CF73="","",VLOOKUP(CF73,'Tech Tree Node Parameters'!$A$3:$B$218,2,FALSE))</f>
        <v/>
      </c>
      <c r="CG74" s="62" t="str">
        <f>IF(CG73="","",VLOOKUP(CG73,'Tech Tree Node Parameters'!$A$3:$B$218,2,FALSE))</f>
        <v/>
      </c>
      <c r="CH74" s="62" t="str">
        <f>IF(CH73="","",VLOOKUP(CH73,'Tech Tree Node Parameters'!$A$3:$B$218,2,FALSE))</f>
        <v/>
      </c>
      <c r="CI74" s="62" t="str">
        <f>IF(CI73="","",VLOOKUP(CI73,'Tech Tree Node Parameters'!$A$3:$B$218,2,FALSE))</f>
        <v/>
      </c>
      <c r="CJ74" s="62" t="str">
        <f>IF(CJ73="","",VLOOKUP(CJ73,'Tech Tree Node Parameters'!$A$3:$B$218,2,FALSE))</f>
        <v/>
      </c>
      <c r="CK74" s="62" t="str">
        <f>IF(CK73="","",VLOOKUP(CK73,'Tech Tree Node Parameters'!$A$3:$B$218,2,FALSE))</f>
        <v/>
      </c>
      <c r="CL74" s="62" t="str">
        <f>IF(CL73="","",VLOOKUP(CL73,'Tech Tree Node Parameters'!$A$3:$B$218,2,FALSE))</f>
        <v/>
      </c>
      <c r="CM74" s="62" t="str">
        <f>IF(CM73="","",VLOOKUP(CM73,'Tech Tree Node Parameters'!$A$3:$B$218,2,FALSE))</f>
        <v/>
      </c>
      <c r="CN74" s="62" t="str">
        <f>IF(CN73="","",VLOOKUP(CN73,'Tech Tree Node Parameters'!$A$3:$B$218,2,FALSE))</f>
        <v/>
      </c>
      <c r="CO74" s="62" t="str">
        <f>IF(CO73="","",VLOOKUP(CO73,'Tech Tree Node Parameters'!$A$3:$B$218,2,FALSE))</f>
        <v/>
      </c>
      <c r="CP74" s="62" t="str">
        <f>IF(CP73="","",VLOOKUP(CP73,'Tech Tree Node Parameters'!$A$3:$B$218,2,FALSE))</f>
        <v/>
      </c>
      <c r="CQ74" s="62" t="str">
        <f>IF(CQ73="","",VLOOKUP(CQ73,'Tech Tree Node Parameters'!$A$3:$B$218,2,FALSE))</f>
        <v/>
      </c>
      <c r="CR74" s="62" t="str">
        <f>IF(CR73="","",VLOOKUP(CR73,'Tech Tree Node Parameters'!$A$3:$B$218,2,FALSE))</f>
        <v/>
      </c>
      <c r="CS74" s="62" t="str">
        <f>IF(CS73="","",VLOOKUP(CS73,'Tech Tree Node Parameters'!$A$3:$B$218,2,FALSE))</f>
        <v/>
      </c>
      <c r="CT74" s="62" t="str">
        <f>IF(CT73="","",VLOOKUP(CT73,'Tech Tree Node Parameters'!$A$3:$B$218,2,FALSE))</f>
        <v/>
      </c>
      <c r="CU74" s="62" t="str">
        <f>IF(CU73="","",VLOOKUP(CU73,'Tech Tree Node Parameters'!$A$3:$B$218,2,FALSE))</f>
        <v/>
      </c>
      <c r="CV74" s="62" t="str">
        <f>IF(CV73="","",VLOOKUP(CV73,'Tech Tree Node Parameters'!$A$3:$B$218,2,FALSE))</f>
        <v/>
      </c>
      <c r="CW74" s="62" t="str">
        <f>IF(CW73="","",VLOOKUP(CW73,'Tech Tree Node Parameters'!$A$3:$B$218,2,FALSE))</f>
        <v/>
      </c>
      <c r="CX74" s="62" t="str">
        <f>IF(CX73="","",VLOOKUP(CX73,'Tech Tree Node Parameters'!$A$3:$B$218,2,FALSE))</f>
        <v/>
      </c>
      <c r="CY74" s="36" t="str">
        <f>IF(CY73="","",VLOOKUP(CY73,'Tech Tree Node Parameters'!$A$3:$B$218,2,FALSE))</f>
        <v/>
      </c>
    </row>
    <row r="75" spans="1:103" x14ac:dyDescent="0.25">
      <c r="A75" s="72">
        <f t="shared" ref="A75" si="16">A77+1</f>
        <v>26</v>
      </c>
      <c r="B75" s="69">
        <f>B77+$D$6</f>
        <v>1025</v>
      </c>
      <c r="C75" s="39"/>
      <c r="D75" s="61"/>
      <c r="E75" s="61"/>
      <c r="F75" s="61"/>
      <c r="G75" s="61"/>
      <c r="H75" s="61"/>
      <c r="I75" s="61"/>
      <c r="J75" s="61"/>
      <c r="K75" s="61"/>
      <c r="L75" s="61"/>
      <c r="M75" s="61"/>
      <c r="N75" s="61"/>
      <c r="O75" s="61"/>
      <c r="P75" s="61"/>
      <c r="Q75" s="61"/>
      <c r="R75" s="61"/>
      <c r="S75" s="61"/>
      <c r="T75" s="61"/>
      <c r="U75" s="61"/>
      <c r="V75" s="61"/>
      <c r="W75" s="61"/>
      <c r="X75" s="61"/>
      <c r="Y75" s="61"/>
      <c r="Z75" s="61"/>
      <c r="AA75" s="61"/>
      <c r="AB75" s="61"/>
      <c r="AC75" s="61"/>
      <c r="AD75" s="61"/>
      <c r="AE75" s="61"/>
      <c r="AF75" s="61"/>
      <c r="AG75" s="61"/>
      <c r="AH75" s="61"/>
      <c r="AI75" s="61" t="s">
        <v>506</v>
      </c>
      <c r="AJ75" s="61"/>
      <c r="AK75" s="61" t="s">
        <v>505</v>
      </c>
      <c r="AL75" s="61"/>
      <c r="AM75" s="61" t="s">
        <v>504</v>
      </c>
      <c r="AN75" s="61"/>
      <c r="AO75" s="61" t="s">
        <v>503</v>
      </c>
      <c r="AP75" s="61"/>
      <c r="AQ75" s="61" t="s">
        <v>63</v>
      </c>
      <c r="AR75" s="61"/>
      <c r="AS75" s="61"/>
      <c r="AT75" s="61"/>
      <c r="AU75" s="61"/>
      <c r="AV75" s="61"/>
      <c r="AW75" s="61"/>
      <c r="AX75" s="61"/>
      <c r="AY75" s="31" t="s">
        <v>50</v>
      </c>
      <c r="AZ75" s="61"/>
      <c r="BA75" s="31" t="s">
        <v>57</v>
      </c>
      <c r="BB75" s="61"/>
      <c r="BC75" s="61"/>
      <c r="BD75" s="61"/>
      <c r="BE75" s="61" t="s">
        <v>81</v>
      </c>
      <c r="BF75" s="61"/>
      <c r="BG75" s="61" t="s">
        <v>146</v>
      </c>
      <c r="BH75" s="61"/>
      <c r="BI75" s="61" t="s">
        <v>100</v>
      </c>
      <c r="BJ75" s="61"/>
      <c r="BK75" s="61" t="s">
        <v>167</v>
      </c>
      <c r="BL75" s="61"/>
      <c r="BM75" s="61"/>
      <c r="BN75" s="61"/>
      <c r="BO75" s="61"/>
      <c r="BP75" s="61"/>
      <c r="BQ75" s="61" t="s">
        <v>148</v>
      </c>
      <c r="BR75" s="61"/>
      <c r="BS75" s="61"/>
      <c r="BT75" s="61"/>
      <c r="BU75" s="61"/>
      <c r="BV75" s="61"/>
      <c r="BW75" s="61"/>
      <c r="BX75" s="61"/>
      <c r="BY75" s="61"/>
      <c r="BZ75" s="61"/>
      <c r="CA75" s="61"/>
      <c r="CB75" s="61"/>
      <c r="CC75" s="61"/>
      <c r="CD75" s="61"/>
      <c r="CE75" s="61"/>
      <c r="CF75" s="61"/>
      <c r="CG75" s="61"/>
      <c r="CH75" s="61"/>
      <c r="CI75" s="61"/>
      <c r="CJ75" s="61"/>
      <c r="CK75" s="61"/>
      <c r="CL75" s="61"/>
      <c r="CM75" s="61"/>
      <c r="CN75" s="61"/>
      <c r="CO75" s="61"/>
      <c r="CP75" s="61"/>
      <c r="CQ75" s="61"/>
      <c r="CR75" s="61"/>
      <c r="CS75" s="61"/>
      <c r="CT75" s="61"/>
      <c r="CU75" s="61"/>
      <c r="CV75" s="61"/>
      <c r="CW75" s="61"/>
      <c r="CX75" s="61"/>
      <c r="CY75" s="35"/>
    </row>
    <row r="76" spans="1:103" x14ac:dyDescent="0.25">
      <c r="A76" s="72"/>
      <c r="B76" s="70"/>
      <c r="C76" s="40"/>
      <c r="D76" s="62" t="str">
        <f>IF(D75="","",VLOOKUP(D75,'Tech Tree Node Parameters'!$A$3:$B$218,2,FALSE))</f>
        <v/>
      </c>
      <c r="E76" s="62" t="str">
        <f>IF(E75="","",VLOOKUP(E75,'Tech Tree Node Parameters'!$A$3:$B$218,2,FALSE))</f>
        <v/>
      </c>
      <c r="F76" s="62" t="str">
        <f>IF(F75="","",VLOOKUP(F75,'Tech Tree Node Parameters'!$A$3:$B$218,2,FALSE))</f>
        <v/>
      </c>
      <c r="G76" s="62" t="str">
        <f>IF(G75="","",VLOOKUP(G75,'Tech Tree Node Parameters'!$A$3:$B$218,2,FALSE))</f>
        <v/>
      </c>
      <c r="H76" s="62" t="str">
        <f>IF(H75="","",VLOOKUP(H75,'Tech Tree Node Parameters'!$A$3:$B$218,2,FALSE))</f>
        <v/>
      </c>
      <c r="I76" s="62" t="str">
        <f>IF(I75="","",VLOOKUP(I75,'Tech Tree Node Parameters'!$A$3:$B$218,2,FALSE))</f>
        <v/>
      </c>
      <c r="J76" s="62" t="str">
        <f>IF(J75="","",VLOOKUP(J75,'Tech Tree Node Parameters'!$A$3:$B$218,2,FALSE))</f>
        <v/>
      </c>
      <c r="K76" s="62" t="str">
        <f>IF(K75="","",VLOOKUP(K75,'Tech Tree Node Parameters'!$A$3:$B$218,2,FALSE))</f>
        <v/>
      </c>
      <c r="L76" s="62" t="str">
        <f>IF(L75="","",VLOOKUP(L75,'Tech Tree Node Parameters'!$A$3:$B$218,2,FALSE))</f>
        <v/>
      </c>
      <c r="M76" s="62" t="str">
        <f>IF(M75="","",VLOOKUP(M75,'Tech Tree Node Parameters'!$A$3:$B$218,2,FALSE))</f>
        <v/>
      </c>
      <c r="N76" s="62" t="str">
        <f>IF(N75="","",VLOOKUP(N75,'Tech Tree Node Parameters'!$A$3:$B$218,2,FALSE))</f>
        <v/>
      </c>
      <c r="O76" s="62" t="str">
        <f>IF(O75="","",VLOOKUP(O75,'Tech Tree Node Parameters'!$A$3:$B$218,2,FALSE))</f>
        <v/>
      </c>
      <c r="P76" s="62" t="str">
        <f>IF(P75="","",VLOOKUP(P75,'Tech Tree Node Parameters'!$A$3:$B$218,2,FALSE))</f>
        <v/>
      </c>
      <c r="Q76" s="62" t="str">
        <f>IF(Q75="","",VLOOKUP(Q75,'Tech Tree Node Parameters'!$A$3:$B$218,2,FALSE))</f>
        <v/>
      </c>
      <c r="R76" s="62" t="str">
        <f>IF(R75="","",VLOOKUP(R75,'Tech Tree Node Parameters'!$A$3:$B$218,2,FALSE))</f>
        <v/>
      </c>
      <c r="S76" s="62" t="str">
        <f>IF(S75="","",VLOOKUP(S75,'Tech Tree Node Parameters'!$A$3:$B$218,2,FALSE))</f>
        <v/>
      </c>
      <c r="T76" s="62" t="str">
        <f>IF(T75="","",VLOOKUP(T75,'Tech Tree Node Parameters'!$A$3:$B$218,2,FALSE))</f>
        <v/>
      </c>
      <c r="U76" s="62" t="str">
        <f>IF(U75="","",VLOOKUP(U75,'Tech Tree Node Parameters'!$A$3:$B$218,2,FALSE))</f>
        <v/>
      </c>
      <c r="V76" s="62" t="str">
        <f>IF(V75="","",VLOOKUP(V75,'Tech Tree Node Parameters'!$A$3:$B$218,2,FALSE))</f>
        <v/>
      </c>
      <c r="W76" s="62" t="str">
        <f>IF(W75="","",VLOOKUP(W75,'Tech Tree Node Parameters'!$A$3:$B$218,2,FALSE))</f>
        <v/>
      </c>
      <c r="X76" s="62" t="str">
        <f>IF(X75="","",VLOOKUP(X75,'Tech Tree Node Parameters'!$A$3:$B$218,2,FALSE))</f>
        <v/>
      </c>
      <c r="Y76" s="62" t="str">
        <f>IF(Y75="","",VLOOKUP(Y75,'Tech Tree Node Parameters'!$A$3:$B$218,2,FALSE))</f>
        <v/>
      </c>
      <c r="Z76" s="62" t="str">
        <f>IF(Z75="","",VLOOKUP(Z75,'Tech Tree Node Parameters'!$A$3:$B$218,2,FALSE))</f>
        <v/>
      </c>
      <c r="AA76" s="62" t="str">
        <f>IF(AA75="","",VLOOKUP(AA75,'Tech Tree Node Parameters'!$A$3:$B$218,2,FALSE))</f>
        <v/>
      </c>
      <c r="AB76" s="62" t="str">
        <f>IF(AB75="","",VLOOKUP(AB75,'Tech Tree Node Parameters'!$A$3:$B$218,2,FALSE))</f>
        <v/>
      </c>
      <c r="AC76" s="62" t="str">
        <f>IF(AC75="","",VLOOKUP(AC75,'Tech Tree Node Parameters'!$A$3:$B$218,2,FALSE))</f>
        <v/>
      </c>
      <c r="AD76" s="62" t="str">
        <f>IF(AD75="","",VLOOKUP(AD75,'Tech Tree Node Parameters'!$A$3:$B$218,2,FALSE))</f>
        <v/>
      </c>
      <c r="AE76" s="62" t="str">
        <f>IF(AE75="","",VLOOKUP(AE75,'Tech Tree Node Parameters'!$A$3:$B$218,2,FALSE))</f>
        <v/>
      </c>
      <c r="AF76" s="62" t="str">
        <f>IF(AF75="","",VLOOKUP(AF75,'Tech Tree Node Parameters'!$A$3:$B$218,2,FALSE))</f>
        <v/>
      </c>
      <c r="AG76" s="62" t="str">
        <f>IF(AG75="","",VLOOKUP(AG75,'Tech Tree Node Parameters'!$A$3:$B$218,2,FALSE))</f>
        <v/>
      </c>
      <c r="AH76" s="62" t="str">
        <f>IF(AH75="","",VLOOKUP(AH75,'Tech Tree Node Parameters'!$A$3:$B$218,2,FALSE))</f>
        <v/>
      </c>
      <c r="AI76" s="62" t="str">
        <f>IF(AI75="","",VLOOKUP(AI75,'Tech Tree Node Parameters'!$A$3:$B$218,2,FALSE))</f>
        <v>Gigantic Solid Rocket Motors</v>
      </c>
      <c r="AJ76" s="62" t="str">
        <f>IF(AJ75="","",VLOOKUP(AJ75,'Tech Tree Node Parameters'!$A$3:$B$218,2,FALSE))</f>
        <v/>
      </c>
      <c r="AK76" s="62" t="str">
        <f>IF(AK75="","",VLOOKUP(AK75,'Tech Tree Node Parameters'!$A$3:$B$218,2,FALSE))</f>
        <v>Very Heavy Solid Rocket Motors</v>
      </c>
      <c r="AL76" s="62" t="str">
        <f>IF(AL75="","",VLOOKUP(AL75,'Tech Tree Node Parameters'!$A$3:$B$218,2,FALSE))</f>
        <v/>
      </c>
      <c r="AM76" s="62" t="str">
        <f>IF(AM75="","",VLOOKUP(AM75,'Tech Tree Node Parameters'!$A$3:$B$218,2,FALSE))</f>
        <v>Heavy Solid Rocket Motors</v>
      </c>
      <c r="AN76" s="62" t="str">
        <f>IF(AN75="","",VLOOKUP(AN75,'Tech Tree Node Parameters'!$A$3:$B$218,2,FALSE))</f>
        <v/>
      </c>
      <c r="AO76" s="62" t="str">
        <f>IF(AO75="","",VLOOKUP(AO75,'Tech Tree Node Parameters'!$A$3:$B$218,2,FALSE))</f>
        <v>Advanced Solid Rocket Motors</v>
      </c>
      <c r="AP76" s="62" t="str">
        <f>IF(AP75="","",VLOOKUP(AP75,'Tech Tree Node Parameters'!$A$3:$B$218,2,FALSE))</f>
        <v/>
      </c>
      <c r="AQ76" s="62" t="str">
        <f>IF(AQ75="","",VLOOKUP(AQ75,'Tech Tree Node Parameters'!$A$3:$B$218,2,FALSE))</f>
        <v>Solid Rocket Motors</v>
      </c>
      <c r="AR76" s="62" t="str">
        <f>IF(AR75="","",VLOOKUP(AR75,'Tech Tree Node Parameters'!$A$3:$B$218,2,FALSE))</f>
        <v/>
      </c>
      <c r="AS76" s="62" t="str">
        <f>IF(AS75="","",VLOOKUP(AS75,'Tech Tree Node Parameters'!$A$3:$B$218,2,FALSE))</f>
        <v/>
      </c>
      <c r="AT76" s="62" t="str">
        <f>IF(AT75="","",VLOOKUP(AT75,'Tech Tree Node Parameters'!$A$3:$B$218,2,FALSE))</f>
        <v/>
      </c>
      <c r="AU76" s="62"/>
      <c r="AV76" s="62" t="str">
        <f>IF(AV75="","",VLOOKUP(AV75,'Tech Tree Node Parameters'!$A$3:$B$218,2,FALSE))</f>
        <v/>
      </c>
      <c r="AW76" s="62" t="str">
        <f>IF(AW75="","",VLOOKUP(AW75,'Tech Tree Node Parameters'!$A$3:$B$218,2,FALSE))</f>
        <v/>
      </c>
      <c r="AX76" s="62" t="str">
        <f>IF(AX75="","",VLOOKUP(AX75,'Tech Tree Node Parameters'!$A$3:$B$218,2,FALSE))</f>
        <v/>
      </c>
      <c r="AY76" s="57" t="str">
        <f>IF(AY75="","",VLOOKUP(AY75,'Tech Tree Node Parameters'!$A$3:$B$218,2,FALSE))</f>
        <v>Chemical Engineering</v>
      </c>
      <c r="AZ76" s="62" t="str">
        <f>IF(AZ75="","",VLOOKUP(AZ75,'Tech Tree Node Parameters'!$A$3:$B$218,2,FALSE))</f>
        <v/>
      </c>
      <c r="BA76" s="57" t="str">
        <f>IF(BA75="","",VLOOKUP(BA75,'Tech Tree Node Parameters'!$A$3:$B$218,2,FALSE))</f>
        <v>Mechanical Engineering</v>
      </c>
      <c r="BB76" s="62" t="str">
        <f>IF(BB75="","",VLOOKUP(BB75,'Tech Tree Node Parameters'!$A$3:$B$218,2,FALSE))</f>
        <v/>
      </c>
      <c r="BC76" s="62" t="str">
        <f>IF(BC75="","",VLOOKUP(BC75,'Tech Tree Node Parameters'!$A$3:$B$218,2,FALSE))</f>
        <v/>
      </c>
      <c r="BD76" s="62" t="str">
        <f>IF(BD75="","",VLOOKUP(BD75,'Tech Tree Node Parameters'!$A$3:$B$218,2,FALSE))</f>
        <v/>
      </c>
      <c r="BE76" s="62" t="str">
        <f>IF(BE75="","",VLOOKUP(BE75,'Tech Tree Node Parameters'!$A$3:$B$218,2,FALSE))</f>
        <v>General Construction</v>
      </c>
      <c r="BF76" s="62" t="str">
        <f>IF(BF75="","",VLOOKUP(BF75,'Tech Tree Node Parameters'!$A$3:$B$218,2,FALSE))</f>
        <v/>
      </c>
      <c r="BG76" s="62" t="s">
        <v>1350</v>
      </c>
      <c r="BH76" s="62" t="str">
        <f>IF(BH75="","",VLOOKUP(BH75,'Tech Tree Node Parameters'!$A$3:$B$218,2,FALSE))</f>
        <v/>
      </c>
      <c r="BI76" s="62" t="str">
        <f>IF(BI75="","",VLOOKUP(BI75,'Tech Tree Node Parameters'!$A$3:$B$218,2,FALSE))</f>
        <v>Advanced Actuators</v>
      </c>
      <c r="BJ76" s="62" t="str">
        <f>IF(BJ75="","",VLOOKUP(BJ75,'Tech Tree Node Parameters'!$A$3:$B$218,2,FALSE))</f>
        <v/>
      </c>
      <c r="BK76" s="62" t="s">
        <v>1351</v>
      </c>
      <c r="BL76" s="62" t="str">
        <f>IF(BL75="","",VLOOKUP(BL75,'Tech Tree Node Parameters'!$A$3:$B$218,2,FALSE))</f>
        <v/>
      </c>
      <c r="BM76" s="62" t="str">
        <f>IF(BM75="","",VLOOKUP(BM75,'Tech Tree Node Parameters'!$A$3:$B$218,2,FALSE))</f>
        <v/>
      </c>
      <c r="BN76" s="62" t="str">
        <f>IF(BN75="","",VLOOKUP(BN75,'Tech Tree Node Parameters'!$A$3:$B$218,2,FALSE))</f>
        <v/>
      </c>
      <c r="BO76" s="62" t="str">
        <f>IF(BO75="","",VLOOKUP(BO75,'Tech Tree Node Parameters'!$A$3:$B$218,2,FALSE))</f>
        <v/>
      </c>
      <c r="BP76" s="62" t="str">
        <f>IF(BP75="","",VLOOKUP(BP75,'Tech Tree Node Parameters'!$A$3:$B$218,2,FALSE))</f>
        <v/>
      </c>
      <c r="BQ76" s="62" t="s">
        <v>1352</v>
      </c>
      <c r="BR76" s="62" t="str">
        <f>IF(BR75="","",VLOOKUP(BR75,'Tech Tree Node Parameters'!$A$3:$B$218,2,FALSE))</f>
        <v/>
      </c>
      <c r="BS76" s="62" t="str">
        <f>IF(BS75="","",VLOOKUP(BS75,'Tech Tree Node Parameters'!$A$3:$B$218,2,FALSE))</f>
        <v/>
      </c>
      <c r="BT76" s="62" t="str">
        <f>IF(BT75="","",VLOOKUP(BT75,'Tech Tree Node Parameters'!$A$3:$B$218,2,FALSE))</f>
        <v/>
      </c>
      <c r="BU76" s="62" t="str">
        <f>IF(BU75="","",VLOOKUP(BU75,'Tech Tree Node Parameters'!$A$3:$B$218,2,FALSE))</f>
        <v/>
      </c>
      <c r="BV76" s="62" t="str">
        <f>IF(BV75="","",VLOOKUP(BV75,'Tech Tree Node Parameters'!$A$3:$B$218,2,FALSE))</f>
        <v/>
      </c>
      <c r="BW76" s="62" t="str">
        <f>IF(BW75="","",VLOOKUP(BW75,'Tech Tree Node Parameters'!$A$3:$B$218,2,FALSE))</f>
        <v/>
      </c>
      <c r="BX76" s="62" t="str">
        <f>IF(BX75="","",VLOOKUP(BX75,'Tech Tree Node Parameters'!$A$3:$B$218,2,FALSE))</f>
        <v/>
      </c>
      <c r="BY76" s="62" t="str">
        <f>IF(BY75="","",VLOOKUP(BY75,'Tech Tree Node Parameters'!$A$3:$B$218,2,FALSE))</f>
        <v/>
      </c>
      <c r="BZ76" s="62" t="str">
        <f>IF(BZ75="","",VLOOKUP(BZ75,'Tech Tree Node Parameters'!$A$3:$B$218,2,FALSE))</f>
        <v/>
      </c>
      <c r="CA76" s="62" t="str">
        <f>IF(CA75="","",VLOOKUP(CA75,'Tech Tree Node Parameters'!$A$3:$B$218,2,FALSE))</f>
        <v/>
      </c>
      <c r="CB76" s="62" t="str">
        <f>IF(CB75="","",VLOOKUP(CB75,'Tech Tree Node Parameters'!$A$3:$B$218,2,FALSE))</f>
        <v/>
      </c>
      <c r="CC76" s="62" t="str">
        <f>IF(CC75="","",VLOOKUP(CC75,'Tech Tree Node Parameters'!$A$3:$B$218,2,FALSE))</f>
        <v/>
      </c>
      <c r="CD76" s="62" t="str">
        <f>IF(CD75="","",VLOOKUP(CD75,'Tech Tree Node Parameters'!$A$3:$B$218,2,FALSE))</f>
        <v/>
      </c>
      <c r="CE76" s="62" t="str">
        <f>IF(CE75="","",VLOOKUP(CE75,'Tech Tree Node Parameters'!$A$3:$B$218,2,FALSE))</f>
        <v/>
      </c>
      <c r="CF76" s="62" t="str">
        <f>IF(CF75="","",VLOOKUP(CF75,'Tech Tree Node Parameters'!$A$3:$B$218,2,FALSE))</f>
        <v/>
      </c>
      <c r="CG76" s="62" t="str">
        <f>IF(CG75="","",VLOOKUP(CG75,'Tech Tree Node Parameters'!$A$3:$B$218,2,FALSE))</f>
        <v/>
      </c>
      <c r="CH76" s="62" t="str">
        <f>IF(CH75="","",VLOOKUP(CH75,'Tech Tree Node Parameters'!$A$3:$B$218,2,FALSE))</f>
        <v/>
      </c>
      <c r="CI76" s="62" t="str">
        <f>IF(CI75="","",VLOOKUP(CI75,'Tech Tree Node Parameters'!$A$3:$B$218,2,FALSE))</f>
        <v/>
      </c>
      <c r="CJ76" s="62" t="str">
        <f>IF(CJ75="","",VLOOKUP(CJ75,'Tech Tree Node Parameters'!$A$3:$B$218,2,FALSE))</f>
        <v/>
      </c>
      <c r="CK76" s="62" t="str">
        <f>IF(CK75="","",VLOOKUP(CK75,'Tech Tree Node Parameters'!$A$3:$B$218,2,FALSE))</f>
        <v/>
      </c>
      <c r="CL76" s="62" t="str">
        <f>IF(CL75="","",VLOOKUP(CL75,'Tech Tree Node Parameters'!$A$3:$B$218,2,FALSE))</f>
        <v/>
      </c>
      <c r="CM76" s="62" t="str">
        <f>IF(CM75="","",VLOOKUP(CM75,'Tech Tree Node Parameters'!$A$3:$B$218,2,FALSE))</f>
        <v/>
      </c>
      <c r="CN76" s="62" t="str">
        <f>IF(CN75="","",VLOOKUP(CN75,'Tech Tree Node Parameters'!$A$3:$B$218,2,FALSE))</f>
        <v/>
      </c>
      <c r="CO76" s="62" t="str">
        <f>IF(CO75="","",VLOOKUP(CO75,'Tech Tree Node Parameters'!$A$3:$B$218,2,FALSE))</f>
        <v/>
      </c>
      <c r="CP76" s="62" t="str">
        <f>IF(CP75="","",VLOOKUP(CP75,'Tech Tree Node Parameters'!$A$3:$B$218,2,FALSE))</f>
        <v/>
      </c>
      <c r="CQ76" s="62" t="str">
        <f>IF(CQ75="","",VLOOKUP(CQ75,'Tech Tree Node Parameters'!$A$3:$B$218,2,FALSE))</f>
        <v/>
      </c>
      <c r="CR76" s="62" t="str">
        <f>IF(CR75="","",VLOOKUP(CR75,'Tech Tree Node Parameters'!$A$3:$B$218,2,FALSE))</f>
        <v/>
      </c>
      <c r="CS76" s="62" t="str">
        <f>IF(CS75="","",VLOOKUP(CS75,'Tech Tree Node Parameters'!$A$3:$B$218,2,FALSE))</f>
        <v/>
      </c>
      <c r="CT76" s="62" t="str">
        <f>IF(CT75="","",VLOOKUP(CT75,'Tech Tree Node Parameters'!$A$3:$B$218,2,FALSE))</f>
        <v/>
      </c>
      <c r="CU76" s="62" t="str">
        <f>IF(CU75="","",VLOOKUP(CU75,'Tech Tree Node Parameters'!$A$3:$B$218,2,FALSE))</f>
        <v/>
      </c>
      <c r="CV76" s="62" t="str">
        <f>IF(CV75="","",VLOOKUP(CV75,'Tech Tree Node Parameters'!$A$3:$B$218,2,FALSE))</f>
        <v/>
      </c>
      <c r="CW76" s="62" t="str">
        <f>IF(CW75="","",VLOOKUP(CW75,'Tech Tree Node Parameters'!$A$3:$B$218,2,FALSE))</f>
        <v/>
      </c>
      <c r="CX76" s="62" t="str">
        <f>IF(CX75="","",VLOOKUP(CX75,'Tech Tree Node Parameters'!$A$3:$B$218,2,FALSE))</f>
        <v/>
      </c>
      <c r="CY76" s="36" t="str">
        <f>IF(CY75="","",VLOOKUP(CY75,'Tech Tree Node Parameters'!$A$3:$B$218,2,FALSE))</f>
        <v/>
      </c>
    </row>
    <row r="77" spans="1:103" x14ac:dyDescent="0.25">
      <c r="A77" s="72">
        <f t="shared" ref="A77" si="17">A79+1</f>
        <v>25</v>
      </c>
      <c r="B77" s="69">
        <f>B79+$D$6</f>
        <v>987</v>
      </c>
      <c r="C77" s="39"/>
      <c r="D77" s="61"/>
      <c r="E77" s="61"/>
      <c r="F77" s="61"/>
      <c r="G77" s="61"/>
      <c r="H77" s="61"/>
      <c r="I77" s="61"/>
      <c r="J77" s="61"/>
      <c r="K77" s="61"/>
      <c r="L77" s="61"/>
      <c r="M77" s="61"/>
      <c r="N77" s="61"/>
      <c r="O77" s="61"/>
      <c r="P77" s="61"/>
      <c r="Q77" s="61"/>
      <c r="R77" s="61"/>
      <c r="S77" s="61"/>
      <c r="T77" s="61"/>
      <c r="U77" s="61"/>
      <c r="V77" s="61"/>
      <c r="W77" s="61"/>
      <c r="X77" s="61"/>
      <c r="Y77" s="61"/>
      <c r="Z77" s="61"/>
      <c r="AA77" s="61"/>
      <c r="AB77" s="61"/>
      <c r="AC77" s="61"/>
      <c r="AD77" s="61"/>
      <c r="AE77" s="61"/>
      <c r="AF77" s="61"/>
      <c r="AG77" s="61"/>
      <c r="AH77" s="61"/>
      <c r="AI77" s="61"/>
      <c r="AJ77" s="61"/>
      <c r="AK77" s="61"/>
      <c r="AL77" s="61"/>
      <c r="AM77" s="61"/>
      <c r="AN77" s="61"/>
      <c r="AO77" s="61"/>
      <c r="AP77" s="61"/>
      <c r="AQ77" s="61"/>
      <c r="AR77" s="61"/>
      <c r="AS77" s="61"/>
      <c r="AT77" s="61"/>
      <c r="AU77" s="61"/>
      <c r="AV77" s="61"/>
      <c r="AW77" s="61"/>
      <c r="AX77" s="61"/>
      <c r="AY77" s="61"/>
      <c r="AZ77" s="61"/>
      <c r="BA77" s="61"/>
      <c r="BB77" s="61"/>
      <c r="BC77" s="61"/>
      <c r="BD77" s="61"/>
      <c r="BE77" s="61"/>
      <c r="BF77" s="61"/>
      <c r="BG77" s="61"/>
      <c r="BH77" s="61"/>
      <c r="BI77" s="61"/>
      <c r="BJ77" s="61"/>
      <c r="BK77" s="61"/>
      <c r="BL77" s="61"/>
      <c r="BM77" s="61"/>
      <c r="BN77" s="61"/>
      <c r="BO77" s="61"/>
      <c r="BP77" s="61"/>
      <c r="BQ77" s="61"/>
      <c r="BR77" s="61"/>
      <c r="BS77" s="61"/>
      <c r="BT77" s="61"/>
      <c r="BU77" s="61"/>
      <c r="BV77" s="61"/>
      <c r="BW77" s="61"/>
      <c r="BX77" s="61"/>
      <c r="BY77" s="61"/>
      <c r="BZ77" s="61"/>
      <c r="CA77" s="61"/>
      <c r="CB77" s="61"/>
      <c r="CC77" s="61"/>
      <c r="CD77" s="61"/>
      <c r="CE77" s="61"/>
      <c r="CF77" s="61"/>
      <c r="CG77" s="61"/>
      <c r="CH77" s="61"/>
      <c r="CI77" s="61"/>
      <c r="CJ77" s="61"/>
      <c r="CK77" s="61"/>
      <c r="CL77" s="61"/>
      <c r="CM77" s="61"/>
      <c r="CN77" s="61"/>
      <c r="CO77" s="61"/>
      <c r="CP77" s="61"/>
      <c r="CQ77" s="61"/>
      <c r="CR77" s="61"/>
      <c r="CS77" s="61"/>
      <c r="CT77" s="61"/>
      <c r="CU77" s="61"/>
      <c r="CV77" s="61"/>
      <c r="CW77" s="61"/>
      <c r="CX77" s="61"/>
      <c r="CY77" s="35"/>
    </row>
    <row r="78" spans="1:103" x14ac:dyDescent="0.25">
      <c r="A78" s="72"/>
      <c r="B78" s="70"/>
      <c r="C78" s="40"/>
      <c r="D78" s="62" t="str">
        <f>IF(D77="","",VLOOKUP(D77,'Tech Tree Node Parameters'!$A$3:$B$218,2,FALSE))</f>
        <v/>
      </c>
      <c r="E78" s="62" t="str">
        <f>IF(E77="","",VLOOKUP(E77,'Tech Tree Node Parameters'!$A$3:$B$218,2,FALSE))</f>
        <v/>
      </c>
      <c r="F78" s="62" t="str">
        <f>IF(F77="","",VLOOKUP(F77,'Tech Tree Node Parameters'!$A$3:$B$218,2,FALSE))</f>
        <v/>
      </c>
      <c r="G78" s="62" t="str">
        <f>IF(G77="","",VLOOKUP(G77,'Tech Tree Node Parameters'!$A$3:$B$218,2,FALSE))</f>
        <v/>
      </c>
      <c r="H78" s="62" t="str">
        <f>IF(H77="","",VLOOKUP(H77,'Tech Tree Node Parameters'!$A$3:$B$218,2,FALSE))</f>
        <v/>
      </c>
      <c r="I78" s="62" t="str">
        <f>IF(I77="","",VLOOKUP(I77,'Tech Tree Node Parameters'!$A$3:$B$218,2,FALSE))</f>
        <v/>
      </c>
      <c r="J78" s="62" t="str">
        <f>IF(J77="","",VLOOKUP(J77,'Tech Tree Node Parameters'!$A$3:$B$218,2,FALSE))</f>
        <v/>
      </c>
      <c r="K78" s="62" t="str">
        <f>IF(K77="","",VLOOKUP(K77,'Tech Tree Node Parameters'!$A$3:$B$218,2,FALSE))</f>
        <v/>
      </c>
      <c r="L78" s="62" t="str">
        <f>IF(L77="","",VLOOKUP(L77,'Tech Tree Node Parameters'!$A$3:$B$218,2,FALSE))</f>
        <v/>
      </c>
      <c r="M78" s="62" t="str">
        <f>IF(M77="","",VLOOKUP(M77,'Tech Tree Node Parameters'!$A$3:$B$218,2,FALSE))</f>
        <v/>
      </c>
      <c r="N78" s="62" t="str">
        <f>IF(N77="","",VLOOKUP(N77,'Tech Tree Node Parameters'!$A$3:$B$218,2,FALSE))</f>
        <v/>
      </c>
      <c r="O78" s="62" t="str">
        <f>IF(O77="","",VLOOKUP(O77,'Tech Tree Node Parameters'!$A$3:$B$218,2,FALSE))</f>
        <v/>
      </c>
      <c r="P78" s="62" t="str">
        <f>IF(P77="","",VLOOKUP(P77,'Tech Tree Node Parameters'!$A$3:$B$218,2,FALSE))</f>
        <v/>
      </c>
      <c r="Q78" s="62" t="str">
        <f>IF(Q77="","",VLOOKUP(Q77,'Tech Tree Node Parameters'!$A$3:$B$218,2,FALSE))</f>
        <v/>
      </c>
      <c r="R78" s="62" t="str">
        <f>IF(R77="","",VLOOKUP(R77,'Tech Tree Node Parameters'!$A$3:$B$218,2,FALSE))</f>
        <v/>
      </c>
      <c r="S78" s="62" t="str">
        <f>IF(S77="","",VLOOKUP(S77,'Tech Tree Node Parameters'!$A$3:$B$218,2,FALSE))</f>
        <v/>
      </c>
      <c r="T78" s="62" t="str">
        <f>IF(T77="","",VLOOKUP(T77,'Tech Tree Node Parameters'!$A$3:$B$218,2,FALSE))</f>
        <v/>
      </c>
      <c r="U78" s="62" t="str">
        <f>IF(U77="","",VLOOKUP(U77,'Tech Tree Node Parameters'!$A$3:$B$218,2,FALSE))</f>
        <v/>
      </c>
      <c r="V78" s="62" t="str">
        <f>IF(V77="","",VLOOKUP(V77,'Tech Tree Node Parameters'!$A$3:$B$218,2,FALSE))</f>
        <v/>
      </c>
      <c r="W78" s="62" t="str">
        <f>IF(W77="","",VLOOKUP(W77,'Tech Tree Node Parameters'!$A$3:$B$218,2,FALSE))</f>
        <v/>
      </c>
      <c r="X78" s="62" t="str">
        <f>IF(X77="","",VLOOKUP(X77,'Tech Tree Node Parameters'!$A$3:$B$218,2,FALSE))</f>
        <v/>
      </c>
      <c r="Y78" s="62" t="str">
        <f>IF(Y77="","",VLOOKUP(Y77,'Tech Tree Node Parameters'!$A$3:$B$218,2,FALSE))</f>
        <v/>
      </c>
      <c r="Z78" s="62" t="str">
        <f>IF(Z77="","",VLOOKUP(Z77,'Tech Tree Node Parameters'!$A$3:$B$218,2,FALSE))</f>
        <v/>
      </c>
      <c r="AA78" s="62" t="str">
        <f>IF(AA77="","",VLOOKUP(AA77,'Tech Tree Node Parameters'!$A$3:$B$218,2,FALSE))</f>
        <v/>
      </c>
      <c r="AB78" s="62" t="str">
        <f>IF(AB77="","",VLOOKUP(AB77,'Tech Tree Node Parameters'!$A$3:$B$218,2,FALSE))</f>
        <v/>
      </c>
      <c r="AC78" s="62" t="str">
        <f>IF(AC77="","",VLOOKUP(AC77,'Tech Tree Node Parameters'!$A$3:$B$218,2,FALSE))</f>
        <v/>
      </c>
      <c r="AD78" s="62" t="str">
        <f>IF(AD77="","",VLOOKUP(AD77,'Tech Tree Node Parameters'!$A$3:$B$218,2,FALSE))</f>
        <v/>
      </c>
      <c r="AE78" s="62" t="str">
        <f>IF(AE77="","",VLOOKUP(AE77,'Tech Tree Node Parameters'!$A$3:$B$218,2,FALSE))</f>
        <v/>
      </c>
      <c r="AF78" s="62" t="str">
        <f>IF(AF77="","",VLOOKUP(AF77,'Tech Tree Node Parameters'!$A$3:$B$218,2,FALSE))</f>
        <v/>
      </c>
      <c r="AG78" s="62" t="str">
        <f>IF(AG77="","",VLOOKUP(AG77,'Tech Tree Node Parameters'!$A$3:$B$218,2,FALSE))</f>
        <v/>
      </c>
      <c r="AH78" s="62" t="str">
        <f>IF(AH77="","",VLOOKUP(AH77,'Tech Tree Node Parameters'!$A$3:$B$218,2,FALSE))</f>
        <v/>
      </c>
      <c r="AI78" s="62" t="str">
        <f>IF(AI77="","",VLOOKUP(AI77,'Tech Tree Node Parameters'!$A$3:$B$218,2,FALSE))</f>
        <v/>
      </c>
      <c r="AJ78" s="62" t="str">
        <f>IF(AJ77="","",VLOOKUP(AJ77,'Tech Tree Node Parameters'!$A$3:$B$218,2,FALSE))</f>
        <v/>
      </c>
      <c r="AK78" s="62" t="str">
        <f>IF(AK77="","",VLOOKUP(AK77,'Tech Tree Node Parameters'!$A$3:$B$218,2,FALSE))</f>
        <v/>
      </c>
      <c r="AL78" s="62" t="str">
        <f>IF(AL77="","",VLOOKUP(AL77,'Tech Tree Node Parameters'!$A$3:$B$218,2,FALSE))</f>
        <v/>
      </c>
      <c r="AM78" s="62" t="str">
        <f>IF(AM77="","",VLOOKUP(AM77,'Tech Tree Node Parameters'!$A$3:$B$218,2,FALSE))</f>
        <v/>
      </c>
      <c r="AN78" s="62" t="str">
        <f>IF(AN77="","",VLOOKUP(AN77,'Tech Tree Node Parameters'!$A$3:$B$218,2,FALSE))</f>
        <v/>
      </c>
      <c r="AO78" s="62" t="str">
        <f>IF(AO77="","",VLOOKUP(AO77,'Tech Tree Node Parameters'!$A$3:$B$218,2,FALSE))</f>
        <v/>
      </c>
      <c r="AP78" s="62" t="str">
        <f>IF(AP77="","",VLOOKUP(AP77,'Tech Tree Node Parameters'!$A$3:$B$218,2,FALSE))</f>
        <v/>
      </c>
      <c r="AQ78" s="62" t="str">
        <f>IF(AQ77="","",VLOOKUP(AQ77,'Tech Tree Node Parameters'!$A$3:$B$218,2,FALSE))</f>
        <v/>
      </c>
      <c r="AR78" s="62" t="str">
        <f>IF(AR77="","",VLOOKUP(AR77,'Tech Tree Node Parameters'!$A$3:$B$218,2,FALSE))</f>
        <v/>
      </c>
      <c r="AS78" s="62" t="str">
        <f>IF(AS77="","",VLOOKUP(AS77,'Tech Tree Node Parameters'!$A$3:$B$218,2,FALSE))</f>
        <v/>
      </c>
      <c r="AT78" s="62" t="str">
        <f>IF(AT77="","",VLOOKUP(AT77,'Tech Tree Node Parameters'!$A$3:$B$218,2,FALSE))</f>
        <v/>
      </c>
      <c r="AU78" s="62" t="str">
        <f>IF(AU77="","",VLOOKUP(AU77,'Tech Tree Node Parameters'!$A$3:$B$218,2,FALSE))</f>
        <v/>
      </c>
      <c r="AV78" s="62" t="str">
        <f>IF(AV77="","",VLOOKUP(AV77,'Tech Tree Node Parameters'!$A$3:$B$218,2,FALSE))</f>
        <v/>
      </c>
      <c r="AW78" s="62" t="str">
        <f>IF(AW77="","",VLOOKUP(AW77,'Tech Tree Node Parameters'!$A$3:$B$218,2,FALSE))</f>
        <v/>
      </c>
      <c r="AX78" s="62" t="str">
        <f>IF(AX77="","",VLOOKUP(AX77,'Tech Tree Node Parameters'!$A$3:$B$218,2,FALSE))</f>
        <v/>
      </c>
      <c r="AY78" s="62" t="str">
        <f>IF(AY77="","",VLOOKUP(AY77,'Tech Tree Node Parameters'!$A$3:$B$218,2,FALSE))</f>
        <v/>
      </c>
      <c r="AZ78" s="62" t="str">
        <f>IF(AZ77="","",VLOOKUP(AZ77,'Tech Tree Node Parameters'!$A$3:$B$218,2,FALSE))</f>
        <v/>
      </c>
      <c r="BA78" s="62" t="str">
        <f>IF(BA77="","",VLOOKUP(BA77,'Tech Tree Node Parameters'!$A$3:$B$218,2,FALSE))</f>
        <v/>
      </c>
      <c r="BB78" s="62" t="str">
        <f>IF(BB77="","",VLOOKUP(BB77,'Tech Tree Node Parameters'!$A$3:$B$218,2,FALSE))</f>
        <v/>
      </c>
      <c r="BC78" s="62" t="str">
        <f>IF(BC77="","",VLOOKUP(BC77,'Tech Tree Node Parameters'!$A$3:$B$218,2,FALSE))</f>
        <v/>
      </c>
      <c r="BD78" s="62" t="str">
        <f>IF(BD77="","",VLOOKUP(BD77,'Tech Tree Node Parameters'!$A$3:$B$218,2,FALSE))</f>
        <v/>
      </c>
      <c r="BE78" s="62" t="str">
        <f>IF(BE77="","",VLOOKUP(BE77,'Tech Tree Node Parameters'!$A$3:$B$218,2,FALSE))</f>
        <v/>
      </c>
      <c r="BF78" s="62" t="str">
        <f>IF(BF77="","",VLOOKUP(BF77,'Tech Tree Node Parameters'!$A$3:$B$218,2,FALSE))</f>
        <v/>
      </c>
      <c r="BG78" s="62" t="str">
        <f>IF(BG77="","",VLOOKUP(BG77,'Tech Tree Node Parameters'!$A$3:$B$218,2,FALSE))</f>
        <v/>
      </c>
      <c r="BH78" s="62" t="str">
        <f>IF(BH77="","",VLOOKUP(BH77,'Tech Tree Node Parameters'!$A$3:$B$218,2,FALSE))</f>
        <v/>
      </c>
      <c r="BI78" s="62" t="str">
        <f>IF(BI77="","",VLOOKUP(BI77,'Tech Tree Node Parameters'!$A$3:$B$218,2,FALSE))</f>
        <v/>
      </c>
      <c r="BJ78" s="62" t="str">
        <f>IF(BJ77="","",VLOOKUP(BJ77,'Tech Tree Node Parameters'!$A$3:$B$218,2,FALSE))</f>
        <v/>
      </c>
      <c r="BK78" s="62" t="str">
        <f>IF(BK77="","",VLOOKUP(BK77,'Tech Tree Node Parameters'!$A$3:$B$218,2,FALSE))</f>
        <v/>
      </c>
      <c r="BL78" s="62" t="str">
        <f>IF(BL77="","",VLOOKUP(BL77,'Tech Tree Node Parameters'!$A$3:$B$218,2,FALSE))</f>
        <v/>
      </c>
      <c r="BM78" s="62" t="str">
        <f>IF(BM77="","",VLOOKUP(BM77,'Tech Tree Node Parameters'!$A$3:$B$218,2,FALSE))</f>
        <v/>
      </c>
      <c r="BN78" s="62" t="str">
        <f>IF(BN77="","",VLOOKUP(BN77,'Tech Tree Node Parameters'!$A$3:$B$218,2,FALSE))</f>
        <v/>
      </c>
      <c r="BO78" s="62" t="str">
        <f>IF(BO77="","",VLOOKUP(BO77,'Tech Tree Node Parameters'!$A$3:$B$218,2,FALSE))</f>
        <v/>
      </c>
      <c r="BP78" s="62" t="str">
        <f>IF(BP77="","",VLOOKUP(BP77,'Tech Tree Node Parameters'!$A$3:$B$218,2,FALSE))</f>
        <v/>
      </c>
      <c r="BQ78" s="62" t="str">
        <f>IF(BQ77="","",VLOOKUP(BQ77,'Tech Tree Node Parameters'!$A$3:$B$218,2,FALSE))</f>
        <v/>
      </c>
      <c r="BR78" s="62" t="str">
        <f>IF(BR77="","",VLOOKUP(BR77,'Tech Tree Node Parameters'!$A$3:$B$218,2,FALSE))</f>
        <v/>
      </c>
      <c r="BS78" s="62" t="str">
        <f>IF(BS77="","",VLOOKUP(BS77,'Tech Tree Node Parameters'!$A$3:$B$218,2,FALSE))</f>
        <v/>
      </c>
      <c r="BT78" s="62" t="str">
        <f>IF(BT77="","",VLOOKUP(BT77,'Tech Tree Node Parameters'!$A$3:$B$218,2,FALSE))</f>
        <v/>
      </c>
      <c r="BU78" s="62" t="str">
        <f>IF(BU77="","",VLOOKUP(BU77,'Tech Tree Node Parameters'!$A$3:$B$218,2,FALSE))</f>
        <v/>
      </c>
      <c r="BV78" s="62" t="str">
        <f>IF(BV77="","",VLOOKUP(BV77,'Tech Tree Node Parameters'!$A$3:$B$218,2,FALSE))</f>
        <v/>
      </c>
      <c r="BW78" s="62" t="str">
        <f>IF(BW77="","",VLOOKUP(BW77,'Tech Tree Node Parameters'!$A$3:$B$218,2,FALSE))</f>
        <v/>
      </c>
      <c r="BX78" s="62" t="str">
        <f>IF(BX77="","",VLOOKUP(BX77,'Tech Tree Node Parameters'!$A$3:$B$218,2,FALSE))</f>
        <v/>
      </c>
      <c r="BY78" s="62" t="str">
        <f>IF(BY77="","",VLOOKUP(BY77,'Tech Tree Node Parameters'!$A$3:$B$218,2,FALSE))</f>
        <v/>
      </c>
      <c r="BZ78" s="62" t="str">
        <f>IF(BZ77="","",VLOOKUP(BZ77,'Tech Tree Node Parameters'!$A$3:$B$218,2,FALSE))</f>
        <v/>
      </c>
      <c r="CA78" s="62" t="str">
        <f>IF(CA77="","",VLOOKUP(CA77,'Tech Tree Node Parameters'!$A$3:$B$218,2,FALSE))</f>
        <v/>
      </c>
      <c r="CB78" s="62" t="str">
        <f>IF(CB77="","",VLOOKUP(CB77,'Tech Tree Node Parameters'!$A$3:$B$218,2,FALSE))</f>
        <v/>
      </c>
      <c r="CC78" s="62" t="str">
        <f>IF(CC77="","",VLOOKUP(CC77,'Tech Tree Node Parameters'!$A$3:$B$218,2,FALSE))</f>
        <v/>
      </c>
      <c r="CD78" s="62" t="str">
        <f>IF(CD77="","",VLOOKUP(CD77,'Tech Tree Node Parameters'!$A$3:$B$218,2,FALSE))</f>
        <v/>
      </c>
      <c r="CE78" s="62" t="str">
        <f>IF(CE77="","",VLOOKUP(CE77,'Tech Tree Node Parameters'!$A$3:$B$218,2,FALSE))</f>
        <v/>
      </c>
      <c r="CF78" s="62" t="str">
        <f>IF(CF77="","",VLOOKUP(CF77,'Tech Tree Node Parameters'!$A$3:$B$218,2,FALSE))</f>
        <v/>
      </c>
      <c r="CG78" s="62" t="str">
        <f>IF(CG77="","",VLOOKUP(CG77,'Tech Tree Node Parameters'!$A$3:$B$218,2,FALSE))</f>
        <v/>
      </c>
      <c r="CH78" s="62" t="str">
        <f>IF(CH77="","",VLOOKUP(CH77,'Tech Tree Node Parameters'!$A$3:$B$218,2,FALSE))</f>
        <v/>
      </c>
      <c r="CI78" s="62" t="str">
        <f>IF(CI77="","",VLOOKUP(CI77,'Tech Tree Node Parameters'!$A$3:$B$218,2,FALSE))</f>
        <v/>
      </c>
      <c r="CJ78" s="62" t="str">
        <f>IF(CJ77="","",VLOOKUP(CJ77,'Tech Tree Node Parameters'!$A$3:$B$218,2,FALSE))</f>
        <v/>
      </c>
      <c r="CK78" s="62" t="str">
        <f>IF(CK77="","",VLOOKUP(CK77,'Tech Tree Node Parameters'!$A$3:$B$218,2,FALSE))</f>
        <v/>
      </c>
      <c r="CL78" s="62" t="str">
        <f>IF(CL77="","",VLOOKUP(CL77,'Tech Tree Node Parameters'!$A$3:$B$218,2,FALSE))</f>
        <v/>
      </c>
      <c r="CM78" s="62" t="str">
        <f>IF(CM77="","",VLOOKUP(CM77,'Tech Tree Node Parameters'!$A$3:$B$218,2,FALSE))</f>
        <v/>
      </c>
      <c r="CN78" s="62" t="str">
        <f>IF(CN77="","",VLOOKUP(CN77,'Tech Tree Node Parameters'!$A$3:$B$218,2,FALSE))</f>
        <v/>
      </c>
      <c r="CO78" s="62" t="str">
        <f>IF(CO77="","",VLOOKUP(CO77,'Tech Tree Node Parameters'!$A$3:$B$218,2,FALSE))</f>
        <v/>
      </c>
      <c r="CP78" s="62" t="str">
        <f>IF(CP77="","",VLOOKUP(CP77,'Tech Tree Node Parameters'!$A$3:$B$218,2,FALSE))</f>
        <v/>
      </c>
      <c r="CQ78" s="62" t="str">
        <f>IF(CQ77="","",VLOOKUP(CQ77,'Tech Tree Node Parameters'!$A$3:$B$218,2,FALSE))</f>
        <v/>
      </c>
      <c r="CR78" s="62" t="str">
        <f>IF(CR77="","",VLOOKUP(CR77,'Tech Tree Node Parameters'!$A$3:$B$218,2,FALSE))</f>
        <v/>
      </c>
      <c r="CS78" s="62" t="str">
        <f>IF(CS77="","",VLOOKUP(CS77,'Tech Tree Node Parameters'!$A$3:$B$218,2,FALSE))</f>
        <v/>
      </c>
      <c r="CT78" s="62" t="str">
        <f>IF(CT77="","",VLOOKUP(CT77,'Tech Tree Node Parameters'!$A$3:$B$218,2,FALSE))</f>
        <v/>
      </c>
      <c r="CU78" s="62" t="str">
        <f>IF(CU77="","",VLOOKUP(CU77,'Tech Tree Node Parameters'!$A$3:$B$218,2,FALSE))</f>
        <v/>
      </c>
      <c r="CV78" s="62" t="str">
        <f>IF(CV77="","",VLOOKUP(CV77,'Tech Tree Node Parameters'!$A$3:$B$218,2,FALSE))</f>
        <v/>
      </c>
      <c r="CW78" s="62" t="str">
        <f>IF(CW77="","",VLOOKUP(CW77,'Tech Tree Node Parameters'!$A$3:$B$218,2,FALSE))</f>
        <v/>
      </c>
      <c r="CX78" s="62" t="str">
        <f>IF(CX77="","",VLOOKUP(CX77,'Tech Tree Node Parameters'!$A$3:$B$218,2,FALSE))</f>
        <v/>
      </c>
      <c r="CY78" s="36" t="str">
        <f>IF(CY77="","",VLOOKUP(CY77,'Tech Tree Node Parameters'!$A$3:$B$218,2,FALSE))</f>
        <v/>
      </c>
    </row>
    <row r="79" spans="1:103" s="10" customFormat="1" x14ac:dyDescent="0.25">
      <c r="A79" s="72">
        <f t="shared" ref="A79" si="18">A81+1</f>
        <v>24</v>
      </c>
      <c r="B79" s="69">
        <f>B81+$D$6</f>
        <v>949</v>
      </c>
      <c r="C79" s="39"/>
      <c r="D79" s="61"/>
      <c r="E79" s="61"/>
      <c r="F79" s="61"/>
      <c r="G79" s="61"/>
      <c r="H79" s="61"/>
      <c r="I79" s="61"/>
      <c r="J79" s="61"/>
      <c r="K79" s="61"/>
      <c r="L79" s="61"/>
      <c r="M79" s="61"/>
      <c r="N79" s="61"/>
      <c r="O79" s="61"/>
      <c r="P79" s="61"/>
      <c r="Q79" s="61"/>
      <c r="R79" s="61"/>
      <c r="S79" s="61"/>
      <c r="T79" s="61"/>
      <c r="U79" s="61"/>
      <c r="V79" s="61"/>
      <c r="W79" s="61"/>
      <c r="X79" s="61"/>
      <c r="Y79" s="61"/>
      <c r="Z79" s="61"/>
      <c r="AA79" s="61"/>
      <c r="AB79" s="61"/>
      <c r="AC79" s="61"/>
      <c r="AD79" s="61"/>
      <c r="AE79" s="61" t="s">
        <v>25</v>
      </c>
      <c r="AF79" s="61"/>
      <c r="AG79" s="61" t="s">
        <v>1339</v>
      </c>
      <c r="AH79" s="61"/>
      <c r="AI79" s="61" t="s">
        <v>1338</v>
      </c>
      <c r="AJ79" s="61"/>
      <c r="AK79" s="61" t="s">
        <v>66</v>
      </c>
      <c r="AL79" s="61"/>
      <c r="AM79" s="61" t="s">
        <v>9</v>
      </c>
      <c r="AN79" s="61"/>
      <c r="AO79" s="61" t="s">
        <v>64</v>
      </c>
      <c r="AP79" s="61"/>
      <c r="AQ79" s="61"/>
      <c r="AR79" s="61"/>
      <c r="AS79" s="61"/>
      <c r="AT79" s="61"/>
      <c r="AU79" s="61"/>
      <c r="AV79" s="61"/>
      <c r="AW79" s="61"/>
      <c r="AX79" s="61"/>
      <c r="AY79" s="31" t="s">
        <v>85</v>
      </c>
      <c r="AZ79" s="61"/>
      <c r="BA79" s="31" t="s">
        <v>49</v>
      </c>
      <c r="BB79" s="61"/>
      <c r="BC79" s="61"/>
      <c r="BD79" s="61"/>
      <c r="BE79" s="61"/>
      <c r="BF79" s="61"/>
      <c r="BG79" s="61" t="s">
        <v>524</v>
      </c>
      <c r="BH79" s="61"/>
      <c r="BI79" s="61" t="s">
        <v>525</v>
      </c>
      <c r="BJ79" s="61"/>
      <c r="BK79" s="61"/>
      <c r="BL79" s="61"/>
      <c r="BM79" s="61"/>
      <c r="BN79" s="61"/>
      <c r="BO79" s="61"/>
      <c r="BP79" s="61"/>
      <c r="BQ79" s="61" t="s">
        <v>161</v>
      </c>
      <c r="BR79" s="61"/>
      <c r="BS79" s="61"/>
      <c r="BT79" s="61"/>
      <c r="BU79" s="61"/>
      <c r="BV79" s="61"/>
      <c r="BW79" s="61"/>
      <c r="BX79" s="61"/>
      <c r="BY79" s="61"/>
      <c r="BZ79" s="61"/>
      <c r="CA79" s="61"/>
      <c r="CB79" s="61"/>
      <c r="CC79" s="61"/>
      <c r="CD79" s="61"/>
      <c r="CE79" s="61"/>
      <c r="CF79" s="61"/>
      <c r="CG79" s="61"/>
      <c r="CH79" s="61"/>
      <c r="CI79" s="61"/>
      <c r="CJ79" s="61"/>
      <c r="CK79" s="61"/>
      <c r="CL79" s="61"/>
      <c r="CM79" s="61"/>
      <c r="CN79" s="61"/>
      <c r="CO79" s="61"/>
      <c r="CP79" s="61"/>
      <c r="CQ79" s="61"/>
      <c r="CR79" s="61"/>
      <c r="CS79" s="61"/>
      <c r="CT79" s="61"/>
      <c r="CU79" s="61"/>
      <c r="CV79" s="61"/>
      <c r="CW79" s="61"/>
      <c r="CX79" s="61"/>
      <c r="CY79" s="35"/>
    </row>
    <row r="80" spans="1:103" x14ac:dyDescent="0.25">
      <c r="A80" s="72"/>
      <c r="B80" s="70"/>
      <c r="C80" s="40"/>
      <c r="D80" s="62" t="str">
        <f>IF(D79="","",VLOOKUP(D79,'Tech Tree Node Parameters'!$A$3:$B$218,2,FALSE))</f>
        <v/>
      </c>
      <c r="E80" s="62" t="str">
        <f>IF(E79="","",VLOOKUP(E79,'Tech Tree Node Parameters'!$A$3:$B$218,2,FALSE))</f>
        <v/>
      </c>
      <c r="F80" s="62" t="str">
        <f>IF(F79="","",VLOOKUP(F79,'Tech Tree Node Parameters'!$A$3:$B$218,2,FALSE))</f>
        <v/>
      </c>
      <c r="G80" s="62" t="str">
        <f>IF(G79="","",VLOOKUP(G79,'Tech Tree Node Parameters'!$A$3:$B$218,2,FALSE))</f>
        <v/>
      </c>
      <c r="H80" s="62" t="str">
        <f>IF(H79="","",VLOOKUP(H79,'Tech Tree Node Parameters'!$A$3:$B$218,2,FALSE))</f>
        <v/>
      </c>
      <c r="I80" s="62" t="str">
        <f>IF(I79="","",VLOOKUP(I79,'Tech Tree Node Parameters'!$A$3:$B$218,2,FALSE))</f>
        <v/>
      </c>
      <c r="J80" s="62" t="str">
        <f>IF(J79="","",VLOOKUP(J79,'Tech Tree Node Parameters'!$A$3:$B$218,2,FALSE))</f>
        <v/>
      </c>
      <c r="K80" s="62" t="str">
        <f>IF(K79="","",VLOOKUP(K79,'Tech Tree Node Parameters'!$A$3:$B$218,2,FALSE))</f>
        <v/>
      </c>
      <c r="L80" s="62" t="str">
        <f>IF(L79="","",VLOOKUP(L79,'Tech Tree Node Parameters'!$A$3:$B$218,2,FALSE))</f>
        <v/>
      </c>
      <c r="M80" s="62" t="str">
        <f>IF(M79="","",VLOOKUP(M79,'Tech Tree Node Parameters'!$A$3:$B$218,2,FALSE))</f>
        <v/>
      </c>
      <c r="N80" s="62" t="str">
        <f>IF(N79="","",VLOOKUP(N79,'Tech Tree Node Parameters'!$A$3:$B$218,2,FALSE))</f>
        <v/>
      </c>
      <c r="O80" s="62" t="str">
        <f>IF(O79="","",VLOOKUP(O79,'Tech Tree Node Parameters'!$A$3:$B$218,2,FALSE))</f>
        <v/>
      </c>
      <c r="P80" s="62" t="str">
        <f>IF(P79="","",VLOOKUP(P79,'Tech Tree Node Parameters'!$A$3:$B$218,2,FALSE))</f>
        <v/>
      </c>
      <c r="Q80" s="62" t="str">
        <f>IF(Q79="","",VLOOKUP(Q79,'Tech Tree Node Parameters'!$A$3:$B$218,2,FALSE))</f>
        <v/>
      </c>
      <c r="R80" s="62" t="str">
        <f>IF(R79="","",VLOOKUP(R79,'Tech Tree Node Parameters'!$A$3:$B$218,2,FALSE))</f>
        <v/>
      </c>
      <c r="S80" s="62" t="str">
        <f>IF(S79="","",VLOOKUP(S79,'Tech Tree Node Parameters'!$A$3:$B$218,2,FALSE))</f>
        <v/>
      </c>
      <c r="T80" s="62" t="str">
        <f>IF(T79="","",VLOOKUP(T79,'Tech Tree Node Parameters'!$A$3:$B$218,2,FALSE))</f>
        <v/>
      </c>
      <c r="U80" s="62" t="str">
        <f>IF(U79="","",VLOOKUP(U79,'Tech Tree Node Parameters'!$A$3:$B$218,2,FALSE))</f>
        <v/>
      </c>
      <c r="V80" s="62" t="str">
        <f>IF(V79="","",VLOOKUP(V79,'Tech Tree Node Parameters'!$A$3:$B$218,2,FALSE))</f>
        <v/>
      </c>
      <c r="W80" s="62" t="str">
        <f>IF(W79="","",VLOOKUP(W79,'Tech Tree Node Parameters'!$A$3:$B$218,2,FALSE))</f>
        <v/>
      </c>
      <c r="X80" s="62" t="str">
        <f>IF(X79="","",VLOOKUP(X79,'Tech Tree Node Parameters'!$A$3:$B$218,2,FALSE))</f>
        <v/>
      </c>
      <c r="Y80" s="62" t="str">
        <f>IF(Y79="","",VLOOKUP(Y79,'Tech Tree Node Parameters'!$A$3:$B$218,2,FALSE))</f>
        <v/>
      </c>
      <c r="Z80" s="62" t="str">
        <f>IF(Z79="","",VLOOKUP(Z79,'Tech Tree Node Parameters'!$A$3:$B$218,2,FALSE))</f>
        <v/>
      </c>
      <c r="AA80" s="62" t="str">
        <f>IF(AA79="","",VLOOKUP(AA79,'Tech Tree Node Parameters'!$A$3:$B$218,2,FALSE))</f>
        <v/>
      </c>
      <c r="AB80" s="62" t="str">
        <f>IF(AB79="","",VLOOKUP(AB79,'Tech Tree Node Parameters'!$A$3:$B$218,2,FALSE))</f>
        <v/>
      </c>
      <c r="AC80" s="62" t="str">
        <f>IF(AC79="","",VLOOKUP(AC79,'Tech Tree Node Parameters'!$A$3:$B$218,2,FALSE))</f>
        <v/>
      </c>
      <c r="AD80" s="62" t="str">
        <f>IF(AD79="","",VLOOKUP(AD79,'Tech Tree Node Parameters'!$A$3:$B$218,2,FALSE))</f>
        <v/>
      </c>
      <c r="AE80" s="62" t="str">
        <f>IF(AE79="","",VLOOKUP(AE79,'Tech Tree Node Parameters'!$A$3:$B$218,2,FALSE))</f>
        <v>Resource Exploitation</v>
      </c>
      <c r="AF80" s="62" t="str">
        <f>IF(AF79="","",VLOOKUP(AF79,'Tech Tree Node Parameters'!$A$3:$B$218,2,FALSE))</f>
        <v/>
      </c>
      <c r="AG80" s="62" t="str">
        <f>IF(AG79="","",VLOOKUP(AG79,'Tech Tree Node Parameters'!$A$3:$B$218,2,FALSE))</f>
        <v>Advanced Mining</v>
      </c>
      <c r="AH80" s="62" t="str">
        <f>IF(AH79="","",VLOOKUP(AH79,'Tech Tree Node Parameters'!$A$3:$B$218,2,FALSE))</f>
        <v/>
      </c>
      <c r="AI80" s="62" t="str">
        <f>IF(AI79="","",VLOOKUP(AI79,'Tech Tree Node Parameters'!$A$3:$B$218,2,FALSE))</f>
        <v>Off-world Mining</v>
      </c>
      <c r="AJ80" s="62" t="str">
        <f>IF(AJ79="","",VLOOKUP(AJ79,'Tech Tree Node Parameters'!$A$3:$B$218,2,FALSE))</f>
        <v/>
      </c>
      <c r="AK80" s="62" t="str">
        <f>IF(AK79="","",VLOOKUP(AK79,'Tech Tree Node Parameters'!$A$3:$B$218,2,FALSE))</f>
        <v>High Performance Fuel Systems</v>
      </c>
      <c r="AL80" s="62" t="str">
        <f>IF(AL79="","",VLOOKUP(AL79,'Tech Tree Node Parameters'!$A$3:$B$218,2,FALSE))</f>
        <v/>
      </c>
      <c r="AM80" s="62" t="str">
        <f>IF(AM79="","",VLOOKUP(AM79,'Tech Tree Node Parameters'!$A$3:$B$218,2,FALSE))</f>
        <v>Advanced Fuel Systems</v>
      </c>
      <c r="AN80" s="62" t="str">
        <f>IF(AN79="","",VLOOKUP(AN79,'Tech Tree Node Parameters'!$A$3:$B$218,2,FALSE))</f>
        <v/>
      </c>
      <c r="AO80" s="62" t="str">
        <f>IF(AO79="","",VLOOKUP(AO79,'Tech Tree Node Parameters'!$A$3:$B$218,2,FALSE))</f>
        <v>Fuel Systems</v>
      </c>
      <c r="AP80" s="62" t="str">
        <f>IF(AP79="","",VLOOKUP(AP79,'Tech Tree Node Parameters'!$A$3:$B$218,2,FALSE))</f>
        <v/>
      </c>
      <c r="AQ80" s="62" t="str">
        <f>IF(AQ79="","",VLOOKUP(AQ79,'Tech Tree Node Parameters'!$A$3:$B$218,2,FALSE))</f>
        <v/>
      </c>
      <c r="AR80" s="62" t="str">
        <f>IF(AR79="","",VLOOKUP(AR79,'Tech Tree Node Parameters'!$A$3:$B$218,2,FALSE))</f>
        <v/>
      </c>
      <c r="AS80" s="62"/>
      <c r="AT80" s="62"/>
      <c r="AU80" s="62"/>
      <c r="AV80" s="62"/>
      <c r="AW80" s="62"/>
      <c r="AX80" s="62"/>
      <c r="AY80" s="57" t="str">
        <f>IF(AY79="","",VLOOKUP(AY79,'Tech Tree Node Parameters'!$A$3:$B$218,2,FALSE))</f>
        <v>Electrical Engineering</v>
      </c>
      <c r="AZ80" s="62" t="str">
        <f>IF(AZ79="","",VLOOKUP(AZ79,'Tech Tree Node Parameters'!$A$3:$B$218,2,FALSE))</f>
        <v/>
      </c>
      <c r="BA80" s="57" t="str">
        <f>IF(BA79="","",VLOOKUP(BA79,'Tech Tree Node Parameters'!$A$3:$B$218,2,FALSE))</f>
        <v>Physical Sciences</v>
      </c>
      <c r="BB80" s="62"/>
      <c r="BC80" s="62"/>
      <c r="BD80" s="62"/>
      <c r="BE80" s="62"/>
      <c r="BF80" s="62"/>
      <c r="BG80" s="62" t="str">
        <f>IF(BG79="","",VLOOKUP(BG79,'Tech Tree Node Parameters'!$A$3:$B$218,2,FALSE))</f>
        <v>Small Launch Clamps</v>
      </c>
      <c r="BH80" s="62" t="str">
        <f>IF(BH79="","",VLOOKUP(BH79,'Tech Tree Node Parameters'!$A$3:$B$218,2,FALSE))</f>
        <v/>
      </c>
      <c r="BI80" s="62" t="str">
        <f>IF(BI79="","",VLOOKUP(BI79,'Tech Tree Node Parameters'!$A$3:$B$218,2,FALSE))</f>
        <v>Large Launch Clamps</v>
      </c>
      <c r="BJ80" s="62" t="str">
        <f>IF(BJ79="","",VLOOKUP(BJ79,'Tech Tree Node Parameters'!$A$3:$B$218,2,FALSE))</f>
        <v/>
      </c>
      <c r="BK80" s="62" t="str">
        <f>IF(BK79="","",VLOOKUP(BK79,'Tech Tree Node Parameters'!$A$3:$B$218,2,FALSE))</f>
        <v/>
      </c>
      <c r="BL80" s="62" t="str">
        <f>IF(BL79="","",VLOOKUP(BL79,'Tech Tree Node Parameters'!$A$3:$B$218,2,FALSE))</f>
        <v/>
      </c>
      <c r="BM80" s="62" t="str">
        <f>IF(BM79="","",VLOOKUP(BM79,'Tech Tree Node Parameters'!$A$3:$B$218,2,FALSE))</f>
        <v/>
      </c>
      <c r="BN80" s="62" t="str">
        <f>IF(BN79="","",VLOOKUP(BN79,'Tech Tree Node Parameters'!$A$3:$B$218,2,FALSE))</f>
        <v/>
      </c>
      <c r="BO80" s="62" t="str">
        <f>IF(BO79="","",VLOOKUP(BO79,'Tech Tree Node Parameters'!$A$3:$B$218,2,FALSE))</f>
        <v/>
      </c>
      <c r="BP80" s="62" t="str">
        <f>IF(BP79="","",VLOOKUP(BP79,'Tech Tree Node Parameters'!$A$3:$B$218,2,FALSE))</f>
        <v/>
      </c>
      <c r="BQ80" s="62" t="str">
        <f>IF(BQ79="","",VLOOKUP(BQ79,'Tech Tree Node Parameters'!$A$3:$B$218,2,FALSE))</f>
        <v>Experimental Actuators</v>
      </c>
      <c r="BR80" s="62" t="str">
        <f>IF(BR79="","",VLOOKUP(BR79,'Tech Tree Node Parameters'!$A$3:$B$218,2,FALSE))</f>
        <v/>
      </c>
      <c r="BS80" s="62" t="str">
        <f>IF(BS79="","",VLOOKUP(BS79,'Tech Tree Node Parameters'!$A$3:$B$218,2,FALSE))</f>
        <v/>
      </c>
      <c r="BT80" s="62" t="str">
        <f>IF(BT79="","",VLOOKUP(BT79,'Tech Tree Node Parameters'!$A$3:$B$218,2,FALSE))</f>
        <v/>
      </c>
      <c r="BU80" s="62" t="str">
        <f>IF(BU79="","",VLOOKUP(BU79,'Tech Tree Node Parameters'!$A$3:$B$218,2,FALSE))</f>
        <v/>
      </c>
      <c r="BV80" s="62" t="str">
        <f>IF(BV79="","",VLOOKUP(BV79,'Tech Tree Node Parameters'!$A$3:$B$218,2,FALSE))</f>
        <v/>
      </c>
      <c r="BW80" s="62" t="str">
        <f>IF(BW79="","",VLOOKUP(BW79,'Tech Tree Node Parameters'!$A$3:$B$218,2,FALSE))</f>
        <v/>
      </c>
      <c r="BX80" s="62" t="str">
        <f>IF(BX79="","",VLOOKUP(BX79,'Tech Tree Node Parameters'!$A$3:$B$218,2,FALSE))</f>
        <v/>
      </c>
      <c r="BY80" s="62" t="str">
        <f>IF(BY79="","",VLOOKUP(BY79,'Tech Tree Node Parameters'!$A$3:$B$218,2,FALSE))</f>
        <v/>
      </c>
      <c r="BZ80" s="62" t="str">
        <f>IF(BZ79="","",VLOOKUP(BZ79,'Tech Tree Node Parameters'!$A$3:$B$218,2,FALSE))</f>
        <v/>
      </c>
      <c r="CA80" s="62" t="str">
        <f>IF(CA79="","",VLOOKUP(CA79,'Tech Tree Node Parameters'!$A$3:$B$218,2,FALSE))</f>
        <v/>
      </c>
      <c r="CB80" s="62" t="str">
        <f>IF(CB79="","",VLOOKUP(CB79,'Tech Tree Node Parameters'!$A$3:$B$218,2,FALSE))</f>
        <v/>
      </c>
      <c r="CC80" s="62" t="str">
        <f>IF(CC79="","",VLOOKUP(CC79,'Tech Tree Node Parameters'!$A$3:$B$218,2,FALSE))</f>
        <v/>
      </c>
      <c r="CD80" s="62" t="str">
        <f>IF(CD79="","",VLOOKUP(CD79,'Tech Tree Node Parameters'!$A$3:$B$218,2,FALSE))</f>
        <v/>
      </c>
      <c r="CE80" s="62" t="str">
        <f>IF(CE79="","",VLOOKUP(CE79,'Tech Tree Node Parameters'!$A$3:$B$218,2,FALSE))</f>
        <v/>
      </c>
      <c r="CF80" s="62" t="str">
        <f>IF(CF79="","",VLOOKUP(CF79,'Tech Tree Node Parameters'!$A$3:$B$218,2,FALSE))</f>
        <v/>
      </c>
      <c r="CG80" s="62" t="str">
        <f>IF(CG79="","",VLOOKUP(CG79,'Tech Tree Node Parameters'!$A$3:$B$218,2,FALSE))</f>
        <v/>
      </c>
      <c r="CH80" s="62" t="str">
        <f>IF(CH79="","",VLOOKUP(CH79,'Tech Tree Node Parameters'!$A$3:$B$218,2,FALSE))</f>
        <v/>
      </c>
      <c r="CI80" s="62" t="str">
        <f>IF(CI79="","",VLOOKUP(CI79,'Tech Tree Node Parameters'!$A$3:$B$218,2,FALSE))</f>
        <v/>
      </c>
      <c r="CJ80" s="62" t="str">
        <f>IF(CJ79="","",VLOOKUP(CJ79,'Tech Tree Node Parameters'!$A$3:$B$218,2,FALSE))</f>
        <v/>
      </c>
      <c r="CK80" s="62" t="str">
        <f>IF(CK79="","",VLOOKUP(CK79,'Tech Tree Node Parameters'!$A$3:$B$218,2,FALSE))</f>
        <v/>
      </c>
      <c r="CL80" s="62" t="str">
        <f>IF(CL79="","",VLOOKUP(CL79,'Tech Tree Node Parameters'!$A$3:$B$218,2,FALSE))</f>
        <v/>
      </c>
      <c r="CM80" s="62" t="str">
        <f>IF(CM79="","",VLOOKUP(CM79,'Tech Tree Node Parameters'!$A$3:$B$218,2,FALSE))</f>
        <v/>
      </c>
      <c r="CN80" s="62" t="str">
        <f>IF(CN79="","",VLOOKUP(CN79,'Tech Tree Node Parameters'!$A$3:$B$218,2,FALSE))</f>
        <v/>
      </c>
      <c r="CO80" s="62" t="str">
        <f>IF(CO79="","",VLOOKUP(CO79,'Tech Tree Node Parameters'!$A$3:$B$218,2,FALSE))</f>
        <v/>
      </c>
      <c r="CP80" s="62" t="str">
        <f>IF(CP79="","",VLOOKUP(CP79,'Tech Tree Node Parameters'!$A$3:$B$218,2,FALSE))</f>
        <v/>
      </c>
      <c r="CQ80" s="62" t="str">
        <f>IF(CQ79="","",VLOOKUP(CQ79,'Tech Tree Node Parameters'!$A$3:$B$218,2,FALSE))</f>
        <v/>
      </c>
      <c r="CR80" s="62" t="str">
        <f>IF(CR79="","",VLOOKUP(CR79,'Tech Tree Node Parameters'!$A$3:$B$218,2,FALSE))</f>
        <v/>
      </c>
      <c r="CS80" s="62" t="str">
        <f>IF(CS79="","",VLOOKUP(CS79,'Tech Tree Node Parameters'!$A$3:$B$218,2,FALSE))</f>
        <v/>
      </c>
      <c r="CT80" s="62" t="str">
        <f>IF(CT79="","",VLOOKUP(CT79,'Tech Tree Node Parameters'!$A$3:$B$218,2,FALSE))</f>
        <v/>
      </c>
      <c r="CU80" s="62" t="str">
        <f>IF(CU79="","",VLOOKUP(CU79,'Tech Tree Node Parameters'!$A$3:$B$218,2,FALSE))</f>
        <v/>
      </c>
      <c r="CV80" s="62" t="str">
        <f>IF(CV79="","",VLOOKUP(CV79,'Tech Tree Node Parameters'!$A$3:$B$218,2,FALSE))</f>
        <v/>
      </c>
      <c r="CW80" s="62" t="str">
        <f>IF(CW79="","",VLOOKUP(CW79,'Tech Tree Node Parameters'!$A$3:$B$218,2,FALSE))</f>
        <v/>
      </c>
      <c r="CX80" s="62" t="str">
        <f>IF(CX79="","",VLOOKUP(CX79,'Tech Tree Node Parameters'!$A$3:$B$218,2,FALSE))</f>
        <v/>
      </c>
      <c r="CY80" s="36" t="str">
        <f>IF(CY79="","",VLOOKUP(CY79,'Tech Tree Node Parameters'!$A$3:$B$218,2,FALSE))</f>
        <v/>
      </c>
    </row>
    <row r="81" spans="1:103" s="10" customFormat="1" x14ac:dyDescent="0.25">
      <c r="A81" s="72">
        <f t="shared" ref="A81" si="19">A83+1</f>
        <v>23</v>
      </c>
      <c r="B81" s="69">
        <f>B83+$D$6</f>
        <v>911</v>
      </c>
      <c r="C81" s="39"/>
      <c r="D81" s="61"/>
      <c r="E81" s="61"/>
      <c r="F81" s="61"/>
      <c r="G81" s="61"/>
      <c r="H81" s="61"/>
      <c r="I81" s="61"/>
      <c r="J81" s="61"/>
      <c r="K81" s="61"/>
      <c r="L81" s="61"/>
      <c r="M81" s="61"/>
      <c r="N81" s="61"/>
      <c r="O81" s="61"/>
      <c r="P81" s="61"/>
      <c r="Q81" s="61"/>
      <c r="R81" s="61"/>
      <c r="S81" s="61"/>
      <c r="T81" s="61"/>
      <c r="U81" s="61"/>
      <c r="V81" s="61"/>
      <c r="W81" s="61"/>
      <c r="X81" s="61"/>
      <c r="Y81" s="61"/>
      <c r="Z81" s="61"/>
      <c r="AA81" s="61"/>
      <c r="AB81" s="61"/>
      <c r="AC81" s="61"/>
      <c r="AD81" s="61"/>
      <c r="AE81" s="61"/>
      <c r="AF81" s="61"/>
      <c r="AG81" s="61"/>
      <c r="AH81" s="61"/>
      <c r="AI81" s="61"/>
      <c r="AJ81" s="61"/>
      <c r="AK81" s="61"/>
      <c r="AL81" s="61"/>
      <c r="AM81" s="61"/>
      <c r="AN81" s="61"/>
      <c r="AO81" s="61"/>
      <c r="AP81" s="61"/>
      <c r="AQ81" s="61"/>
      <c r="AR81" s="61"/>
      <c r="AS81" s="61"/>
      <c r="AT81" s="61"/>
      <c r="AU81" s="61"/>
      <c r="AV81" s="61"/>
      <c r="AW81" s="61"/>
      <c r="AX81" s="61"/>
      <c r="AY81" s="61"/>
      <c r="AZ81" s="61"/>
      <c r="BA81" s="61"/>
      <c r="BB81" s="61"/>
      <c r="BC81" s="61"/>
      <c r="BD81" s="61"/>
      <c r="BE81" s="61"/>
      <c r="BF81" s="61"/>
      <c r="BG81" s="61"/>
      <c r="BH81" s="61"/>
      <c r="BI81" s="61"/>
      <c r="BJ81" s="61"/>
      <c r="BK81" s="61"/>
      <c r="BL81" s="61"/>
      <c r="BM81" s="61"/>
      <c r="BN81" s="61"/>
      <c r="BO81" s="61"/>
      <c r="BP81" s="61"/>
      <c r="BQ81" s="61"/>
      <c r="BR81" s="61"/>
      <c r="BS81" s="61"/>
      <c r="BT81" s="61"/>
      <c r="BU81" s="61"/>
      <c r="BV81" s="61"/>
      <c r="BW81" s="61"/>
      <c r="BX81" s="61"/>
      <c r="BY81" s="61"/>
      <c r="BZ81" s="61"/>
      <c r="CA81" s="61"/>
      <c r="CB81" s="61"/>
      <c r="CC81" s="61"/>
      <c r="CD81" s="61"/>
      <c r="CE81" s="61"/>
      <c r="CF81" s="61"/>
      <c r="CG81" s="61"/>
      <c r="CH81" s="61"/>
      <c r="CI81" s="61"/>
      <c r="CJ81" s="61"/>
      <c r="CK81" s="61"/>
      <c r="CL81" s="61"/>
      <c r="CM81" s="61"/>
      <c r="CN81" s="61"/>
      <c r="CO81" s="61"/>
      <c r="CP81" s="61"/>
      <c r="CQ81" s="61"/>
      <c r="CR81" s="61"/>
      <c r="CS81" s="61"/>
      <c r="CT81" s="61"/>
      <c r="CU81" s="61"/>
      <c r="CV81" s="61"/>
      <c r="CW81" s="61"/>
      <c r="CX81" s="61"/>
      <c r="CY81" s="35"/>
    </row>
    <row r="82" spans="1:103" x14ac:dyDescent="0.25">
      <c r="A82" s="72"/>
      <c r="B82" s="70"/>
      <c r="C82" s="40"/>
      <c r="D82" s="62" t="str">
        <f>IF(D81="","",VLOOKUP(D81,'Tech Tree Node Parameters'!$A$3:$B$218,2,FALSE))</f>
        <v/>
      </c>
      <c r="E82" s="62" t="str">
        <f>IF(E81="","",VLOOKUP(E81,'Tech Tree Node Parameters'!$A$3:$B$218,2,FALSE))</f>
        <v/>
      </c>
      <c r="F82" s="62" t="str">
        <f>IF(F81="","",VLOOKUP(F81,'Tech Tree Node Parameters'!$A$3:$B$218,2,FALSE))</f>
        <v/>
      </c>
      <c r="G82" s="62" t="str">
        <f>IF(G81="","",VLOOKUP(G81,'Tech Tree Node Parameters'!$A$3:$B$218,2,FALSE))</f>
        <v/>
      </c>
      <c r="H82" s="62" t="str">
        <f>IF(H81="","",VLOOKUP(H81,'Tech Tree Node Parameters'!$A$3:$B$218,2,FALSE))</f>
        <v/>
      </c>
      <c r="I82" s="62" t="str">
        <f>IF(I81="","",VLOOKUP(I81,'Tech Tree Node Parameters'!$A$3:$B$218,2,FALSE))</f>
        <v/>
      </c>
      <c r="J82" s="62" t="str">
        <f>IF(J81="","",VLOOKUP(J81,'Tech Tree Node Parameters'!$A$3:$B$218,2,FALSE))</f>
        <v/>
      </c>
      <c r="K82" s="62" t="str">
        <f>IF(K81="","",VLOOKUP(K81,'Tech Tree Node Parameters'!$A$3:$B$218,2,FALSE))</f>
        <v/>
      </c>
      <c r="L82" s="62" t="str">
        <f>IF(L81="","",VLOOKUP(L81,'Tech Tree Node Parameters'!$A$3:$B$218,2,FALSE))</f>
        <v/>
      </c>
      <c r="M82" s="62" t="str">
        <f>IF(M81="","",VLOOKUP(M81,'Tech Tree Node Parameters'!$A$3:$B$218,2,FALSE))</f>
        <v/>
      </c>
      <c r="N82" s="62" t="str">
        <f>IF(N81="","",VLOOKUP(N81,'Tech Tree Node Parameters'!$A$3:$B$218,2,FALSE))</f>
        <v/>
      </c>
      <c r="O82" s="62" t="str">
        <f>IF(O81="","",VLOOKUP(O81,'Tech Tree Node Parameters'!$A$3:$B$218,2,FALSE))</f>
        <v/>
      </c>
      <c r="P82" s="62" t="str">
        <f>IF(P81="","",VLOOKUP(P81,'Tech Tree Node Parameters'!$A$3:$B$218,2,FALSE))</f>
        <v/>
      </c>
      <c r="Q82" s="62" t="str">
        <f>IF(Q81="","",VLOOKUP(Q81,'Tech Tree Node Parameters'!$A$3:$B$218,2,FALSE))</f>
        <v/>
      </c>
      <c r="R82" s="62" t="str">
        <f>IF(R81="","",VLOOKUP(R81,'Tech Tree Node Parameters'!$A$3:$B$218,2,FALSE))</f>
        <v/>
      </c>
      <c r="S82" s="62" t="str">
        <f>IF(S81="","",VLOOKUP(S81,'Tech Tree Node Parameters'!$A$3:$B$218,2,FALSE))</f>
        <v/>
      </c>
      <c r="T82" s="62" t="str">
        <f>IF(T81="","",VLOOKUP(T81,'Tech Tree Node Parameters'!$A$3:$B$218,2,FALSE))</f>
        <v/>
      </c>
      <c r="U82" s="62" t="str">
        <f>IF(U81="","",VLOOKUP(U81,'Tech Tree Node Parameters'!$A$3:$B$218,2,FALSE))</f>
        <v/>
      </c>
      <c r="V82" s="62" t="str">
        <f>IF(V81="","",VLOOKUP(V81,'Tech Tree Node Parameters'!$A$3:$B$218,2,FALSE))</f>
        <v/>
      </c>
      <c r="W82" s="62" t="str">
        <f>IF(W81="","",VLOOKUP(W81,'Tech Tree Node Parameters'!$A$3:$B$218,2,FALSE))</f>
        <v/>
      </c>
      <c r="X82" s="62" t="str">
        <f>IF(X81="","",VLOOKUP(X81,'Tech Tree Node Parameters'!$A$3:$B$218,2,FALSE))</f>
        <v/>
      </c>
      <c r="Y82" s="62" t="str">
        <f>IF(Y81="","",VLOOKUP(Y81,'Tech Tree Node Parameters'!$A$3:$B$218,2,FALSE))</f>
        <v/>
      </c>
      <c r="Z82" s="62" t="str">
        <f>IF(Z81="","",VLOOKUP(Z81,'Tech Tree Node Parameters'!$A$3:$B$218,2,FALSE))</f>
        <v/>
      </c>
      <c r="AA82" s="62" t="str">
        <f>IF(AA81="","",VLOOKUP(AA81,'Tech Tree Node Parameters'!$A$3:$B$218,2,FALSE))</f>
        <v/>
      </c>
      <c r="AB82" s="62" t="str">
        <f>IF(AB81="","",VLOOKUP(AB81,'Tech Tree Node Parameters'!$A$3:$B$218,2,FALSE))</f>
        <v/>
      </c>
      <c r="AC82" s="62" t="str">
        <f>IF(AC81="","",VLOOKUP(AC81,'Tech Tree Node Parameters'!$A$3:$B$218,2,FALSE))</f>
        <v/>
      </c>
      <c r="AD82" s="62" t="str">
        <f>IF(AD81="","",VLOOKUP(AD81,'Tech Tree Node Parameters'!$A$3:$B$218,2,FALSE))</f>
        <v/>
      </c>
      <c r="AE82" s="62" t="str">
        <f>IF(AE81="","",VLOOKUP(AE81,'Tech Tree Node Parameters'!$A$3:$B$218,2,FALSE))</f>
        <v/>
      </c>
      <c r="AF82" s="62" t="str">
        <f>IF(AF81="","",VLOOKUP(AF81,'Tech Tree Node Parameters'!$A$3:$B$218,2,FALSE))</f>
        <v/>
      </c>
      <c r="AG82" s="62" t="str">
        <f>IF(AG81="","",VLOOKUP(AG81,'Tech Tree Node Parameters'!$A$3:$B$218,2,FALSE))</f>
        <v/>
      </c>
      <c r="AH82" s="62" t="str">
        <f>IF(AH81="","",VLOOKUP(AH81,'Tech Tree Node Parameters'!$A$3:$B$218,2,FALSE))</f>
        <v/>
      </c>
      <c r="AI82" s="62" t="str">
        <f>IF(AI81="","",VLOOKUP(AI81,'Tech Tree Node Parameters'!$A$3:$B$218,2,FALSE))</f>
        <v/>
      </c>
      <c r="AJ82" s="62" t="str">
        <f>IF(AJ81="","",VLOOKUP(AJ81,'Tech Tree Node Parameters'!$A$3:$B$218,2,FALSE))</f>
        <v/>
      </c>
      <c r="AK82" s="62" t="str">
        <f>IF(AK81="","",VLOOKUP(AK81,'Tech Tree Node Parameters'!$A$3:$B$218,2,FALSE))</f>
        <v/>
      </c>
      <c r="AL82" s="62" t="str">
        <f>IF(AL81="","",VLOOKUP(AL81,'Tech Tree Node Parameters'!$A$3:$B$218,2,FALSE))</f>
        <v/>
      </c>
      <c r="AM82" s="62" t="str">
        <f>IF(AM81="","",VLOOKUP(AM81,'Tech Tree Node Parameters'!$A$3:$B$218,2,FALSE))</f>
        <v/>
      </c>
      <c r="AN82" s="62" t="str">
        <f>IF(AN81="","",VLOOKUP(AN81,'Tech Tree Node Parameters'!$A$3:$B$218,2,FALSE))</f>
        <v/>
      </c>
      <c r="AO82" s="62" t="str">
        <f>IF(AO81="","",VLOOKUP(AO81,'Tech Tree Node Parameters'!$A$3:$B$218,2,FALSE))</f>
        <v/>
      </c>
      <c r="AP82" s="62" t="str">
        <f>IF(AP81="","",VLOOKUP(AP81,'Tech Tree Node Parameters'!$A$3:$B$218,2,FALSE))</f>
        <v/>
      </c>
      <c r="AQ82" s="62" t="str">
        <f>IF(AQ81="","",VLOOKUP(AQ81,'Tech Tree Node Parameters'!$A$3:$B$218,2,FALSE))</f>
        <v/>
      </c>
      <c r="AR82" s="62" t="str">
        <f>IF(AR81="","",VLOOKUP(AR81,'Tech Tree Node Parameters'!$A$3:$B$218,2,FALSE))</f>
        <v/>
      </c>
      <c r="AS82" s="62" t="str">
        <f>IF(AS81="","",VLOOKUP(AS81,'Tech Tree Node Parameters'!$A$3:$B$218,2,FALSE))</f>
        <v/>
      </c>
      <c r="AT82" s="62"/>
      <c r="AU82" s="62"/>
      <c r="AV82" s="62"/>
      <c r="AW82" s="62"/>
      <c r="AX82" s="62"/>
      <c r="AY82" s="62"/>
      <c r="AZ82" s="62"/>
      <c r="BA82" s="62"/>
      <c r="BB82" s="62"/>
      <c r="BC82" s="62"/>
      <c r="BD82" s="62"/>
      <c r="BE82" s="62"/>
      <c r="BF82" s="62"/>
      <c r="BG82" s="62"/>
      <c r="BH82" s="62"/>
      <c r="BI82" s="62"/>
      <c r="BJ82" s="62"/>
      <c r="BK82" s="62"/>
      <c r="BL82" s="62"/>
      <c r="BM82" s="62"/>
      <c r="BN82" s="62"/>
      <c r="BO82" s="62"/>
      <c r="BP82" s="62"/>
      <c r="BQ82" s="62" t="str">
        <f>IF(BQ81="","",VLOOKUP(BQ81,'Tech Tree Node Parameters'!$A$3:$B$218,2,FALSE))</f>
        <v/>
      </c>
      <c r="BR82" s="62" t="str">
        <f>IF(BR81="","",VLOOKUP(BR81,'Tech Tree Node Parameters'!$A$3:$B$218,2,FALSE))</f>
        <v/>
      </c>
      <c r="BS82" s="62" t="str">
        <f>IF(BS81="","",VLOOKUP(BS81,'Tech Tree Node Parameters'!$A$3:$B$218,2,FALSE))</f>
        <v/>
      </c>
      <c r="BT82" s="62" t="str">
        <f>IF(BT81="","",VLOOKUP(BT81,'Tech Tree Node Parameters'!$A$3:$B$218,2,FALSE))</f>
        <v/>
      </c>
      <c r="BU82" s="62" t="str">
        <f>IF(BU81="","",VLOOKUP(BU81,'Tech Tree Node Parameters'!$A$3:$B$218,2,FALSE))</f>
        <v/>
      </c>
      <c r="BV82" s="62" t="str">
        <f>IF(BV81="","",VLOOKUP(BV81,'Tech Tree Node Parameters'!$A$3:$B$218,2,FALSE))</f>
        <v/>
      </c>
      <c r="BW82" s="62" t="str">
        <f>IF(BW81="","",VLOOKUP(BW81,'Tech Tree Node Parameters'!$A$3:$B$218,2,FALSE))</f>
        <v/>
      </c>
      <c r="BX82" s="62" t="str">
        <f>IF(BX81="","",VLOOKUP(BX81,'Tech Tree Node Parameters'!$A$3:$B$218,2,FALSE))</f>
        <v/>
      </c>
      <c r="BY82" s="62" t="str">
        <f>IF(BY81="","",VLOOKUP(BY81,'Tech Tree Node Parameters'!$A$3:$B$218,2,FALSE))</f>
        <v/>
      </c>
      <c r="BZ82" s="62" t="str">
        <f>IF(BZ81="","",VLOOKUP(BZ81,'Tech Tree Node Parameters'!$A$3:$B$218,2,FALSE))</f>
        <v/>
      </c>
      <c r="CA82" s="62" t="str">
        <f>IF(CA81="","",VLOOKUP(CA81,'Tech Tree Node Parameters'!$A$3:$B$218,2,FALSE))</f>
        <v/>
      </c>
      <c r="CB82" s="62" t="str">
        <f>IF(CB81="","",VLOOKUP(CB81,'Tech Tree Node Parameters'!$A$3:$B$218,2,FALSE))</f>
        <v/>
      </c>
      <c r="CC82" s="62" t="str">
        <f>IF(CC81="","",VLOOKUP(CC81,'Tech Tree Node Parameters'!$A$3:$B$218,2,FALSE))</f>
        <v/>
      </c>
      <c r="CD82" s="62" t="str">
        <f>IF(CD81="","",VLOOKUP(CD81,'Tech Tree Node Parameters'!$A$3:$B$218,2,FALSE))</f>
        <v/>
      </c>
      <c r="CE82" s="62" t="str">
        <f>IF(CE81="","",VLOOKUP(CE81,'Tech Tree Node Parameters'!$A$3:$B$218,2,FALSE))</f>
        <v/>
      </c>
      <c r="CF82" s="62" t="str">
        <f>IF(CF81="","",VLOOKUP(CF81,'Tech Tree Node Parameters'!$A$3:$B$218,2,FALSE))</f>
        <v/>
      </c>
      <c r="CG82" s="62" t="str">
        <f>IF(CG81="","",VLOOKUP(CG81,'Tech Tree Node Parameters'!$A$3:$B$218,2,FALSE))</f>
        <v/>
      </c>
      <c r="CH82" s="62" t="str">
        <f>IF(CH81="","",VLOOKUP(CH81,'Tech Tree Node Parameters'!$A$3:$B$218,2,FALSE))</f>
        <v/>
      </c>
      <c r="CI82" s="62" t="str">
        <f>IF(CI81="","",VLOOKUP(CI81,'Tech Tree Node Parameters'!$A$3:$B$218,2,FALSE))</f>
        <v/>
      </c>
      <c r="CJ82" s="62" t="str">
        <f>IF(CJ81="","",VLOOKUP(CJ81,'Tech Tree Node Parameters'!$A$3:$B$218,2,FALSE))</f>
        <v/>
      </c>
      <c r="CK82" s="62" t="str">
        <f>IF(CK81="","",VLOOKUP(CK81,'Tech Tree Node Parameters'!$A$3:$B$218,2,FALSE))</f>
        <v/>
      </c>
      <c r="CL82" s="62" t="str">
        <f>IF(CL81="","",VLOOKUP(CL81,'Tech Tree Node Parameters'!$A$3:$B$218,2,FALSE))</f>
        <v/>
      </c>
      <c r="CM82" s="62" t="str">
        <f>IF(CM81="","",VLOOKUP(CM81,'Tech Tree Node Parameters'!$A$3:$B$218,2,FALSE))</f>
        <v/>
      </c>
      <c r="CN82" s="62" t="str">
        <f>IF(CN81="","",VLOOKUP(CN81,'Tech Tree Node Parameters'!$A$3:$B$218,2,FALSE))</f>
        <v/>
      </c>
      <c r="CO82" s="62" t="str">
        <f>IF(CO81="","",VLOOKUP(CO81,'Tech Tree Node Parameters'!$A$3:$B$218,2,FALSE))</f>
        <v/>
      </c>
      <c r="CP82" s="62" t="str">
        <f>IF(CP81="","",VLOOKUP(CP81,'Tech Tree Node Parameters'!$A$3:$B$218,2,FALSE))</f>
        <v/>
      </c>
      <c r="CQ82" s="62" t="str">
        <f>IF(CQ81="","",VLOOKUP(CQ81,'Tech Tree Node Parameters'!$A$3:$B$218,2,FALSE))</f>
        <v/>
      </c>
      <c r="CR82" s="62" t="str">
        <f>IF(CR81="","",VLOOKUP(CR81,'Tech Tree Node Parameters'!$A$3:$B$218,2,FALSE))</f>
        <v/>
      </c>
      <c r="CS82" s="62" t="str">
        <f>IF(CS81="","",VLOOKUP(CS81,'Tech Tree Node Parameters'!$A$3:$B$218,2,FALSE))</f>
        <v/>
      </c>
      <c r="CT82" s="62" t="str">
        <f>IF(CT81="","",VLOOKUP(CT81,'Tech Tree Node Parameters'!$A$3:$B$218,2,FALSE))</f>
        <v/>
      </c>
      <c r="CU82" s="62" t="str">
        <f>IF(CU81="","",VLOOKUP(CU81,'Tech Tree Node Parameters'!$A$3:$B$218,2,FALSE))</f>
        <v/>
      </c>
      <c r="CV82" s="62" t="str">
        <f>IF(CV81="","",VLOOKUP(CV81,'Tech Tree Node Parameters'!$A$3:$B$218,2,FALSE))</f>
        <v/>
      </c>
      <c r="CW82" s="62" t="str">
        <f>IF(CW81="","",VLOOKUP(CW81,'Tech Tree Node Parameters'!$A$3:$B$218,2,FALSE))</f>
        <v/>
      </c>
      <c r="CX82" s="62" t="str">
        <f>IF(CX81="","",VLOOKUP(CX81,'Tech Tree Node Parameters'!$A$3:$B$218,2,FALSE))</f>
        <v/>
      </c>
      <c r="CY82" s="36" t="str">
        <f>IF(CY81="","",VLOOKUP(CY81,'Tech Tree Node Parameters'!$A$3:$B$218,2,FALSE))</f>
        <v/>
      </c>
    </row>
    <row r="83" spans="1:103" x14ac:dyDescent="0.25">
      <c r="A83" s="72">
        <f t="shared" ref="A83" si="20">A85+1</f>
        <v>22</v>
      </c>
      <c r="B83" s="69">
        <f>B85+$D$6</f>
        <v>873</v>
      </c>
      <c r="C83" s="39"/>
      <c r="D83" s="61"/>
      <c r="E83" s="61"/>
      <c r="F83" s="61"/>
      <c r="G83" s="61"/>
      <c r="H83" s="61"/>
      <c r="I83" s="61"/>
      <c r="J83" s="61"/>
      <c r="K83" s="61"/>
      <c r="L83" s="61"/>
      <c r="M83" s="61"/>
      <c r="N83" s="61"/>
      <c r="O83" s="61"/>
      <c r="P83" s="61"/>
      <c r="Q83" s="61"/>
      <c r="R83" s="61"/>
      <c r="S83" s="61"/>
      <c r="T83" s="61"/>
      <c r="U83" s="61"/>
      <c r="V83" s="61"/>
      <c r="W83" s="61"/>
      <c r="X83" s="61"/>
      <c r="Y83" s="61"/>
      <c r="Z83" s="61"/>
      <c r="AA83" s="61"/>
      <c r="AB83" s="61"/>
      <c r="AC83" s="61" t="s">
        <v>3</v>
      </c>
      <c r="AD83" s="61"/>
      <c r="AE83" s="61" t="s">
        <v>433</v>
      </c>
      <c r="AF83" s="61"/>
      <c r="AG83" s="61" t="s">
        <v>5</v>
      </c>
      <c r="AH83" s="61"/>
      <c r="AI83" s="61" t="s">
        <v>20</v>
      </c>
      <c r="AJ83" s="61"/>
      <c r="AK83" s="61" t="s">
        <v>556</v>
      </c>
      <c r="AL83" s="61"/>
      <c r="AM83" s="61" t="s">
        <v>62</v>
      </c>
      <c r="AN83" s="61"/>
      <c r="AO83" s="61" t="s">
        <v>60</v>
      </c>
      <c r="AP83" s="61"/>
      <c r="AQ83" s="61"/>
      <c r="AR83" s="61"/>
      <c r="AS83" s="61"/>
      <c r="AT83" s="61"/>
      <c r="AU83" s="61"/>
      <c r="AV83" s="61"/>
      <c r="AW83" s="61"/>
      <c r="AX83" s="61"/>
      <c r="AY83" s="61"/>
      <c r="AZ83" s="61"/>
      <c r="BA83" s="61"/>
      <c r="BB83" s="61"/>
      <c r="BC83" s="61"/>
      <c r="BD83" s="61"/>
      <c r="BE83" s="61"/>
      <c r="BF83" s="61"/>
      <c r="BG83" s="61" t="s">
        <v>144</v>
      </c>
      <c r="BH83" s="61"/>
      <c r="BI83" s="61" t="s">
        <v>462</v>
      </c>
      <c r="BJ83" s="61"/>
      <c r="BK83" s="61" t="s">
        <v>512</v>
      </c>
      <c r="BL83" s="61"/>
      <c r="BM83" s="61" t="s">
        <v>41</v>
      </c>
      <c r="BN83" s="61"/>
      <c r="BO83" s="61" t="s">
        <v>11</v>
      </c>
      <c r="BP83" s="61"/>
      <c r="BQ83" s="61" t="s">
        <v>188</v>
      </c>
      <c r="BR83" s="61"/>
      <c r="BS83" s="61"/>
      <c r="BT83" s="61"/>
      <c r="BU83" s="61"/>
      <c r="BV83" s="61"/>
      <c r="BW83" s="61"/>
      <c r="BX83" s="61"/>
      <c r="BY83" s="61"/>
      <c r="BZ83" s="61"/>
      <c r="CA83" s="61"/>
      <c r="CB83" s="61"/>
      <c r="CC83" s="61"/>
      <c r="CD83" s="61"/>
      <c r="CE83" s="61"/>
      <c r="CF83" s="61"/>
      <c r="CG83" s="61"/>
      <c r="CH83" s="61"/>
      <c r="CI83" s="61"/>
      <c r="CJ83" s="61"/>
      <c r="CK83" s="61"/>
      <c r="CL83" s="61"/>
      <c r="CM83" s="61"/>
      <c r="CN83" s="61"/>
      <c r="CO83" s="61"/>
      <c r="CP83" s="61"/>
      <c r="CQ83" s="61"/>
      <c r="CR83" s="61"/>
      <c r="CS83" s="61"/>
      <c r="CT83" s="61"/>
      <c r="CU83" s="61"/>
      <c r="CV83" s="61"/>
      <c r="CW83" s="61"/>
      <c r="CX83" s="61"/>
      <c r="CY83" s="35"/>
    </row>
    <row r="84" spans="1:103" x14ac:dyDescent="0.25">
      <c r="A84" s="72"/>
      <c r="B84" s="70"/>
      <c r="C84" s="40"/>
      <c r="D84" s="62" t="str">
        <f>IF(D83="","",VLOOKUP(D83,'Tech Tree Node Parameters'!$A$3:$B$218,2,FALSE))</f>
        <v/>
      </c>
      <c r="E84" s="62" t="str">
        <f>IF(E83="","",VLOOKUP(E83,'Tech Tree Node Parameters'!$A$3:$B$218,2,FALSE))</f>
        <v/>
      </c>
      <c r="F84" s="62" t="str">
        <f>IF(F83="","",VLOOKUP(F83,'Tech Tree Node Parameters'!$A$3:$B$218,2,FALSE))</f>
        <v/>
      </c>
      <c r="G84" s="62" t="str">
        <f>IF(G83="","",VLOOKUP(G83,'Tech Tree Node Parameters'!$A$3:$B$218,2,FALSE))</f>
        <v/>
      </c>
      <c r="H84" s="62" t="str">
        <f>IF(H83="","",VLOOKUP(H83,'Tech Tree Node Parameters'!$A$3:$B$218,2,FALSE))</f>
        <v/>
      </c>
      <c r="I84" s="62" t="str">
        <f>IF(I83="","",VLOOKUP(I83,'Tech Tree Node Parameters'!$A$3:$B$218,2,FALSE))</f>
        <v/>
      </c>
      <c r="J84" s="62" t="str">
        <f>IF(J83="","",VLOOKUP(J83,'Tech Tree Node Parameters'!$A$3:$B$218,2,FALSE))</f>
        <v/>
      </c>
      <c r="K84" s="62" t="str">
        <f>IF(K83="","",VLOOKUP(K83,'Tech Tree Node Parameters'!$A$3:$B$218,2,FALSE))</f>
        <v/>
      </c>
      <c r="L84" s="62" t="str">
        <f>IF(L83="","",VLOOKUP(L83,'Tech Tree Node Parameters'!$A$3:$B$218,2,FALSE))</f>
        <v/>
      </c>
      <c r="M84" s="62" t="str">
        <f>IF(M83="","",VLOOKUP(M83,'Tech Tree Node Parameters'!$A$3:$B$218,2,FALSE))</f>
        <v/>
      </c>
      <c r="N84" s="62" t="str">
        <f>IF(N83="","",VLOOKUP(N83,'Tech Tree Node Parameters'!$A$3:$B$218,2,FALSE))</f>
        <v/>
      </c>
      <c r="O84" s="62" t="str">
        <f>IF(O83="","",VLOOKUP(O83,'Tech Tree Node Parameters'!$A$3:$B$218,2,FALSE))</f>
        <v/>
      </c>
      <c r="P84" s="62" t="str">
        <f>IF(P83="","",VLOOKUP(P83,'Tech Tree Node Parameters'!$A$3:$B$218,2,FALSE))</f>
        <v/>
      </c>
      <c r="Q84" s="62" t="str">
        <f>IF(Q83="","",VLOOKUP(Q83,'Tech Tree Node Parameters'!$A$3:$B$218,2,FALSE))</f>
        <v/>
      </c>
      <c r="R84" s="62" t="str">
        <f>IF(R83="","",VLOOKUP(R83,'Tech Tree Node Parameters'!$A$3:$B$218,2,FALSE))</f>
        <v/>
      </c>
      <c r="S84" s="62" t="str">
        <f>IF(S83="","",VLOOKUP(S83,'Tech Tree Node Parameters'!$A$3:$B$218,2,FALSE))</f>
        <v/>
      </c>
      <c r="T84" s="62" t="str">
        <f>IF(T83="","",VLOOKUP(T83,'Tech Tree Node Parameters'!$A$3:$B$218,2,FALSE))</f>
        <v/>
      </c>
      <c r="U84" s="62" t="str">
        <f>IF(U83="","",VLOOKUP(U83,'Tech Tree Node Parameters'!$A$3:$B$218,2,FALSE))</f>
        <v/>
      </c>
      <c r="V84" s="62" t="str">
        <f>IF(V83="","",VLOOKUP(V83,'Tech Tree Node Parameters'!$A$3:$B$218,2,FALSE))</f>
        <v/>
      </c>
      <c r="W84" s="62" t="str">
        <f>IF(W83="","",VLOOKUP(W83,'Tech Tree Node Parameters'!$A$3:$B$218,2,FALSE))</f>
        <v/>
      </c>
      <c r="X84" s="62" t="str">
        <f>IF(X83="","",VLOOKUP(X83,'Tech Tree Node Parameters'!$A$3:$B$218,2,FALSE))</f>
        <v/>
      </c>
      <c r="Y84" s="62" t="str">
        <f>IF(Y83="","",VLOOKUP(Y83,'Tech Tree Node Parameters'!$A$3:$B$218,2,FALSE))</f>
        <v/>
      </c>
      <c r="Z84" s="62" t="str">
        <f>IF(Z83="","",VLOOKUP(Z83,'Tech Tree Node Parameters'!$A$3:$B$218,2,FALSE))</f>
        <v/>
      </c>
      <c r="AA84" s="62" t="str">
        <f>IF(AA83="","",VLOOKUP(AA83,'Tech Tree Node Parameters'!$A$3:$B$218,2,FALSE))</f>
        <v/>
      </c>
      <c r="AB84" s="62" t="str">
        <f>IF(AB83="","",VLOOKUP(AB83,'Tech Tree Node Parameters'!$A$3:$B$218,2,FALSE))</f>
        <v/>
      </c>
      <c r="AC84" s="62" t="str">
        <f>IF(AC83="","",VLOOKUP(AC83,'Tech Tree Node Parameters'!$A$3:$B$218,2,FALSE))</f>
        <v>Experimental Conversion Systems</v>
      </c>
      <c r="AD84" s="62" t="str">
        <f>IF(AD83="","",VLOOKUP(AD83,'Tech Tree Node Parameters'!$A$3:$B$218,2,FALSE))</f>
        <v/>
      </c>
      <c r="AE84" s="62" t="str">
        <f>IF(AE83="","",VLOOKUP(AE83,'Tech Tree Node Parameters'!$A$3:$B$218,2,FALSE))</f>
        <v>Advanced Conversion Systems</v>
      </c>
      <c r="AF84" s="62" t="str">
        <f>IF(AF83="","",VLOOKUP(AF83,'Tech Tree Node Parameters'!$A$3:$B$218,2,FALSE))</f>
        <v/>
      </c>
      <c r="AG84" s="62" t="str">
        <f>IF(AG83="","",VLOOKUP(AG83,'Tech Tree Node Parameters'!$A$3:$B$218,2,FALSE))</f>
        <v>Resource Conversion Systems</v>
      </c>
      <c r="AH84" s="62" t="str">
        <f>IF(AH83="","",VLOOKUP(AH83,'Tech Tree Node Parameters'!$A$3:$B$218,2,FALSE))</f>
        <v/>
      </c>
      <c r="AI84" s="62" t="str">
        <f>IF(AI83="","",VLOOKUP(AI83,'Tech Tree Node Parameters'!$A$3:$B$218,2,FALSE))</f>
        <v>Experimental Rocketry</v>
      </c>
      <c r="AJ84" s="62" t="str">
        <f>IF(AJ83="","",VLOOKUP(AJ83,'Tech Tree Node Parameters'!$A$3:$B$218,2,FALSE))</f>
        <v/>
      </c>
      <c r="AK84" s="62" t="str">
        <f>IF(AK83="","",VLOOKUP(AK83,'Tech Tree Node Parameters'!$A$3:$B$218,2,FALSE))</f>
        <v>Hybrid LOX Rockets</v>
      </c>
      <c r="AL84" s="62" t="str">
        <f>IF(AL83="","",VLOOKUP(AL83,'Tech Tree Node Parameters'!$A$3:$B$218,2,FALSE))</f>
        <v/>
      </c>
      <c r="AM84" s="62" t="str">
        <f>IF(AM83="","",VLOOKUP(AM83,'Tech Tree Node Parameters'!$A$3:$B$218,2,FALSE))</f>
        <v>Precision Propulsion</v>
      </c>
      <c r="AN84" s="62" t="str">
        <f>IF(AN83="","",VLOOKUP(AN83,'Tech Tree Node Parameters'!$A$3:$B$218,2,FALSE))</f>
        <v/>
      </c>
      <c r="AO84" s="62" t="str">
        <f>IF(AO83="","",VLOOKUP(AO83,'Tech Tree Node Parameters'!$A$3:$B$218,2,FALSE))</f>
        <v>Liquid Rocket Engines</v>
      </c>
      <c r="AP84" s="62" t="str">
        <f>IF(AP83="","",VLOOKUP(AP83,'Tech Tree Node Parameters'!$A$3:$B$218,2,FALSE))</f>
        <v/>
      </c>
      <c r="AQ84" s="62"/>
      <c r="AR84" s="62"/>
      <c r="AS84" s="62"/>
      <c r="AT84" s="62"/>
      <c r="AU84" s="62"/>
      <c r="AV84" s="62"/>
      <c r="AW84" s="62"/>
      <c r="AX84" s="62"/>
      <c r="AY84" s="62"/>
      <c r="AZ84" s="62"/>
      <c r="BA84" s="62"/>
      <c r="BB84" s="62"/>
      <c r="BC84" s="62"/>
      <c r="BD84" s="62"/>
      <c r="BE84" s="62"/>
      <c r="BF84" s="62"/>
      <c r="BG84" s="62" t="str">
        <f>IF(BG83="","",VLOOKUP(BG83,'Tech Tree Node Parameters'!$A$3:$B$218,2,FALSE))</f>
        <v>Small Docking Ports and Airlocks</v>
      </c>
      <c r="BH84" s="62" t="str">
        <f>IF(BH83="","",VLOOKUP(BH83,'Tech Tree Node Parameters'!$A$3:$B$218,2,FALSE))</f>
        <v/>
      </c>
      <c r="BI84" s="62" t="str">
        <f>IF(BI83="","",VLOOKUP(BI83,'Tech Tree Node Parameters'!$A$3:$B$218,2,FALSE))</f>
        <v>Advanced Docking</v>
      </c>
      <c r="BJ84" s="62"/>
      <c r="BK84" s="62" t="str">
        <f>IF(BK83="","",VLOOKUP(BK83,'Tech Tree Node Parameters'!$A$3:$B$218,2,FALSE))</f>
        <v>Space Station Technologies</v>
      </c>
      <c r="BL84" s="62" t="str">
        <f>IF(BL83="","",VLOOKUP(BL83,'Tech Tree Node Parameters'!$A$3:$B$218,2,FALSE))</f>
        <v/>
      </c>
      <c r="BM84" s="62" t="str">
        <f>IF(BM83="","",VLOOKUP(BM83,'Tech Tree Node Parameters'!$A$3:$B$218,2,FALSE))</f>
        <v>Short-term Habitation</v>
      </c>
      <c r="BN84" s="62" t="str">
        <f>IF(BN83="","",VLOOKUP(BN83,'Tech Tree Node Parameters'!$A$3:$B$218,2,FALSE))</f>
        <v/>
      </c>
      <c r="BO84" s="62" t="str">
        <f>IF(BO83="","",VLOOKUP(BO83,'Tech Tree Node Parameters'!$A$3:$B$218,2,FALSE))</f>
        <v>Long-term Habitation</v>
      </c>
      <c r="BP84" s="62"/>
      <c r="BQ84" s="62" t="str">
        <f>IF(BQ83="","",VLOOKUP(BQ83,'Tech Tree Node Parameters'!$A$3:$B$218,2,FALSE))</f>
        <v>Robotics</v>
      </c>
      <c r="BR84" s="62" t="str">
        <f>IF(BR83="","",VLOOKUP(BR83,'Tech Tree Node Parameters'!$A$3:$B$218,2,FALSE))</f>
        <v/>
      </c>
      <c r="BS84" s="62" t="str">
        <f>IF(BS83="","",VLOOKUP(BS83,'Tech Tree Node Parameters'!$A$3:$B$218,2,FALSE))</f>
        <v/>
      </c>
      <c r="BT84" s="62" t="str">
        <f>IF(BT83="","",VLOOKUP(BT83,'Tech Tree Node Parameters'!$A$3:$B$218,2,FALSE))</f>
        <v/>
      </c>
      <c r="BU84" s="62" t="str">
        <f>IF(BU83="","",VLOOKUP(BU83,'Tech Tree Node Parameters'!$A$3:$B$218,2,FALSE))</f>
        <v/>
      </c>
      <c r="BV84" s="62" t="str">
        <f>IF(BV83="","",VLOOKUP(BV83,'Tech Tree Node Parameters'!$A$3:$B$218,2,FALSE))</f>
        <v/>
      </c>
      <c r="BW84" s="62" t="str">
        <f>IF(BW83="","",VLOOKUP(BW83,'Tech Tree Node Parameters'!$A$3:$B$218,2,FALSE))</f>
        <v/>
      </c>
      <c r="BX84" s="62" t="str">
        <f>IF(BX83="","",VLOOKUP(BX83,'Tech Tree Node Parameters'!$A$3:$B$218,2,FALSE))</f>
        <v/>
      </c>
      <c r="BY84" s="62" t="str">
        <f>IF(BY83="","",VLOOKUP(BY83,'Tech Tree Node Parameters'!$A$3:$B$218,2,FALSE))</f>
        <v/>
      </c>
      <c r="BZ84" s="62" t="str">
        <f>IF(BZ83="","",VLOOKUP(BZ83,'Tech Tree Node Parameters'!$A$3:$B$218,2,FALSE))</f>
        <v/>
      </c>
      <c r="CA84" s="62" t="str">
        <f>IF(CA83="","",VLOOKUP(CA83,'Tech Tree Node Parameters'!$A$3:$B$218,2,FALSE))</f>
        <v/>
      </c>
      <c r="CB84" s="62" t="str">
        <f>IF(CB83="","",VLOOKUP(CB83,'Tech Tree Node Parameters'!$A$3:$B$218,2,FALSE))</f>
        <v/>
      </c>
      <c r="CC84" s="62" t="str">
        <f>IF(CC83="","",VLOOKUP(CC83,'Tech Tree Node Parameters'!$A$3:$B$218,2,FALSE))</f>
        <v/>
      </c>
      <c r="CD84" s="62" t="str">
        <f>IF(CD83="","",VLOOKUP(CD83,'Tech Tree Node Parameters'!$A$3:$B$218,2,FALSE))</f>
        <v/>
      </c>
      <c r="CE84" s="62" t="str">
        <f>IF(CE83="","",VLOOKUP(CE83,'Tech Tree Node Parameters'!$A$3:$B$218,2,FALSE))</f>
        <v/>
      </c>
      <c r="CF84" s="62" t="str">
        <f>IF(CF83="","",VLOOKUP(CF83,'Tech Tree Node Parameters'!$A$3:$B$218,2,FALSE))</f>
        <v/>
      </c>
      <c r="CG84" s="62" t="str">
        <f>IF(CG83="","",VLOOKUP(CG83,'Tech Tree Node Parameters'!$A$3:$B$218,2,FALSE))</f>
        <v/>
      </c>
      <c r="CH84" s="62" t="str">
        <f>IF(CH83="","",VLOOKUP(CH83,'Tech Tree Node Parameters'!$A$3:$B$218,2,FALSE))</f>
        <v/>
      </c>
      <c r="CI84" s="62" t="str">
        <f>IF(CI83="","",VLOOKUP(CI83,'Tech Tree Node Parameters'!$A$3:$B$218,2,FALSE))</f>
        <v/>
      </c>
      <c r="CJ84" s="62" t="str">
        <f>IF(CJ83="","",VLOOKUP(CJ83,'Tech Tree Node Parameters'!$A$3:$B$218,2,FALSE))</f>
        <v/>
      </c>
      <c r="CK84" s="62" t="str">
        <f>IF(CK83="","",VLOOKUP(CK83,'Tech Tree Node Parameters'!$A$3:$B$218,2,FALSE))</f>
        <v/>
      </c>
      <c r="CL84" s="62" t="str">
        <f>IF(CL83="","",VLOOKUP(CL83,'Tech Tree Node Parameters'!$A$3:$B$218,2,FALSE))</f>
        <v/>
      </c>
      <c r="CM84" s="62" t="str">
        <f>IF(CM83="","",VLOOKUP(CM83,'Tech Tree Node Parameters'!$A$3:$B$218,2,FALSE))</f>
        <v/>
      </c>
      <c r="CN84" s="62" t="str">
        <f>IF(CN83="","",VLOOKUP(CN83,'Tech Tree Node Parameters'!$A$3:$B$218,2,FALSE))</f>
        <v/>
      </c>
      <c r="CO84" s="62" t="str">
        <f>IF(CO83="","",VLOOKUP(CO83,'Tech Tree Node Parameters'!$A$3:$B$218,2,FALSE))</f>
        <v/>
      </c>
      <c r="CP84" s="62" t="str">
        <f>IF(CP83="","",VLOOKUP(CP83,'Tech Tree Node Parameters'!$A$3:$B$218,2,FALSE))</f>
        <v/>
      </c>
      <c r="CQ84" s="62" t="str">
        <f>IF(CQ83="","",VLOOKUP(CQ83,'Tech Tree Node Parameters'!$A$3:$B$218,2,FALSE))</f>
        <v/>
      </c>
      <c r="CR84" s="62" t="str">
        <f>IF(CR83="","",VLOOKUP(CR83,'Tech Tree Node Parameters'!$A$3:$B$218,2,FALSE))</f>
        <v/>
      </c>
      <c r="CS84" s="62" t="str">
        <f>IF(CS83="","",VLOOKUP(CS83,'Tech Tree Node Parameters'!$A$3:$B$218,2,FALSE))</f>
        <v/>
      </c>
      <c r="CT84" s="62" t="str">
        <f>IF(CT83="","",VLOOKUP(CT83,'Tech Tree Node Parameters'!$A$3:$B$218,2,FALSE))</f>
        <v/>
      </c>
      <c r="CU84" s="62" t="str">
        <f>IF(CU83="","",VLOOKUP(CU83,'Tech Tree Node Parameters'!$A$3:$B$218,2,FALSE))</f>
        <v/>
      </c>
      <c r="CV84" s="62" t="str">
        <f>IF(CV83="","",VLOOKUP(CV83,'Tech Tree Node Parameters'!$A$3:$B$218,2,FALSE))</f>
        <v/>
      </c>
      <c r="CW84" s="62" t="str">
        <f>IF(CW83="","",VLOOKUP(CW83,'Tech Tree Node Parameters'!$A$3:$B$218,2,FALSE))</f>
        <v/>
      </c>
      <c r="CX84" s="62" t="str">
        <f>IF(CX83="","",VLOOKUP(CX83,'Tech Tree Node Parameters'!$A$3:$B$218,2,FALSE))</f>
        <v/>
      </c>
      <c r="CY84" s="36" t="str">
        <f>IF(CY83="","",VLOOKUP(CY83,'Tech Tree Node Parameters'!$A$3:$B$218,2,FALSE))</f>
        <v/>
      </c>
    </row>
    <row r="85" spans="1:103" x14ac:dyDescent="0.25">
      <c r="A85" s="72">
        <f t="shared" ref="A85" si="21">A87+1</f>
        <v>21</v>
      </c>
      <c r="B85" s="69">
        <f>B87+$D$6</f>
        <v>835</v>
      </c>
      <c r="C85" s="39"/>
      <c r="D85" s="61"/>
      <c r="E85" s="61"/>
      <c r="F85" s="61"/>
      <c r="G85" s="61"/>
      <c r="H85" s="61"/>
      <c r="I85" s="61"/>
      <c r="J85" s="61"/>
      <c r="K85" s="61"/>
      <c r="L85" s="61"/>
      <c r="M85" s="61"/>
      <c r="N85" s="61"/>
      <c r="O85" s="61"/>
      <c r="P85" s="61"/>
      <c r="Q85" s="61"/>
      <c r="R85" s="61"/>
      <c r="S85" s="61"/>
      <c r="T85" s="61"/>
      <c r="U85" s="61"/>
      <c r="V85" s="61"/>
      <c r="W85" s="61"/>
      <c r="X85" s="61"/>
      <c r="Y85" s="61"/>
      <c r="Z85" s="61"/>
      <c r="AA85" s="61"/>
      <c r="AB85" s="61"/>
      <c r="AC85" s="61"/>
      <c r="AD85" s="61"/>
      <c r="AE85" s="61"/>
      <c r="AF85" s="61"/>
      <c r="AG85" s="61"/>
      <c r="AH85" s="61"/>
      <c r="AI85" s="61"/>
      <c r="AJ85" s="61"/>
      <c r="AK85" s="61"/>
      <c r="AL85" s="61"/>
      <c r="AM85" s="61"/>
      <c r="AN85" s="61"/>
      <c r="AO85" s="61"/>
      <c r="AP85" s="61"/>
      <c r="AQ85" s="61"/>
      <c r="AR85" s="61"/>
      <c r="AS85" s="61"/>
      <c r="AT85" s="61"/>
      <c r="AU85" s="61"/>
      <c r="AV85" s="61"/>
      <c r="AW85" s="61"/>
      <c r="AX85" s="61"/>
      <c r="AY85" s="61"/>
      <c r="AZ85" s="61"/>
      <c r="BA85" s="61"/>
      <c r="BB85" s="61"/>
      <c r="BC85" s="61"/>
      <c r="BD85" s="61"/>
      <c r="BE85" s="61"/>
      <c r="BF85" s="61"/>
      <c r="BG85" s="61"/>
      <c r="BH85" s="61"/>
      <c r="BI85" s="61"/>
      <c r="BJ85" s="61"/>
      <c r="BK85" s="61"/>
      <c r="BL85" s="61"/>
      <c r="BM85" s="61"/>
      <c r="BN85" s="61"/>
      <c r="BO85" s="61"/>
      <c r="BP85" s="61"/>
      <c r="BQ85" s="61"/>
      <c r="BR85" s="61"/>
      <c r="BS85" s="61"/>
      <c r="BT85" s="61"/>
      <c r="BU85" s="61"/>
      <c r="BV85" s="61"/>
      <c r="BW85" s="61"/>
      <c r="BX85" s="61"/>
      <c r="BY85" s="61"/>
      <c r="BZ85" s="61"/>
      <c r="CA85" s="61"/>
      <c r="CB85" s="61"/>
      <c r="CC85" s="61"/>
      <c r="CD85" s="61"/>
      <c r="CE85" s="61"/>
      <c r="CF85" s="61"/>
      <c r="CG85" s="61"/>
      <c r="CH85" s="61"/>
      <c r="CI85" s="61"/>
      <c r="CJ85" s="61"/>
      <c r="CK85" s="61"/>
      <c r="CL85" s="61"/>
      <c r="CM85" s="61"/>
      <c r="CN85" s="61"/>
      <c r="CO85" s="61"/>
      <c r="CP85" s="61"/>
      <c r="CQ85" s="61"/>
      <c r="CR85" s="61"/>
      <c r="CS85" s="61"/>
      <c r="CT85" s="61"/>
      <c r="CU85" s="61"/>
      <c r="CV85" s="61"/>
      <c r="CW85" s="61"/>
      <c r="CX85" s="61"/>
      <c r="CY85" s="35"/>
    </row>
    <row r="86" spans="1:103" x14ac:dyDescent="0.25">
      <c r="A86" s="72"/>
      <c r="B86" s="70"/>
      <c r="C86" s="40"/>
      <c r="D86" s="62" t="str">
        <f>IF(D85="","",VLOOKUP(D85,'Tech Tree Node Parameters'!$A$3:$B$218,2,FALSE))</f>
        <v/>
      </c>
      <c r="E86" s="62" t="str">
        <f>IF(E85="","",VLOOKUP(E85,'Tech Tree Node Parameters'!$A$3:$B$218,2,FALSE))</f>
        <v/>
      </c>
      <c r="F86" s="62" t="str">
        <f>IF(F85="","",VLOOKUP(F85,'Tech Tree Node Parameters'!$A$3:$B$218,2,FALSE))</f>
        <v/>
      </c>
      <c r="G86" s="62" t="str">
        <f>IF(G85="","",VLOOKUP(G85,'Tech Tree Node Parameters'!$A$3:$B$218,2,FALSE))</f>
        <v/>
      </c>
      <c r="H86" s="62" t="str">
        <f>IF(H85="","",VLOOKUP(H85,'Tech Tree Node Parameters'!$A$3:$B$218,2,FALSE))</f>
        <v/>
      </c>
      <c r="I86" s="62" t="str">
        <f>IF(I85="","",VLOOKUP(I85,'Tech Tree Node Parameters'!$A$3:$B$218,2,FALSE))</f>
        <v/>
      </c>
      <c r="J86" s="62" t="str">
        <f>IF(J85="","",VLOOKUP(J85,'Tech Tree Node Parameters'!$A$3:$B$218,2,FALSE))</f>
        <v/>
      </c>
      <c r="K86" s="62" t="str">
        <f>IF(K85="","",VLOOKUP(K85,'Tech Tree Node Parameters'!$A$3:$B$218,2,FALSE))</f>
        <v/>
      </c>
      <c r="L86" s="62" t="str">
        <f>IF(L85="","",VLOOKUP(L85,'Tech Tree Node Parameters'!$A$3:$B$218,2,FALSE))</f>
        <v/>
      </c>
      <c r="M86" s="62" t="str">
        <f>IF(M85="","",VLOOKUP(M85,'Tech Tree Node Parameters'!$A$3:$B$218,2,FALSE))</f>
        <v/>
      </c>
      <c r="N86" s="62" t="str">
        <f>IF(N85="","",VLOOKUP(N85,'Tech Tree Node Parameters'!$A$3:$B$218,2,FALSE))</f>
        <v/>
      </c>
      <c r="O86" s="62" t="str">
        <f>IF(O85="","",VLOOKUP(O85,'Tech Tree Node Parameters'!$A$3:$B$218,2,FALSE))</f>
        <v/>
      </c>
      <c r="P86" s="62" t="str">
        <f>IF(P85="","",VLOOKUP(P85,'Tech Tree Node Parameters'!$A$3:$B$218,2,FALSE))</f>
        <v/>
      </c>
      <c r="Q86" s="62" t="str">
        <f>IF(Q85="","",VLOOKUP(Q85,'Tech Tree Node Parameters'!$A$3:$B$218,2,FALSE))</f>
        <v/>
      </c>
      <c r="R86" s="62" t="str">
        <f>IF(R85="","",VLOOKUP(R85,'Tech Tree Node Parameters'!$A$3:$B$218,2,FALSE))</f>
        <v/>
      </c>
      <c r="S86" s="62" t="str">
        <f>IF(S85="","",VLOOKUP(S85,'Tech Tree Node Parameters'!$A$3:$B$218,2,FALSE))</f>
        <v/>
      </c>
      <c r="T86" s="62" t="str">
        <f>IF(T85="","",VLOOKUP(T85,'Tech Tree Node Parameters'!$A$3:$B$218,2,FALSE))</f>
        <v/>
      </c>
      <c r="U86" s="62" t="str">
        <f>IF(U85="","",VLOOKUP(U85,'Tech Tree Node Parameters'!$A$3:$B$218,2,FALSE))</f>
        <v/>
      </c>
      <c r="V86" s="62" t="str">
        <f>IF(V85="","",VLOOKUP(V85,'Tech Tree Node Parameters'!$A$3:$B$218,2,FALSE))</f>
        <v/>
      </c>
      <c r="W86" s="62" t="str">
        <f>IF(W85="","",VLOOKUP(W85,'Tech Tree Node Parameters'!$A$3:$B$218,2,FALSE))</f>
        <v/>
      </c>
      <c r="X86" s="62" t="str">
        <f>IF(X85="","",VLOOKUP(X85,'Tech Tree Node Parameters'!$A$3:$B$218,2,FALSE))</f>
        <v/>
      </c>
      <c r="Y86" s="62" t="str">
        <f>IF(Y85="","",VLOOKUP(Y85,'Tech Tree Node Parameters'!$A$3:$B$218,2,FALSE))</f>
        <v/>
      </c>
      <c r="Z86" s="62" t="str">
        <f>IF(Z85="","",VLOOKUP(Z85,'Tech Tree Node Parameters'!$A$3:$B$218,2,FALSE))</f>
        <v/>
      </c>
      <c r="AA86" s="62" t="str">
        <f>IF(AA85="","",VLOOKUP(AA85,'Tech Tree Node Parameters'!$A$3:$B$218,2,FALSE))</f>
        <v/>
      </c>
      <c r="AB86" s="62" t="str">
        <f>IF(AB85="","",VLOOKUP(AB85,'Tech Tree Node Parameters'!$A$3:$B$218,2,FALSE))</f>
        <v/>
      </c>
      <c r="AC86" s="62" t="str">
        <f>IF(AC85="","",VLOOKUP(AC85,'Tech Tree Node Parameters'!$A$3:$B$218,2,FALSE))</f>
        <v/>
      </c>
      <c r="AD86" s="62" t="str">
        <f>IF(AD85="","",VLOOKUP(AD85,'Tech Tree Node Parameters'!$A$3:$B$218,2,FALSE))</f>
        <v/>
      </c>
      <c r="AE86" s="62" t="str">
        <f>IF(AE85="","",VLOOKUP(AE85,'Tech Tree Node Parameters'!$A$3:$B$218,2,FALSE))</f>
        <v/>
      </c>
      <c r="AF86" s="62" t="str">
        <f>IF(AF85="","",VLOOKUP(AF85,'Tech Tree Node Parameters'!$A$3:$B$218,2,FALSE))</f>
        <v/>
      </c>
      <c r="AG86" s="62" t="str">
        <f>IF(AG85="","",VLOOKUP(AG85,'Tech Tree Node Parameters'!$A$3:$B$218,2,FALSE))</f>
        <v/>
      </c>
      <c r="AH86" s="62" t="str">
        <f>IF(AH85="","",VLOOKUP(AH85,'Tech Tree Node Parameters'!$A$3:$B$218,2,FALSE))</f>
        <v/>
      </c>
      <c r="AI86" s="62" t="str">
        <f>IF(AI85="","",VLOOKUP(AI85,'Tech Tree Node Parameters'!$A$3:$B$218,2,FALSE))</f>
        <v/>
      </c>
      <c r="AJ86" s="62" t="str">
        <f>IF(AJ85="","",VLOOKUP(AJ85,'Tech Tree Node Parameters'!$A$3:$B$218,2,FALSE))</f>
        <v/>
      </c>
      <c r="AK86" s="62" t="str">
        <f>IF(AK85="","",VLOOKUP(AK85,'Tech Tree Node Parameters'!$A$3:$B$218,2,FALSE))</f>
        <v/>
      </c>
      <c r="AL86" s="62" t="str">
        <f>IF(AL85="","",VLOOKUP(AL85,'Tech Tree Node Parameters'!$A$3:$B$218,2,FALSE))</f>
        <v/>
      </c>
      <c r="AM86" s="62" t="str">
        <f>IF(AM85="","",VLOOKUP(AM85,'Tech Tree Node Parameters'!$A$3:$B$218,2,FALSE))</f>
        <v/>
      </c>
      <c r="AN86" s="62" t="str">
        <f>IF(AN85="","",VLOOKUP(AN85,'Tech Tree Node Parameters'!$A$3:$B$218,2,FALSE))</f>
        <v/>
      </c>
      <c r="AO86" s="62" t="str">
        <f>IF(AO85="","",VLOOKUP(AO85,'Tech Tree Node Parameters'!$A$3:$B$218,2,FALSE))</f>
        <v/>
      </c>
      <c r="AP86" s="62" t="str">
        <f>IF(AP85="","",VLOOKUP(AP85,'Tech Tree Node Parameters'!$A$3:$B$218,2,FALSE))</f>
        <v/>
      </c>
      <c r="AQ86" s="62" t="str">
        <f>IF(AQ85="","",VLOOKUP(AQ85,'Tech Tree Node Parameters'!$A$3:$B$218,2,FALSE))</f>
        <v/>
      </c>
      <c r="AR86" s="62" t="str">
        <f>IF(AR85="","",VLOOKUP(AR85,'Tech Tree Node Parameters'!$A$3:$B$218,2,FALSE))</f>
        <v/>
      </c>
      <c r="AS86" s="62" t="str">
        <f>IF(AS85="","",VLOOKUP(AS85,'Tech Tree Node Parameters'!$A$3:$B$218,2,FALSE))</f>
        <v/>
      </c>
      <c r="AT86" s="62" t="str">
        <f>IF(AT85="","",VLOOKUP(AT85,'Tech Tree Node Parameters'!$A$3:$B$218,2,FALSE))</f>
        <v/>
      </c>
      <c r="AU86" s="62" t="str">
        <f>IF(AU85="","",VLOOKUP(AU85,'Tech Tree Node Parameters'!$A$3:$B$218,2,FALSE))</f>
        <v/>
      </c>
      <c r="AV86" s="62" t="str">
        <f>IF(AV85="","",VLOOKUP(AV85,'Tech Tree Node Parameters'!$A$3:$B$218,2,FALSE))</f>
        <v/>
      </c>
      <c r="AW86" s="62" t="str">
        <f>IF(AW85="","",VLOOKUP(AW85,'Tech Tree Node Parameters'!$A$3:$B$218,2,FALSE))</f>
        <v/>
      </c>
      <c r="AX86" s="62" t="str">
        <f>IF(AX85="","",VLOOKUP(AX85,'Tech Tree Node Parameters'!$A$3:$B$218,2,FALSE))</f>
        <v/>
      </c>
      <c r="AY86" s="62" t="str">
        <f>IF(AY85="","",VLOOKUP(AY85,'Tech Tree Node Parameters'!$A$3:$B$218,2,FALSE))</f>
        <v/>
      </c>
      <c r="AZ86" s="62" t="str">
        <f>IF(AZ85="","",VLOOKUP(AZ85,'Tech Tree Node Parameters'!$A$3:$B$218,2,FALSE))</f>
        <v/>
      </c>
      <c r="BA86" s="62" t="str">
        <f>IF(BA85="","",VLOOKUP(BA85,'Tech Tree Node Parameters'!$A$3:$B$218,2,FALSE))</f>
        <v/>
      </c>
      <c r="BB86" s="62" t="str">
        <f>IF(BB85="","",VLOOKUP(BB85,'Tech Tree Node Parameters'!$A$3:$B$218,2,FALSE))</f>
        <v/>
      </c>
      <c r="BC86" s="62" t="str">
        <f>IF(BC85="","",VLOOKUP(BC85,'Tech Tree Node Parameters'!$A$3:$B$218,2,FALSE))</f>
        <v/>
      </c>
      <c r="BD86" s="62" t="str">
        <f>IF(BD85="","",VLOOKUP(BD85,'Tech Tree Node Parameters'!$A$3:$B$218,2,FALSE))</f>
        <v/>
      </c>
      <c r="BE86" s="62" t="str">
        <f>IF(BE85="","",VLOOKUP(BE85,'Tech Tree Node Parameters'!$A$3:$B$218,2,FALSE))</f>
        <v/>
      </c>
      <c r="BF86" s="62" t="str">
        <f>IF(BF85="","",VLOOKUP(BF85,'Tech Tree Node Parameters'!$A$3:$B$218,2,FALSE))</f>
        <v/>
      </c>
      <c r="BG86" s="62" t="str">
        <f>IF(BG85="","",VLOOKUP(BG85,'Tech Tree Node Parameters'!$A$3:$B$218,2,FALSE))</f>
        <v/>
      </c>
      <c r="BH86" s="62" t="str">
        <f>IF(BH85="","",VLOOKUP(BH85,'Tech Tree Node Parameters'!$A$3:$B$218,2,FALSE))</f>
        <v/>
      </c>
      <c r="BI86" s="62" t="str">
        <f>IF(BI85="","",VLOOKUP(BI85,'Tech Tree Node Parameters'!$A$3:$B$218,2,FALSE))</f>
        <v/>
      </c>
      <c r="BJ86" s="62" t="str">
        <f>IF(BJ85="","",VLOOKUP(BJ85,'Tech Tree Node Parameters'!$A$3:$B$218,2,FALSE))</f>
        <v/>
      </c>
      <c r="BK86" s="62" t="str">
        <f>IF(BK85="","",VLOOKUP(BK85,'Tech Tree Node Parameters'!$A$3:$B$218,2,FALSE))</f>
        <v/>
      </c>
      <c r="BL86" s="62" t="str">
        <f>IF(BL85="","",VLOOKUP(BL85,'Tech Tree Node Parameters'!$A$3:$B$218,2,FALSE))</f>
        <v/>
      </c>
      <c r="BM86" s="62" t="str">
        <f>IF(BM85="","",VLOOKUP(BM85,'Tech Tree Node Parameters'!$A$3:$B$218,2,FALSE))</f>
        <v/>
      </c>
      <c r="BN86" s="62" t="str">
        <f>IF(BN85="","",VLOOKUP(BN85,'Tech Tree Node Parameters'!$A$3:$B$218,2,FALSE))</f>
        <v/>
      </c>
      <c r="BO86" s="62" t="str">
        <f>IF(BO85="","",VLOOKUP(BO85,'Tech Tree Node Parameters'!$A$3:$B$218,2,FALSE))</f>
        <v/>
      </c>
      <c r="BP86" s="62" t="str">
        <f>IF(BP85="","",VLOOKUP(BP85,'Tech Tree Node Parameters'!$A$3:$B$218,2,FALSE))</f>
        <v/>
      </c>
      <c r="BQ86" s="62" t="str">
        <f>IF(BQ85="","",VLOOKUP(BQ85,'Tech Tree Node Parameters'!$A$3:$B$218,2,FALSE))</f>
        <v/>
      </c>
      <c r="BR86" s="62" t="str">
        <f>IF(BR85="","",VLOOKUP(BR85,'Tech Tree Node Parameters'!$A$3:$B$218,2,FALSE))</f>
        <v/>
      </c>
      <c r="BS86" s="62" t="str">
        <f>IF(BS85="","",VLOOKUP(BS85,'Tech Tree Node Parameters'!$A$3:$B$218,2,FALSE))</f>
        <v/>
      </c>
      <c r="BT86" s="62" t="str">
        <f>IF(BT85="","",VLOOKUP(BT85,'Tech Tree Node Parameters'!$A$3:$B$218,2,FALSE))</f>
        <v/>
      </c>
      <c r="BU86" s="62" t="str">
        <f>IF(BU85="","",VLOOKUP(BU85,'Tech Tree Node Parameters'!$A$3:$B$218,2,FALSE))</f>
        <v/>
      </c>
      <c r="BV86" s="62" t="str">
        <f>IF(BV85="","",VLOOKUP(BV85,'Tech Tree Node Parameters'!$A$3:$B$218,2,FALSE))</f>
        <v/>
      </c>
      <c r="BW86" s="62" t="str">
        <f>IF(BW85="","",VLOOKUP(BW85,'Tech Tree Node Parameters'!$A$3:$B$218,2,FALSE))</f>
        <v/>
      </c>
      <c r="BX86" s="62" t="str">
        <f>IF(BX85="","",VLOOKUP(BX85,'Tech Tree Node Parameters'!$A$3:$B$218,2,FALSE))</f>
        <v/>
      </c>
      <c r="BY86" s="62" t="str">
        <f>IF(BY85="","",VLOOKUP(BY85,'Tech Tree Node Parameters'!$A$3:$B$218,2,FALSE))</f>
        <v/>
      </c>
      <c r="BZ86" s="62" t="str">
        <f>IF(BZ85="","",VLOOKUP(BZ85,'Tech Tree Node Parameters'!$A$3:$B$218,2,FALSE))</f>
        <v/>
      </c>
      <c r="CA86" s="62" t="str">
        <f>IF(CA85="","",VLOOKUP(CA85,'Tech Tree Node Parameters'!$A$3:$B$218,2,FALSE))</f>
        <v/>
      </c>
      <c r="CB86" s="62" t="str">
        <f>IF(CB85="","",VLOOKUP(CB85,'Tech Tree Node Parameters'!$A$3:$B$218,2,FALSE))</f>
        <v/>
      </c>
      <c r="CC86" s="62" t="str">
        <f>IF(CC85="","",VLOOKUP(CC85,'Tech Tree Node Parameters'!$A$3:$B$218,2,FALSE))</f>
        <v/>
      </c>
      <c r="CD86" s="62" t="str">
        <f>IF(CD85="","",VLOOKUP(CD85,'Tech Tree Node Parameters'!$A$3:$B$218,2,FALSE))</f>
        <v/>
      </c>
      <c r="CE86" s="62" t="str">
        <f>IF(CE85="","",VLOOKUP(CE85,'Tech Tree Node Parameters'!$A$3:$B$218,2,FALSE))</f>
        <v/>
      </c>
      <c r="CF86" s="62" t="str">
        <f>IF(CF85="","",VLOOKUP(CF85,'Tech Tree Node Parameters'!$A$3:$B$218,2,FALSE))</f>
        <v/>
      </c>
      <c r="CG86" s="62" t="str">
        <f>IF(CG85="","",VLOOKUP(CG85,'Tech Tree Node Parameters'!$A$3:$B$218,2,FALSE))</f>
        <v/>
      </c>
      <c r="CH86" s="62" t="str">
        <f>IF(CH85="","",VLOOKUP(CH85,'Tech Tree Node Parameters'!$A$3:$B$218,2,FALSE))</f>
        <v/>
      </c>
      <c r="CI86" s="62" t="str">
        <f>IF(CI85="","",VLOOKUP(CI85,'Tech Tree Node Parameters'!$A$3:$B$218,2,FALSE))</f>
        <v/>
      </c>
      <c r="CJ86" s="62" t="str">
        <f>IF(CJ85="","",VLOOKUP(CJ85,'Tech Tree Node Parameters'!$A$3:$B$218,2,FALSE))</f>
        <v/>
      </c>
      <c r="CK86" s="62" t="str">
        <f>IF(CK85="","",VLOOKUP(CK85,'Tech Tree Node Parameters'!$A$3:$B$218,2,FALSE))</f>
        <v/>
      </c>
      <c r="CL86" s="62" t="str">
        <f>IF(CL85="","",VLOOKUP(CL85,'Tech Tree Node Parameters'!$A$3:$B$218,2,FALSE))</f>
        <v/>
      </c>
      <c r="CM86" s="62" t="str">
        <f>IF(CM85="","",VLOOKUP(CM85,'Tech Tree Node Parameters'!$A$3:$B$218,2,FALSE))</f>
        <v/>
      </c>
      <c r="CN86" s="62" t="str">
        <f>IF(CN85="","",VLOOKUP(CN85,'Tech Tree Node Parameters'!$A$3:$B$218,2,FALSE))</f>
        <v/>
      </c>
      <c r="CO86" s="62" t="str">
        <f>IF(CO85="","",VLOOKUP(CO85,'Tech Tree Node Parameters'!$A$3:$B$218,2,FALSE))</f>
        <v/>
      </c>
      <c r="CP86" s="62" t="str">
        <f>IF(CP85="","",VLOOKUP(CP85,'Tech Tree Node Parameters'!$A$3:$B$218,2,FALSE))</f>
        <v/>
      </c>
      <c r="CQ86" s="62" t="str">
        <f>IF(CQ85="","",VLOOKUP(CQ85,'Tech Tree Node Parameters'!$A$3:$B$218,2,FALSE))</f>
        <v/>
      </c>
      <c r="CR86" s="62" t="str">
        <f>IF(CR85="","",VLOOKUP(CR85,'Tech Tree Node Parameters'!$A$3:$B$218,2,FALSE))</f>
        <v/>
      </c>
      <c r="CS86" s="62" t="str">
        <f>IF(CS85="","",VLOOKUP(CS85,'Tech Tree Node Parameters'!$A$3:$B$218,2,FALSE))</f>
        <v/>
      </c>
      <c r="CT86" s="62" t="str">
        <f>IF(CT85="","",VLOOKUP(CT85,'Tech Tree Node Parameters'!$A$3:$B$218,2,FALSE))</f>
        <v/>
      </c>
      <c r="CU86" s="62" t="str">
        <f>IF(CU85="","",VLOOKUP(CU85,'Tech Tree Node Parameters'!$A$3:$B$218,2,FALSE))</f>
        <v/>
      </c>
      <c r="CV86" s="62" t="str">
        <f>IF(CV85="","",VLOOKUP(CV85,'Tech Tree Node Parameters'!$A$3:$B$218,2,FALSE))</f>
        <v/>
      </c>
      <c r="CW86" s="62" t="str">
        <f>IF(CW85="","",VLOOKUP(CW85,'Tech Tree Node Parameters'!$A$3:$B$218,2,FALSE))</f>
        <v/>
      </c>
      <c r="CX86" s="62" t="str">
        <f>IF(CX85="","",VLOOKUP(CX85,'Tech Tree Node Parameters'!$A$3:$B$218,2,FALSE))</f>
        <v/>
      </c>
      <c r="CY86" s="36" t="str">
        <f>IF(CY85="","",VLOOKUP(CY85,'Tech Tree Node Parameters'!$A$3:$B$218,2,FALSE))</f>
        <v/>
      </c>
    </row>
    <row r="87" spans="1:103" x14ac:dyDescent="0.25">
      <c r="A87" s="72">
        <f t="shared" ref="A87" si="22">A89+1</f>
        <v>20</v>
      </c>
      <c r="B87" s="69">
        <f>B89+$D$6</f>
        <v>797</v>
      </c>
      <c r="C87" s="39"/>
      <c r="D87" s="61"/>
      <c r="E87" s="61"/>
      <c r="F87" s="61"/>
      <c r="G87" s="61"/>
      <c r="H87" s="61"/>
      <c r="I87" s="61"/>
      <c r="J87" s="61"/>
      <c r="K87" s="61"/>
      <c r="L87" s="61"/>
      <c r="M87" s="61"/>
      <c r="N87" s="61"/>
      <c r="O87" s="61"/>
      <c r="P87" s="61"/>
      <c r="Q87" s="61"/>
      <c r="R87" s="61"/>
      <c r="S87" s="61"/>
      <c r="T87" s="61"/>
      <c r="U87" s="61"/>
      <c r="V87" s="61"/>
      <c r="W87" s="61"/>
      <c r="X87" s="61"/>
      <c r="Y87" s="61"/>
      <c r="Z87" s="61"/>
      <c r="AA87" s="61"/>
      <c r="AB87" s="61"/>
      <c r="AC87" s="61"/>
      <c r="AD87" s="61"/>
      <c r="AE87" s="61"/>
      <c r="AF87" s="61"/>
      <c r="AG87" s="61"/>
      <c r="AH87" s="61"/>
      <c r="AI87" s="61"/>
      <c r="AJ87" s="61"/>
      <c r="AK87" s="61"/>
      <c r="AL87" s="61"/>
      <c r="AM87" s="61"/>
      <c r="AN87" s="61"/>
      <c r="AO87" s="61"/>
      <c r="AP87" s="61"/>
      <c r="AQ87" s="61" t="s">
        <v>131</v>
      </c>
      <c r="AR87" s="61"/>
      <c r="AS87" s="61" t="s">
        <v>500</v>
      </c>
      <c r="AT87" s="61"/>
      <c r="AU87" s="61"/>
      <c r="AV87" s="61"/>
      <c r="AW87" s="61" t="s">
        <v>91</v>
      </c>
      <c r="AX87" s="61"/>
      <c r="AY87" s="61"/>
      <c r="AZ87" s="61"/>
      <c r="BA87" s="61"/>
      <c r="BB87" s="61"/>
      <c r="BC87" s="61"/>
      <c r="BD87" s="61"/>
      <c r="BE87" s="61" t="s">
        <v>132</v>
      </c>
      <c r="BF87" s="61"/>
      <c r="BG87" s="61"/>
      <c r="BH87" s="61"/>
      <c r="BI87" s="61"/>
      <c r="BJ87" s="61"/>
      <c r="BK87" s="61"/>
      <c r="BL87" s="61"/>
      <c r="BM87" s="61"/>
      <c r="BN87" s="61"/>
      <c r="BO87" s="61"/>
      <c r="BP87" s="61"/>
      <c r="BQ87" s="61" t="s">
        <v>142</v>
      </c>
      <c r="BR87" s="61"/>
      <c r="BS87" s="61"/>
      <c r="BT87" s="61"/>
      <c r="BU87" s="61"/>
      <c r="BV87" s="61"/>
      <c r="BW87" s="61"/>
      <c r="BX87" s="61"/>
      <c r="BY87" s="61"/>
      <c r="BZ87" s="61"/>
      <c r="CA87" s="61"/>
      <c r="CB87" s="61"/>
      <c r="CC87" s="61"/>
      <c r="CD87" s="61"/>
      <c r="CE87" s="61"/>
      <c r="CF87" s="61"/>
      <c r="CG87" s="61"/>
      <c r="CH87" s="61"/>
      <c r="CI87" s="61"/>
      <c r="CJ87" s="61"/>
      <c r="CK87" s="61"/>
      <c r="CL87" s="61"/>
      <c r="CM87" s="61"/>
      <c r="CN87" s="61"/>
      <c r="CO87" s="61"/>
      <c r="CP87" s="61"/>
      <c r="CQ87" s="61"/>
      <c r="CR87" s="61"/>
      <c r="CS87" s="61"/>
      <c r="CT87" s="61"/>
      <c r="CU87" s="61"/>
      <c r="CV87" s="61"/>
      <c r="CW87" s="61"/>
      <c r="CX87" s="61"/>
      <c r="CY87" s="35"/>
    </row>
    <row r="88" spans="1:103" x14ac:dyDescent="0.25">
      <c r="A88" s="72"/>
      <c r="B88" s="70"/>
      <c r="C88" s="40"/>
      <c r="D88" s="62" t="str">
        <f>IF(D87="","",VLOOKUP(D87,'Tech Tree Node Parameters'!$A$3:$B$218,2,FALSE))</f>
        <v/>
      </c>
      <c r="E88" s="62" t="str">
        <f>IF(E87="","",VLOOKUP(E87,'Tech Tree Node Parameters'!$A$3:$B$218,2,FALSE))</f>
        <v/>
      </c>
      <c r="F88" s="62" t="str">
        <f>IF(F87="","",VLOOKUP(F87,'Tech Tree Node Parameters'!$A$3:$B$218,2,FALSE))</f>
        <v/>
      </c>
      <c r="G88" s="62" t="str">
        <f>IF(G87="","",VLOOKUP(G87,'Tech Tree Node Parameters'!$A$3:$B$218,2,FALSE))</f>
        <v/>
      </c>
      <c r="H88" s="62" t="str">
        <f>IF(H87="","",VLOOKUP(H87,'Tech Tree Node Parameters'!$A$3:$B$218,2,FALSE))</f>
        <v/>
      </c>
      <c r="I88" s="62" t="str">
        <f>IF(I87="","",VLOOKUP(I87,'Tech Tree Node Parameters'!$A$3:$B$218,2,FALSE))</f>
        <v/>
      </c>
      <c r="J88" s="62" t="str">
        <f>IF(J87="","",VLOOKUP(J87,'Tech Tree Node Parameters'!$A$3:$B$218,2,FALSE))</f>
        <v/>
      </c>
      <c r="K88" s="62" t="str">
        <f>IF(K87="","",VLOOKUP(K87,'Tech Tree Node Parameters'!$A$3:$B$218,2,FALSE))</f>
        <v/>
      </c>
      <c r="L88" s="62" t="str">
        <f>IF(L87="","",VLOOKUP(L87,'Tech Tree Node Parameters'!$A$3:$B$218,2,FALSE))</f>
        <v/>
      </c>
      <c r="M88" s="62" t="str">
        <f>IF(M87="","",VLOOKUP(M87,'Tech Tree Node Parameters'!$A$3:$B$218,2,FALSE))</f>
        <v/>
      </c>
      <c r="N88" s="62" t="str">
        <f>IF(N87="","",VLOOKUP(N87,'Tech Tree Node Parameters'!$A$3:$B$218,2,FALSE))</f>
        <v/>
      </c>
      <c r="O88" s="62" t="str">
        <f>IF(O87="","",VLOOKUP(O87,'Tech Tree Node Parameters'!$A$3:$B$218,2,FALSE))</f>
        <v/>
      </c>
      <c r="P88" s="62" t="str">
        <f>IF(P87="","",VLOOKUP(P87,'Tech Tree Node Parameters'!$A$3:$B$218,2,FALSE))</f>
        <v/>
      </c>
      <c r="Q88" s="62" t="str">
        <f>IF(Q87="","",VLOOKUP(Q87,'Tech Tree Node Parameters'!$A$3:$B$218,2,FALSE))</f>
        <v/>
      </c>
      <c r="R88" s="62" t="str">
        <f>IF(R87="","",VLOOKUP(R87,'Tech Tree Node Parameters'!$A$3:$B$218,2,FALSE))</f>
        <v/>
      </c>
      <c r="S88" s="62" t="str">
        <f>IF(S87="","",VLOOKUP(S87,'Tech Tree Node Parameters'!$A$3:$B$218,2,FALSE))</f>
        <v/>
      </c>
      <c r="T88" s="62" t="str">
        <f>IF(T87="","",VLOOKUP(T87,'Tech Tree Node Parameters'!$A$3:$B$218,2,FALSE))</f>
        <v/>
      </c>
      <c r="U88" s="62" t="str">
        <f>IF(U87="","",VLOOKUP(U87,'Tech Tree Node Parameters'!$A$3:$B$218,2,FALSE))</f>
        <v/>
      </c>
      <c r="V88" s="62" t="str">
        <f>IF(V87="","",VLOOKUP(V87,'Tech Tree Node Parameters'!$A$3:$B$218,2,FALSE))</f>
        <v/>
      </c>
      <c r="W88" s="62" t="str">
        <f>IF(W87="","",VLOOKUP(W87,'Tech Tree Node Parameters'!$A$3:$B$218,2,FALSE))</f>
        <v/>
      </c>
      <c r="X88" s="62" t="str">
        <f>IF(X87="","",VLOOKUP(X87,'Tech Tree Node Parameters'!$A$3:$B$218,2,FALSE))</f>
        <v/>
      </c>
      <c r="Y88" s="62" t="str">
        <f>IF(Y87="","",VLOOKUP(Y87,'Tech Tree Node Parameters'!$A$3:$B$218,2,FALSE))</f>
        <v/>
      </c>
      <c r="Z88" s="62" t="str">
        <f>IF(Z87="","",VLOOKUP(Z87,'Tech Tree Node Parameters'!$A$3:$B$218,2,FALSE))</f>
        <v/>
      </c>
      <c r="AA88" s="62" t="str">
        <f>IF(AA87="","",VLOOKUP(AA87,'Tech Tree Node Parameters'!$A$3:$B$218,2,FALSE))</f>
        <v/>
      </c>
      <c r="AB88" s="62" t="str">
        <f>IF(AB87="","",VLOOKUP(AB87,'Tech Tree Node Parameters'!$A$3:$B$218,2,FALSE))</f>
        <v/>
      </c>
      <c r="AC88" s="62" t="str">
        <f>IF(AC87="","",VLOOKUP(AC87,'Tech Tree Node Parameters'!$A$3:$B$218,2,FALSE))</f>
        <v/>
      </c>
      <c r="AD88" s="62" t="str">
        <f>IF(AD87="","",VLOOKUP(AD87,'Tech Tree Node Parameters'!$A$3:$B$218,2,FALSE))</f>
        <v/>
      </c>
      <c r="AE88" s="62" t="str">
        <f>IF(AE87="","",VLOOKUP(AE87,'Tech Tree Node Parameters'!$A$3:$B$218,2,FALSE))</f>
        <v/>
      </c>
      <c r="AF88" s="62" t="str">
        <f>IF(AF87="","",VLOOKUP(AF87,'Tech Tree Node Parameters'!$A$3:$B$218,2,FALSE))</f>
        <v/>
      </c>
      <c r="AG88" s="62" t="str">
        <f>IF(AG87="","",VLOOKUP(AG87,'Tech Tree Node Parameters'!$A$3:$B$218,2,FALSE))</f>
        <v/>
      </c>
      <c r="AH88" s="62" t="str">
        <f>IF(AH87="","",VLOOKUP(AH87,'Tech Tree Node Parameters'!$A$3:$B$218,2,FALSE))</f>
        <v/>
      </c>
      <c r="AI88" s="62" t="str">
        <f>IF(AI87="","",VLOOKUP(AI87,'Tech Tree Node Parameters'!$A$3:$B$218,2,FALSE))</f>
        <v/>
      </c>
      <c r="AJ88" s="62" t="str">
        <f>IF(AJ87="","",VLOOKUP(AJ87,'Tech Tree Node Parameters'!$A$3:$B$218,2,FALSE))</f>
        <v/>
      </c>
      <c r="AK88" s="62"/>
      <c r="AL88" s="62" t="str">
        <f>IF(AL87="","",VLOOKUP(AL87,'Tech Tree Node Parameters'!$A$3:$B$218,2,FALSE))</f>
        <v/>
      </c>
      <c r="AM88" s="62" t="str">
        <f>IF(AM87="","",VLOOKUP(AM87,'Tech Tree Node Parameters'!$A$3:$B$218,2,FALSE))</f>
        <v/>
      </c>
      <c r="AN88" s="62" t="str">
        <f>IF(AN87="","",VLOOKUP(AN87,'Tech Tree Node Parameters'!$A$3:$B$218,2,FALSE))</f>
        <v/>
      </c>
      <c r="AO88" s="62" t="str">
        <f>IF(AO87="","",VLOOKUP(AO87,'Tech Tree Node Parameters'!$A$3:$B$218,2,FALSE))</f>
        <v/>
      </c>
      <c r="AP88" s="62" t="str">
        <f>IF(AP87="","",VLOOKUP(AP87,'Tech Tree Node Parameters'!$A$3:$B$218,2,FALSE))</f>
        <v/>
      </c>
      <c r="AQ88" s="62" t="s">
        <v>1341</v>
      </c>
      <c r="AR88" s="62" t="str">
        <f>IF(AR87="","",VLOOKUP(AR87,'Tech Tree Node Parameters'!$A$3:$B$218,2,FALSE))</f>
        <v/>
      </c>
      <c r="AS88" s="62" t="str">
        <f>IF(AS87="","",VLOOKUP(AS87,'Tech Tree Node Parameters'!$A$3:$B$218,2,FALSE))</f>
        <v>Short Range Antennas</v>
      </c>
      <c r="AT88" s="62" t="str">
        <f>IF(AT87="","",VLOOKUP(AT87,'Tech Tree Node Parameters'!$A$3:$B$218,2,FALSE))</f>
        <v/>
      </c>
      <c r="AU88" s="62" t="str">
        <f>IF(AU87="","",VLOOKUP(AU87,'Tech Tree Node Parameters'!$A$3:$B$218,2,FALSE))</f>
        <v/>
      </c>
      <c r="AV88" s="62" t="str">
        <f>IF(AV87="","",VLOOKUP(AV87,'Tech Tree Node Parameters'!$A$3:$B$218,2,FALSE))</f>
        <v/>
      </c>
      <c r="AW88" s="62" t="str">
        <f>IF(AW87="","",VLOOKUP(AW87,'Tech Tree Node Parameters'!$A$3:$B$218,2,FALSE))</f>
        <v>Advanced Electrics</v>
      </c>
      <c r="AX88" s="62" t="str">
        <f>IF(AX87="","",VLOOKUP(AX87,'Tech Tree Node Parameters'!$A$3:$B$218,2,FALSE))</f>
        <v/>
      </c>
      <c r="AY88" s="62" t="str">
        <f>IF(AY87="","",VLOOKUP(AY87,'Tech Tree Node Parameters'!$A$3:$B$218,2,FALSE))</f>
        <v/>
      </c>
      <c r="AZ88" s="62" t="str">
        <f>IF(AZ87="","",VLOOKUP(AZ87,'Tech Tree Node Parameters'!$A$3:$B$218,2,FALSE))</f>
        <v/>
      </c>
      <c r="BA88" s="62" t="str">
        <f>IF(BA87="","",VLOOKUP(BA87,'Tech Tree Node Parameters'!$A$3:$B$218,2,FALSE))</f>
        <v/>
      </c>
      <c r="BB88" s="62" t="str">
        <f>IF(BB87="","",VLOOKUP(BB87,'Tech Tree Node Parameters'!$A$3:$B$218,2,FALSE))</f>
        <v/>
      </c>
      <c r="BC88" s="62" t="str">
        <f>IF(BC87="","",VLOOKUP(BC87,'Tech Tree Node Parameters'!$A$3:$B$218,2,FALSE))</f>
        <v/>
      </c>
      <c r="BD88" s="62" t="str">
        <f>IF(BD87="","",VLOOKUP(BD87,'Tech Tree Node Parameters'!$A$3:$B$218,2,FALSE))</f>
        <v/>
      </c>
      <c r="BE88" s="62" t="str">
        <f>IF(BE87="","",VLOOKUP(BE87,'Tech Tree Node Parameters'!$A$3:$B$218,2,FALSE))</f>
        <v>Field Science</v>
      </c>
      <c r="BF88" s="62" t="str">
        <f>IF(BF87="","",VLOOKUP(BF87,'Tech Tree Node Parameters'!$A$3:$B$218,2,FALSE))</f>
        <v/>
      </c>
      <c r="BG88" s="62" t="str">
        <f>IF(BG87="","",VLOOKUP(BG87,'Tech Tree Node Parameters'!$A$3:$B$218,2,FALSE))</f>
        <v/>
      </c>
      <c r="BH88" s="62" t="str">
        <f>IF(BH87="","",VLOOKUP(BH87,'Tech Tree Node Parameters'!$A$3:$B$218,2,FALSE))</f>
        <v/>
      </c>
      <c r="BI88" s="62" t="str">
        <f>IF(BI87="","",VLOOKUP(BI87,'Tech Tree Node Parameters'!$A$3:$B$218,2,FALSE))</f>
        <v/>
      </c>
      <c r="BJ88" s="62" t="str">
        <f>IF(BJ87="","",VLOOKUP(BJ87,'Tech Tree Node Parameters'!$A$3:$B$218,2,FALSE))</f>
        <v/>
      </c>
      <c r="BK88" s="62" t="str">
        <f>IF(BK87="","",VLOOKUP(BK87,'Tech Tree Node Parameters'!$A$3:$B$218,2,FALSE))</f>
        <v/>
      </c>
      <c r="BL88" s="62" t="str">
        <f>IF(BL87="","",VLOOKUP(BL87,'Tech Tree Node Parameters'!$A$3:$B$218,2,FALSE))</f>
        <v/>
      </c>
      <c r="BM88" s="62" t="str">
        <f>IF(BM87="","",VLOOKUP(BM87,'Tech Tree Node Parameters'!$A$3:$B$218,2,FALSE))</f>
        <v/>
      </c>
      <c r="BN88" s="62" t="str">
        <f>IF(BN87="","",VLOOKUP(BN87,'Tech Tree Node Parameters'!$A$3:$B$218,2,FALSE))</f>
        <v/>
      </c>
      <c r="BO88" s="62" t="str">
        <f>IF(BO87="","",VLOOKUP(BO87,'Tech Tree Node Parameters'!$A$3:$B$218,2,FALSE))</f>
        <v/>
      </c>
      <c r="BP88" s="62" t="str">
        <f>IF(BP87="","",VLOOKUP(BP87,'Tech Tree Node Parameters'!$A$3:$B$218,2,FALSE))</f>
        <v/>
      </c>
      <c r="BQ88" s="62" t="str">
        <f>IF(BQ87="","",VLOOKUP(BQ87,'Tech Tree Node Parameters'!$A$3:$B$218,2,FALSE))</f>
        <v>Orbital Assembly</v>
      </c>
      <c r="BR88" s="62" t="str">
        <f>IF(BR87="","",VLOOKUP(BR87,'Tech Tree Node Parameters'!$A$3:$B$218,2,FALSE))</f>
        <v/>
      </c>
      <c r="BS88" s="62" t="str">
        <f>IF(BS87="","",VLOOKUP(BS87,'Tech Tree Node Parameters'!$A$3:$B$218,2,FALSE))</f>
        <v/>
      </c>
      <c r="BT88" s="62" t="str">
        <f>IF(BT87="","",VLOOKUP(BT87,'Tech Tree Node Parameters'!$A$3:$B$218,2,FALSE))</f>
        <v/>
      </c>
      <c r="BU88" s="62" t="str">
        <f>IF(BU87="","",VLOOKUP(BU87,'Tech Tree Node Parameters'!$A$3:$B$218,2,FALSE))</f>
        <v/>
      </c>
      <c r="BV88" s="62" t="str">
        <f>IF(BV87="","",VLOOKUP(BV87,'Tech Tree Node Parameters'!$A$3:$B$218,2,FALSE))</f>
        <v/>
      </c>
      <c r="BW88" s="62" t="str">
        <f>IF(BW87="","",VLOOKUP(BW87,'Tech Tree Node Parameters'!$A$3:$B$218,2,FALSE))</f>
        <v/>
      </c>
      <c r="BX88" s="62" t="str">
        <f>IF(BX87="","",VLOOKUP(BX87,'Tech Tree Node Parameters'!$A$3:$B$218,2,FALSE))</f>
        <v/>
      </c>
      <c r="BY88" s="62" t="str">
        <f>IF(BY87="","",VLOOKUP(BY87,'Tech Tree Node Parameters'!$A$3:$B$218,2,FALSE))</f>
        <v/>
      </c>
      <c r="BZ88" s="62" t="str">
        <f>IF(BZ87="","",VLOOKUP(BZ87,'Tech Tree Node Parameters'!$A$3:$B$218,2,FALSE))</f>
        <v/>
      </c>
      <c r="CA88" s="62" t="str">
        <f>IF(CA87="","",VLOOKUP(CA87,'Tech Tree Node Parameters'!$A$3:$B$218,2,FALSE))</f>
        <v/>
      </c>
      <c r="CB88" s="62" t="str">
        <f>IF(CB87="","",VLOOKUP(CB87,'Tech Tree Node Parameters'!$A$3:$B$218,2,FALSE))</f>
        <v/>
      </c>
      <c r="CC88" s="62" t="str">
        <f>IF(CC87="","",VLOOKUP(CC87,'Tech Tree Node Parameters'!$A$3:$B$218,2,FALSE))</f>
        <v/>
      </c>
      <c r="CD88" s="62" t="str">
        <f>IF(CD87="","",VLOOKUP(CD87,'Tech Tree Node Parameters'!$A$3:$B$218,2,FALSE))</f>
        <v/>
      </c>
      <c r="CE88" s="62" t="str">
        <f>IF(CE87="","",VLOOKUP(CE87,'Tech Tree Node Parameters'!$A$3:$B$218,2,FALSE))</f>
        <v/>
      </c>
      <c r="CF88" s="62" t="str">
        <f>IF(CF87="","",VLOOKUP(CF87,'Tech Tree Node Parameters'!$A$3:$B$218,2,FALSE))</f>
        <v/>
      </c>
      <c r="CG88" s="62" t="str">
        <f>IF(CG87="","",VLOOKUP(CG87,'Tech Tree Node Parameters'!$A$3:$B$218,2,FALSE))</f>
        <v/>
      </c>
      <c r="CH88" s="62" t="str">
        <f>IF(CH87="","",VLOOKUP(CH87,'Tech Tree Node Parameters'!$A$3:$B$218,2,FALSE))</f>
        <v/>
      </c>
      <c r="CI88" s="62" t="str">
        <f>IF(CI87="","",VLOOKUP(CI87,'Tech Tree Node Parameters'!$A$3:$B$218,2,FALSE))</f>
        <v/>
      </c>
      <c r="CJ88" s="62" t="str">
        <f>IF(CJ87="","",VLOOKUP(CJ87,'Tech Tree Node Parameters'!$A$3:$B$218,2,FALSE))</f>
        <v/>
      </c>
      <c r="CK88" s="62" t="str">
        <f>IF(CK87="","",VLOOKUP(CK87,'Tech Tree Node Parameters'!$A$3:$B$218,2,FALSE))</f>
        <v/>
      </c>
      <c r="CL88" s="62" t="str">
        <f>IF(CL87="","",VLOOKUP(CL87,'Tech Tree Node Parameters'!$A$3:$B$218,2,FALSE))</f>
        <v/>
      </c>
      <c r="CM88" s="62" t="str">
        <f>IF(CM87="","",VLOOKUP(CM87,'Tech Tree Node Parameters'!$A$3:$B$218,2,FALSE))</f>
        <v/>
      </c>
      <c r="CN88" s="62" t="str">
        <f>IF(CN87="","",VLOOKUP(CN87,'Tech Tree Node Parameters'!$A$3:$B$218,2,FALSE))</f>
        <v/>
      </c>
      <c r="CO88" s="62" t="str">
        <f>IF(CO87="","",VLOOKUP(CO87,'Tech Tree Node Parameters'!$A$3:$B$218,2,FALSE))</f>
        <v/>
      </c>
      <c r="CP88" s="62" t="str">
        <f>IF(CP87="","",VLOOKUP(CP87,'Tech Tree Node Parameters'!$A$3:$B$218,2,FALSE))</f>
        <v/>
      </c>
      <c r="CQ88" s="62" t="str">
        <f>IF(CQ87="","",VLOOKUP(CQ87,'Tech Tree Node Parameters'!$A$3:$B$218,2,FALSE))</f>
        <v/>
      </c>
      <c r="CR88" s="62" t="str">
        <f>IF(CR87="","",VLOOKUP(CR87,'Tech Tree Node Parameters'!$A$3:$B$218,2,FALSE))</f>
        <v/>
      </c>
      <c r="CS88" s="62" t="str">
        <f>IF(CS87="","",VLOOKUP(CS87,'Tech Tree Node Parameters'!$A$3:$B$218,2,FALSE))</f>
        <v/>
      </c>
      <c r="CT88" s="62" t="str">
        <f>IF(CT87="","",VLOOKUP(CT87,'Tech Tree Node Parameters'!$A$3:$B$218,2,FALSE))</f>
        <v/>
      </c>
      <c r="CU88" s="62" t="str">
        <f>IF(CU87="","",VLOOKUP(CU87,'Tech Tree Node Parameters'!$A$3:$B$218,2,FALSE))</f>
        <v/>
      </c>
      <c r="CV88" s="62" t="str">
        <f>IF(CV87="","",VLOOKUP(CV87,'Tech Tree Node Parameters'!$A$3:$B$218,2,FALSE))</f>
        <v/>
      </c>
      <c r="CW88" s="62" t="str">
        <f>IF(CW87="","",VLOOKUP(CW87,'Tech Tree Node Parameters'!$A$3:$B$218,2,FALSE))</f>
        <v/>
      </c>
      <c r="CX88" s="62" t="str">
        <f>IF(CX87="","",VLOOKUP(CX87,'Tech Tree Node Parameters'!$A$3:$B$218,2,FALSE))</f>
        <v/>
      </c>
      <c r="CY88" s="36" t="str">
        <f>IF(CY87="","",VLOOKUP(CY87,'Tech Tree Node Parameters'!$A$3:$B$218,2,FALSE))</f>
        <v/>
      </c>
    </row>
    <row r="89" spans="1:103" x14ac:dyDescent="0.25">
      <c r="A89" s="72">
        <f t="shared" ref="A89" si="23">A91+1</f>
        <v>19</v>
      </c>
      <c r="B89" s="69">
        <f>B91+$D$6</f>
        <v>759</v>
      </c>
      <c r="C89" s="39"/>
      <c r="D89" s="61"/>
      <c r="E89" s="61"/>
      <c r="F89" s="61"/>
      <c r="G89" s="61"/>
      <c r="H89" s="61"/>
      <c r="I89" s="61"/>
      <c r="J89" s="61"/>
      <c r="K89" s="61"/>
      <c r="L89" s="61"/>
      <c r="M89" s="61"/>
      <c r="N89" s="61"/>
      <c r="O89" s="61"/>
      <c r="P89" s="61"/>
      <c r="Q89" s="61"/>
      <c r="R89" s="61"/>
      <c r="S89" s="61"/>
      <c r="T89" s="61"/>
      <c r="U89" s="61"/>
      <c r="V89" s="61"/>
      <c r="W89" s="61"/>
      <c r="X89" s="61"/>
      <c r="Y89" s="61"/>
      <c r="Z89" s="61"/>
      <c r="AA89" s="61"/>
      <c r="AB89" s="61"/>
      <c r="AC89" s="61"/>
      <c r="AD89" s="61"/>
      <c r="AE89" s="61"/>
      <c r="AF89" s="61"/>
      <c r="AG89" s="61"/>
      <c r="AH89" s="61"/>
      <c r="AI89" s="61"/>
      <c r="AJ89" s="61"/>
      <c r="AK89" s="61"/>
      <c r="AL89" s="61"/>
      <c r="AM89" s="61"/>
      <c r="AN89" s="61"/>
      <c r="AO89" s="61"/>
      <c r="AP89" s="61"/>
      <c r="AQ89" s="61"/>
      <c r="AR89" s="61"/>
      <c r="AS89" s="61"/>
      <c r="AT89" s="61"/>
      <c r="AU89" s="61"/>
      <c r="AV89" s="61"/>
      <c r="AW89" s="61"/>
      <c r="AX89" s="61"/>
      <c r="AY89" s="61"/>
      <c r="AZ89" s="61"/>
      <c r="BA89" s="61"/>
      <c r="BB89" s="61"/>
      <c r="BC89" s="61"/>
      <c r="BD89" s="61"/>
      <c r="BE89" s="61"/>
      <c r="BF89" s="61"/>
      <c r="BG89" s="61"/>
      <c r="BH89" s="61"/>
      <c r="BI89" s="61"/>
      <c r="BJ89" s="61"/>
      <c r="BK89" s="61"/>
      <c r="BL89" s="61"/>
      <c r="BM89" s="61"/>
      <c r="BN89" s="61"/>
      <c r="BO89" s="61"/>
      <c r="BP89" s="61"/>
      <c r="BQ89" s="61"/>
      <c r="BR89" s="61"/>
      <c r="BS89" s="61"/>
      <c r="BT89" s="61"/>
      <c r="BU89" s="61"/>
      <c r="BV89" s="61"/>
      <c r="BW89" s="61"/>
      <c r="BX89" s="61"/>
      <c r="BY89" s="61"/>
      <c r="BZ89" s="61"/>
      <c r="CA89" s="61"/>
      <c r="CB89" s="61"/>
      <c r="CC89" s="61"/>
      <c r="CD89" s="61"/>
      <c r="CE89" s="61"/>
      <c r="CF89" s="61"/>
      <c r="CG89" s="61"/>
      <c r="CH89" s="61"/>
      <c r="CI89" s="61"/>
      <c r="CJ89" s="61"/>
      <c r="CK89" s="61"/>
      <c r="CL89" s="61"/>
      <c r="CM89" s="61"/>
      <c r="CN89" s="61"/>
      <c r="CO89" s="61"/>
      <c r="CP89" s="61"/>
      <c r="CQ89" s="61"/>
      <c r="CR89" s="61"/>
      <c r="CS89" s="61"/>
      <c r="CT89" s="61"/>
      <c r="CU89" s="61"/>
      <c r="CV89" s="61"/>
      <c r="CW89" s="61"/>
      <c r="CX89" s="61"/>
      <c r="CY89" s="35"/>
    </row>
    <row r="90" spans="1:103" x14ac:dyDescent="0.25">
      <c r="A90" s="72"/>
      <c r="B90" s="70"/>
      <c r="C90" s="40"/>
      <c r="D90" s="62" t="str">
        <f>IF(D89="","",VLOOKUP(D89,'Tech Tree Node Parameters'!$A$3:$B$218,2,FALSE))</f>
        <v/>
      </c>
      <c r="E90" s="62" t="str">
        <f>IF(E89="","",VLOOKUP(E89,'Tech Tree Node Parameters'!$A$3:$B$218,2,FALSE))</f>
        <v/>
      </c>
      <c r="F90" s="62" t="str">
        <f>IF(F89="","",VLOOKUP(F89,'Tech Tree Node Parameters'!$A$3:$B$218,2,FALSE))</f>
        <v/>
      </c>
      <c r="G90" s="62" t="str">
        <f>IF(G89="","",VLOOKUP(G89,'Tech Tree Node Parameters'!$A$3:$B$218,2,FALSE))</f>
        <v/>
      </c>
      <c r="H90" s="62" t="str">
        <f>IF(H89="","",VLOOKUP(H89,'Tech Tree Node Parameters'!$A$3:$B$218,2,FALSE))</f>
        <v/>
      </c>
      <c r="I90" s="62" t="str">
        <f>IF(I89="","",VLOOKUP(I89,'Tech Tree Node Parameters'!$A$3:$B$218,2,FALSE))</f>
        <v/>
      </c>
      <c r="J90" s="62" t="str">
        <f>IF(J89="","",VLOOKUP(J89,'Tech Tree Node Parameters'!$A$3:$B$218,2,FALSE))</f>
        <v/>
      </c>
      <c r="K90" s="62" t="str">
        <f>IF(K89="","",VLOOKUP(K89,'Tech Tree Node Parameters'!$A$3:$B$218,2,FALSE))</f>
        <v/>
      </c>
      <c r="L90" s="62" t="str">
        <f>IF(L89="","",VLOOKUP(L89,'Tech Tree Node Parameters'!$A$3:$B$218,2,FALSE))</f>
        <v/>
      </c>
      <c r="M90" s="62" t="str">
        <f>IF(M89="","",VLOOKUP(M89,'Tech Tree Node Parameters'!$A$3:$B$218,2,FALSE))</f>
        <v/>
      </c>
      <c r="N90" s="62" t="str">
        <f>IF(N89="","",VLOOKUP(N89,'Tech Tree Node Parameters'!$A$3:$B$218,2,FALSE))</f>
        <v/>
      </c>
      <c r="O90" s="62" t="str">
        <f>IF(O89="","",VLOOKUP(O89,'Tech Tree Node Parameters'!$A$3:$B$218,2,FALSE))</f>
        <v/>
      </c>
      <c r="P90" s="62" t="str">
        <f>IF(P89="","",VLOOKUP(P89,'Tech Tree Node Parameters'!$A$3:$B$218,2,FALSE))</f>
        <v/>
      </c>
      <c r="Q90" s="62" t="str">
        <f>IF(Q89="","",VLOOKUP(Q89,'Tech Tree Node Parameters'!$A$3:$B$218,2,FALSE))</f>
        <v/>
      </c>
      <c r="R90" s="62" t="str">
        <f>IF(R89="","",VLOOKUP(R89,'Tech Tree Node Parameters'!$A$3:$B$218,2,FALSE))</f>
        <v/>
      </c>
      <c r="S90" s="62" t="str">
        <f>IF(S89="","",VLOOKUP(S89,'Tech Tree Node Parameters'!$A$3:$B$218,2,FALSE))</f>
        <v/>
      </c>
      <c r="T90" s="62" t="str">
        <f>IF(T89="","",VLOOKUP(T89,'Tech Tree Node Parameters'!$A$3:$B$218,2,FALSE))</f>
        <v/>
      </c>
      <c r="U90" s="62" t="str">
        <f>IF(U89="","",VLOOKUP(U89,'Tech Tree Node Parameters'!$A$3:$B$218,2,FALSE))</f>
        <v/>
      </c>
      <c r="V90" s="62" t="str">
        <f>IF(V89="","",VLOOKUP(V89,'Tech Tree Node Parameters'!$A$3:$B$218,2,FALSE))</f>
        <v/>
      </c>
      <c r="W90" s="62" t="str">
        <f>IF(W89="","",VLOOKUP(W89,'Tech Tree Node Parameters'!$A$3:$B$218,2,FALSE))</f>
        <v/>
      </c>
      <c r="X90" s="62" t="str">
        <f>IF(X89="","",VLOOKUP(X89,'Tech Tree Node Parameters'!$A$3:$B$218,2,FALSE))</f>
        <v/>
      </c>
      <c r="Y90" s="62" t="str">
        <f>IF(Y89="","",VLOOKUP(Y89,'Tech Tree Node Parameters'!$A$3:$B$218,2,FALSE))</f>
        <v/>
      </c>
      <c r="Z90" s="62" t="str">
        <f>IF(Z89="","",VLOOKUP(Z89,'Tech Tree Node Parameters'!$A$3:$B$218,2,FALSE))</f>
        <v/>
      </c>
      <c r="AA90" s="62" t="str">
        <f>IF(AA89="","",VLOOKUP(AA89,'Tech Tree Node Parameters'!$A$3:$B$218,2,FALSE))</f>
        <v/>
      </c>
      <c r="AB90" s="62" t="str">
        <f>IF(AB89="","",VLOOKUP(AB89,'Tech Tree Node Parameters'!$A$3:$B$218,2,FALSE))</f>
        <v/>
      </c>
      <c r="AC90" s="62" t="str">
        <f>IF(AC89="","",VLOOKUP(AC89,'Tech Tree Node Parameters'!$A$3:$B$218,2,FALSE))</f>
        <v/>
      </c>
      <c r="AD90" s="62" t="str">
        <f>IF(AD89="","",VLOOKUP(AD89,'Tech Tree Node Parameters'!$A$3:$B$218,2,FALSE))</f>
        <v/>
      </c>
      <c r="AE90" s="62" t="str">
        <f>IF(AE89="","",VLOOKUP(AE89,'Tech Tree Node Parameters'!$A$3:$B$218,2,FALSE))</f>
        <v/>
      </c>
      <c r="AF90" s="62" t="str">
        <f>IF(AF89="","",VLOOKUP(AF89,'Tech Tree Node Parameters'!$A$3:$B$218,2,FALSE))</f>
        <v/>
      </c>
      <c r="AG90" s="62" t="str">
        <f>IF(AG89="","",VLOOKUP(AG89,'Tech Tree Node Parameters'!$A$3:$B$218,2,FALSE))</f>
        <v/>
      </c>
      <c r="AH90" s="62" t="str">
        <f>IF(AH89="","",VLOOKUP(AH89,'Tech Tree Node Parameters'!$A$3:$B$218,2,FALSE))</f>
        <v/>
      </c>
      <c r="AI90" s="62" t="str">
        <f>IF(AI89="","",VLOOKUP(AI89,'Tech Tree Node Parameters'!$A$3:$B$218,2,FALSE))</f>
        <v/>
      </c>
      <c r="AJ90" s="62" t="str">
        <f>IF(AJ89="","",VLOOKUP(AJ89,'Tech Tree Node Parameters'!$A$3:$B$218,2,FALSE))</f>
        <v/>
      </c>
      <c r="AK90" s="62" t="str">
        <f>IF(AK89="","",VLOOKUP(AK89,'Tech Tree Node Parameters'!$A$3:$B$218,2,FALSE))</f>
        <v/>
      </c>
      <c r="AL90" s="62" t="str">
        <f>IF(AL89="","",VLOOKUP(AL89,'Tech Tree Node Parameters'!$A$3:$B$218,2,FALSE))</f>
        <v/>
      </c>
      <c r="AM90" s="62" t="str">
        <f>IF(AM89="","",VLOOKUP(AM89,'Tech Tree Node Parameters'!$A$3:$B$218,2,FALSE))</f>
        <v/>
      </c>
      <c r="AN90" s="62" t="str">
        <f>IF(AN89="","",VLOOKUP(AN89,'Tech Tree Node Parameters'!$A$3:$B$218,2,FALSE))</f>
        <v/>
      </c>
      <c r="AO90" s="62" t="str">
        <f>IF(AO89="","",VLOOKUP(AO89,'Tech Tree Node Parameters'!$A$3:$B$218,2,FALSE))</f>
        <v/>
      </c>
      <c r="AP90" s="62" t="str">
        <f>IF(AP89="","",VLOOKUP(AP89,'Tech Tree Node Parameters'!$A$3:$B$218,2,FALSE))</f>
        <v/>
      </c>
      <c r="AQ90" s="62" t="str">
        <f>IF(AQ89="","",VLOOKUP(AQ89,'Tech Tree Node Parameters'!$A$3:$B$218,2,FALSE))</f>
        <v/>
      </c>
      <c r="AR90" s="62" t="str">
        <f>IF(AR89="","",VLOOKUP(AR89,'Tech Tree Node Parameters'!$A$3:$B$218,2,FALSE))</f>
        <v/>
      </c>
      <c r="AS90" s="62" t="str">
        <f>IF(AS89="","",VLOOKUP(AS89,'Tech Tree Node Parameters'!$A$3:$B$218,2,FALSE))</f>
        <v/>
      </c>
      <c r="AT90" s="62" t="str">
        <f>IF(AT89="","",VLOOKUP(AT89,'Tech Tree Node Parameters'!$A$3:$B$218,2,FALSE))</f>
        <v/>
      </c>
      <c r="AU90" s="62" t="str">
        <f>IF(AU89="","",VLOOKUP(AU89,'Tech Tree Node Parameters'!$A$3:$B$218,2,FALSE))</f>
        <v/>
      </c>
      <c r="AV90" s="62" t="str">
        <f>IF(AV89="","",VLOOKUP(AV89,'Tech Tree Node Parameters'!$A$3:$B$218,2,FALSE))</f>
        <v/>
      </c>
      <c r="AW90" s="62" t="str">
        <f>IF(AW89="","",VLOOKUP(AW89,'Tech Tree Node Parameters'!$A$3:$B$218,2,FALSE))</f>
        <v/>
      </c>
      <c r="AX90" s="62" t="str">
        <f>IF(AX89="","",VLOOKUP(AX89,'Tech Tree Node Parameters'!$A$3:$B$218,2,FALSE))</f>
        <v/>
      </c>
      <c r="AY90" s="62" t="str">
        <f>IF(AY89="","",VLOOKUP(AY89,'Tech Tree Node Parameters'!$A$3:$B$218,2,FALSE))</f>
        <v/>
      </c>
      <c r="AZ90" s="62" t="str">
        <f>IF(AZ89="","",VLOOKUP(AZ89,'Tech Tree Node Parameters'!$A$3:$B$218,2,FALSE))</f>
        <v/>
      </c>
      <c r="BA90" s="62" t="str">
        <f>IF(BA89="","",VLOOKUP(BA89,'Tech Tree Node Parameters'!$A$3:$B$218,2,FALSE))</f>
        <v/>
      </c>
      <c r="BB90" s="62" t="str">
        <f>IF(BB89="","",VLOOKUP(BB89,'Tech Tree Node Parameters'!$A$3:$B$218,2,FALSE))</f>
        <v/>
      </c>
      <c r="BC90" s="62" t="str">
        <f>IF(BC89="","",VLOOKUP(BC89,'Tech Tree Node Parameters'!$A$3:$B$218,2,FALSE))</f>
        <v/>
      </c>
      <c r="BD90" s="62" t="str">
        <f>IF(BD89="","",VLOOKUP(BD89,'Tech Tree Node Parameters'!$A$3:$B$218,2,FALSE))</f>
        <v/>
      </c>
      <c r="BE90" s="62" t="str">
        <f>IF(BE89="","",VLOOKUP(BE89,'Tech Tree Node Parameters'!$A$3:$B$218,2,FALSE))</f>
        <v/>
      </c>
      <c r="BF90" s="62" t="str">
        <f>IF(BF89="","",VLOOKUP(BF89,'Tech Tree Node Parameters'!$A$3:$B$218,2,FALSE))</f>
        <v/>
      </c>
      <c r="BG90" s="62" t="str">
        <f>IF(BG89="","",VLOOKUP(BG89,'Tech Tree Node Parameters'!$A$3:$B$218,2,FALSE))</f>
        <v/>
      </c>
      <c r="BH90" s="62" t="str">
        <f>IF(BH89="","",VLOOKUP(BH89,'Tech Tree Node Parameters'!$A$3:$B$218,2,FALSE))</f>
        <v/>
      </c>
      <c r="BI90" s="62" t="str">
        <f>IF(BI89="","",VLOOKUP(BI89,'Tech Tree Node Parameters'!$A$3:$B$218,2,FALSE))</f>
        <v/>
      </c>
      <c r="BJ90" s="62" t="str">
        <f>IF(BJ89="","",VLOOKUP(BJ89,'Tech Tree Node Parameters'!$A$3:$B$218,2,FALSE))</f>
        <v/>
      </c>
      <c r="BK90" s="62" t="str">
        <f>IF(BK89="","",VLOOKUP(BK89,'Tech Tree Node Parameters'!$A$3:$B$218,2,FALSE))</f>
        <v/>
      </c>
      <c r="BL90" s="62" t="str">
        <f>IF(BL89="","",VLOOKUP(BL89,'Tech Tree Node Parameters'!$A$3:$B$218,2,FALSE))</f>
        <v/>
      </c>
      <c r="BM90" s="62" t="str">
        <f>IF(BM89="","",VLOOKUP(BM89,'Tech Tree Node Parameters'!$A$3:$B$218,2,FALSE))</f>
        <v/>
      </c>
      <c r="BN90" s="62" t="str">
        <f>IF(BN89="","",VLOOKUP(BN89,'Tech Tree Node Parameters'!$A$3:$B$218,2,FALSE))</f>
        <v/>
      </c>
      <c r="BO90" s="62" t="str">
        <f>IF(BO89="","",VLOOKUP(BO89,'Tech Tree Node Parameters'!$A$3:$B$218,2,FALSE))</f>
        <v/>
      </c>
      <c r="BP90" s="62" t="str">
        <f>IF(BP89="","",VLOOKUP(BP89,'Tech Tree Node Parameters'!$A$3:$B$218,2,FALSE))</f>
        <v/>
      </c>
      <c r="BQ90" s="62" t="str">
        <f>IF(BQ89="","",VLOOKUP(BQ89,'Tech Tree Node Parameters'!$A$3:$B$218,2,FALSE))</f>
        <v/>
      </c>
      <c r="BR90" s="62" t="str">
        <f>IF(BR89="","",VLOOKUP(BR89,'Tech Tree Node Parameters'!$A$3:$B$218,2,FALSE))</f>
        <v/>
      </c>
      <c r="BS90" s="62" t="str">
        <f>IF(BS89="","",VLOOKUP(BS89,'Tech Tree Node Parameters'!$A$3:$B$218,2,FALSE))</f>
        <v/>
      </c>
      <c r="BT90" s="62" t="str">
        <f>IF(BT89="","",VLOOKUP(BT89,'Tech Tree Node Parameters'!$A$3:$B$218,2,FALSE))</f>
        <v/>
      </c>
      <c r="BU90" s="62" t="str">
        <f>IF(BU89="","",VLOOKUP(BU89,'Tech Tree Node Parameters'!$A$3:$B$218,2,FALSE))</f>
        <v/>
      </c>
      <c r="BV90" s="62" t="str">
        <f>IF(BV89="","",VLOOKUP(BV89,'Tech Tree Node Parameters'!$A$3:$B$218,2,FALSE))</f>
        <v/>
      </c>
      <c r="BW90" s="62" t="str">
        <f>IF(BW89="","",VLOOKUP(BW89,'Tech Tree Node Parameters'!$A$3:$B$218,2,FALSE))</f>
        <v/>
      </c>
      <c r="BX90" s="62" t="str">
        <f>IF(BX89="","",VLOOKUP(BX89,'Tech Tree Node Parameters'!$A$3:$B$218,2,FALSE))</f>
        <v/>
      </c>
      <c r="BY90" s="62" t="str">
        <f>IF(BY89="","",VLOOKUP(BY89,'Tech Tree Node Parameters'!$A$3:$B$218,2,FALSE))</f>
        <v/>
      </c>
      <c r="BZ90" s="62" t="str">
        <f>IF(BZ89="","",VLOOKUP(BZ89,'Tech Tree Node Parameters'!$A$3:$B$218,2,FALSE))</f>
        <v/>
      </c>
      <c r="CA90" s="62" t="str">
        <f>IF(CA89="","",VLOOKUP(CA89,'Tech Tree Node Parameters'!$A$3:$B$218,2,FALSE))</f>
        <v/>
      </c>
      <c r="CB90" s="62" t="str">
        <f>IF(CB89="","",VLOOKUP(CB89,'Tech Tree Node Parameters'!$A$3:$B$218,2,FALSE))</f>
        <v/>
      </c>
      <c r="CC90" s="62" t="str">
        <f>IF(CC89="","",VLOOKUP(CC89,'Tech Tree Node Parameters'!$A$3:$B$218,2,FALSE))</f>
        <v/>
      </c>
      <c r="CD90" s="62" t="str">
        <f>IF(CD89="","",VLOOKUP(CD89,'Tech Tree Node Parameters'!$A$3:$B$218,2,FALSE))</f>
        <v/>
      </c>
      <c r="CE90" s="62" t="str">
        <f>IF(CE89="","",VLOOKUP(CE89,'Tech Tree Node Parameters'!$A$3:$B$218,2,FALSE))</f>
        <v/>
      </c>
      <c r="CF90" s="62" t="str">
        <f>IF(CF89="","",VLOOKUP(CF89,'Tech Tree Node Parameters'!$A$3:$B$218,2,FALSE))</f>
        <v/>
      </c>
      <c r="CG90" s="62" t="str">
        <f>IF(CG89="","",VLOOKUP(CG89,'Tech Tree Node Parameters'!$A$3:$B$218,2,FALSE))</f>
        <v/>
      </c>
      <c r="CH90" s="62" t="str">
        <f>IF(CH89="","",VLOOKUP(CH89,'Tech Tree Node Parameters'!$A$3:$B$218,2,FALSE))</f>
        <v/>
      </c>
      <c r="CI90" s="62" t="str">
        <f>IF(CI89="","",VLOOKUP(CI89,'Tech Tree Node Parameters'!$A$3:$B$218,2,FALSE))</f>
        <v/>
      </c>
      <c r="CJ90" s="62" t="str">
        <f>IF(CJ89="","",VLOOKUP(CJ89,'Tech Tree Node Parameters'!$A$3:$B$218,2,FALSE))</f>
        <v/>
      </c>
      <c r="CK90" s="62" t="str">
        <f>IF(CK89="","",VLOOKUP(CK89,'Tech Tree Node Parameters'!$A$3:$B$218,2,FALSE))</f>
        <v/>
      </c>
      <c r="CL90" s="62" t="str">
        <f>IF(CL89="","",VLOOKUP(CL89,'Tech Tree Node Parameters'!$A$3:$B$218,2,FALSE))</f>
        <v/>
      </c>
      <c r="CM90" s="62" t="str">
        <f>IF(CM89="","",VLOOKUP(CM89,'Tech Tree Node Parameters'!$A$3:$B$218,2,FALSE))</f>
        <v/>
      </c>
      <c r="CN90" s="62" t="str">
        <f>IF(CN89="","",VLOOKUP(CN89,'Tech Tree Node Parameters'!$A$3:$B$218,2,FALSE))</f>
        <v/>
      </c>
      <c r="CO90" s="62" t="str">
        <f>IF(CO89="","",VLOOKUP(CO89,'Tech Tree Node Parameters'!$A$3:$B$218,2,FALSE))</f>
        <v/>
      </c>
      <c r="CP90" s="62" t="str">
        <f>IF(CP89="","",VLOOKUP(CP89,'Tech Tree Node Parameters'!$A$3:$B$218,2,FALSE))</f>
        <v/>
      </c>
      <c r="CQ90" s="62" t="str">
        <f>IF(CQ89="","",VLOOKUP(CQ89,'Tech Tree Node Parameters'!$A$3:$B$218,2,FALSE))</f>
        <v/>
      </c>
      <c r="CR90" s="62" t="str">
        <f>IF(CR89="","",VLOOKUP(CR89,'Tech Tree Node Parameters'!$A$3:$B$218,2,FALSE))</f>
        <v/>
      </c>
      <c r="CS90" s="62" t="str">
        <f>IF(CS89="","",VLOOKUP(CS89,'Tech Tree Node Parameters'!$A$3:$B$218,2,FALSE))</f>
        <v/>
      </c>
      <c r="CT90" s="62" t="str">
        <f>IF(CT89="","",VLOOKUP(CT89,'Tech Tree Node Parameters'!$A$3:$B$218,2,FALSE))</f>
        <v/>
      </c>
      <c r="CU90" s="62" t="str">
        <f>IF(CU89="","",VLOOKUP(CU89,'Tech Tree Node Parameters'!$A$3:$B$218,2,FALSE))</f>
        <v/>
      </c>
      <c r="CV90" s="62" t="str">
        <f>IF(CV89="","",VLOOKUP(CV89,'Tech Tree Node Parameters'!$A$3:$B$218,2,FALSE))</f>
        <v/>
      </c>
      <c r="CW90" s="62" t="str">
        <f>IF(CW89="","",VLOOKUP(CW89,'Tech Tree Node Parameters'!$A$3:$B$218,2,FALSE))</f>
        <v/>
      </c>
      <c r="CX90" s="62" t="str">
        <f>IF(CX89="","",VLOOKUP(CX89,'Tech Tree Node Parameters'!$A$3:$B$218,2,FALSE))</f>
        <v/>
      </c>
      <c r="CY90" s="36" t="str">
        <f>IF(CY89="","",VLOOKUP(CY89,'Tech Tree Node Parameters'!$A$3:$B$218,2,FALSE))</f>
        <v/>
      </c>
    </row>
    <row r="91" spans="1:103" x14ac:dyDescent="0.25">
      <c r="A91" s="72">
        <f t="shared" ref="A91" si="24">A93+1</f>
        <v>18</v>
      </c>
      <c r="B91" s="69">
        <f>B93+$D$6</f>
        <v>721</v>
      </c>
      <c r="C91" s="39"/>
      <c r="D91" s="61"/>
      <c r="E91" s="61"/>
      <c r="F91" s="61"/>
      <c r="G91" s="61"/>
      <c r="H91" s="61"/>
      <c r="I91" s="61"/>
      <c r="J91" s="61"/>
      <c r="K91" s="61"/>
      <c r="L91" s="61"/>
      <c r="M91" s="61"/>
      <c r="N91" s="61"/>
      <c r="O91" s="61"/>
      <c r="P91" s="61"/>
      <c r="Q91" s="61"/>
      <c r="R91" s="61"/>
      <c r="S91" s="61"/>
      <c r="T91" s="61"/>
      <c r="U91" s="61"/>
      <c r="V91" s="61"/>
      <c r="W91" s="61"/>
      <c r="X91" s="61"/>
      <c r="Y91" s="61"/>
      <c r="Z91" s="61"/>
      <c r="AA91" s="61"/>
      <c r="AB91" s="61"/>
      <c r="AC91" s="61"/>
      <c r="AD91" s="61"/>
      <c r="AE91" s="61"/>
      <c r="AF91" s="61"/>
      <c r="AG91" s="61"/>
      <c r="AH91" s="61"/>
      <c r="AI91" s="61"/>
      <c r="AJ91" s="61"/>
      <c r="AK91" s="61"/>
      <c r="AL91" s="61"/>
      <c r="AM91" s="61"/>
      <c r="AN91" s="61"/>
      <c r="AO91" s="61"/>
      <c r="AP91" s="61"/>
      <c r="AQ91" s="61" t="s">
        <v>88</v>
      </c>
      <c r="AR91" s="61"/>
      <c r="AS91" s="61"/>
      <c r="AT91" s="61"/>
      <c r="AU91" s="61" t="s">
        <v>470</v>
      </c>
      <c r="AV91" s="61"/>
      <c r="AW91" s="61" t="s">
        <v>126</v>
      </c>
      <c r="AX91" s="61"/>
      <c r="AY91" s="61" t="s">
        <v>469</v>
      </c>
      <c r="AZ91" s="61"/>
      <c r="BA91" s="61" t="s">
        <v>136</v>
      </c>
      <c r="BB91" s="61"/>
      <c r="BC91" s="61" t="s">
        <v>138</v>
      </c>
      <c r="BD91" s="61"/>
      <c r="BE91" s="61" t="s">
        <v>149</v>
      </c>
      <c r="BF91" s="61"/>
      <c r="BG91" s="61"/>
      <c r="BH91" s="61"/>
      <c r="BI91" s="61"/>
      <c r="BJ91" s="61"/>
      <c r="BK91" s="61"/>
      <c r="BL91" s="61"/>
      <c r="BM91" s="61"/>
      <c r="BN91" s="61"/>
      <c r="BO91" s="61"/>
      <c r="BP91" s="61"/>
      <c r="BQ91" s="61" t="s">
        <v>42</v>
      </c>
      <c r="BR91" s="61"/>
      <c r="BS91" s="61"/>
      <c r="BT91" s="61"/>
      <c r="BU91" s="61"/>
      <c r="BV91" s="61"/>
      <c r="BW91" s="61"/>
      <c r="BX91" s="61"/>
      <c r="BY91" s="61"/>
      <c r="BZ91" s="61"/>
      <c r="CA91" s="61"/>
      <c r="CB91" s="61"/>
      <c r="CC91" s="61"/>
      <c r="CD91" s="61"/>
      <c r="CE91" s="61"/>
      <c r="CF91" s="61"/>
      <c r="CG91" s="61"/>
      <c r="CH91" s="61"/>
      <c r="CI91" s="61"/>
      <c r="CJ91" s="61"/>
      <c r="CK91" s="61"/>
      <c r="CL91" s="61"/>
      <c r="CM91" s="61"/>
      <c r="CN91" s="61"/>
      <c r="CO91" s="61"/>
      <c r="CP91" s="61"/>
      <c r="CQ91" s="61"/>
      <c r="CR91" s="61"/>
      <c r="CS91" s="61"/>
      <c r="CT91" s="61"/>
      <c r="CU91" s="61"/>
      <c r="CV91" s="61"/>
      <c r="CW91" s="61"/>
      <c r="CX91" s="61"/>
      <c r="CY91" s="35"/>
    </row>
    <row r="92" spans="1:103" x14ac:dyDescent="0.25">
      <c r="A92" s="72"/>
      <c r="B92" s="70"/>
      <c r="C92" s="40"/>
      <c r="D92" s="62" t="str">
        <f>IF(D91="","",VLOOKUP(D91,'Tech Tree Node Parameters'!$A$3:$B$218,2,FALSE))</f>
        <v/>
      </c>
      <c r="E92" s="62" t="str">
        <f>IF(E91="","",VLOOKUP(E91,'Tech Tree Node Parameters'!$A$3:$B$218,2,FALSE))</f>
        <v/>
      </c>
      <c r="F92" s="62" t="str">
        <f>IF(F91="","",VLOOKUP(F91,'Tech Tree Node Parameters'!$A$3:$B$218,2,FALSE))</f>
        <v/>
      </c>
      <c r="G92" s="62" t="str">
        <f>IF(G91="","",VLOOKUP(G91,'Tech Tree Node Parameters'!$A$3:$B$218,2,FALSE))</f>
        <v/>
      </c>
      <c r="H92" s="62" t="str">
        <f>IF(H91="","",VLOOKUP(H91,'Tech Tree Node Parameters'!$A$3:$B$218,2,FALSE))</f>
        <v/>
      </c>
      <c r="I92" s="62" t="str">
        <f>IF(I91="","",VLOOKUP(I91,'Tech Tree Node Parameters'!$A$3:$B$218,2,FALSE))</f>
        <v/>
      </c>
      <c r="J92" s="62" t="str">
        <f>IF(J91="","",VLOOKUP(J91,'Tech Tree Node Parameters'!$A$3:$B$218,2,FALSE))</f>
        <v/>
      </c>
      <c r="K92" s="62" t="str">
        <f>IF(K91="","",VLOOKUP(K91,'Tech Tree Node Parameters'!$A$3:$B$218,2,FALSE))</f>
        <v/>
      </c>
      <c r="L92" s="62" t="str">
        <f>IF(L91="","",VLOOKUP(L91,'Tech Tree Node Parameters'!$A$3:$B$218,2,FALSE))</f>
        <v/>
      </c>
      <c r="M92" s="62" t="str">
        <f>IF(M91="","",VLOOKUP(M91,'Tech Tree Node Parameters'!$A$3:$B$218,2,FALSE))</f>
        <v/>
      </c>
      <c r="N92" s="62" t="str">
        <f>IF(N91="","",VLOOKUP(N91,'Tech Tree Node Parameters'!$A$3:$B$218,2,FALSE))</f>
        <v/>
      </c>
      <c r="O92" s="62" t="str">
        <f>IF(O91="","",VLOOKUP(O91,'Tech Tree Node Parameters'!$A$3:$B$218,2,FALSE))</f>
        <v/>
      </c>
      <c r="P92" s="62" t="str">
        <f>IF(P91="","",VLOOKUP(P91,'Tech Tree Node Parameters'!$A$3:$B$218,2,FALSE))</f>
        <v/>
      </c>
      <c r="Q92" s="62" t="str">
        <f>IF(Q91="","",VLOOKUP(Q91,'Tech Tree Node Parameters'!$A$3:$B$218,2,FALSE))</f>
        <v/>
      </c>
      <c r="R92" s="62" t="str">
        <f>IF(R91="","",VLOOKUP(R91,'Tech Tree Node Parameters'!$A$3:$B$218,2,FALSE))</f>
        <v/>
      </c>
      <c r="S92" s="62" t="str">
        <f>IF(S91="","",VLOOKUP(S91,'Tech Tree Node Parameters'!$A$3:$B$218,2,FALSE))</f>
        <v/>
      </c>
      <c r="T92" s="62" t="str">
        <f>IF(T91="","",VLOOKUP(T91,'Tech Tree Node Parameters'!$A$3:$B$218,2,FALSE))</f>
        <v/>
      </c>
      <c r="U92" s="62" t="str">
        <f>IF(U91="","",VLOOKUP(U91,'Tech Tree Node Parameters'!$A$3:$B$218,2,FALSE))</f>
        <v/>
      </c>
      <c r="V92" s="62" t="str">
        <f>IF(V91="","",VLOOKUP(V91,'Tech Tree Node Parameters'!$A$3:$B$218,2,FALSE))</f>
        <v/>
      </c>
      <c r="W92" s="62" t="str">
        <f>IF(W91="","",VLOOKUP(W91,'Tech Tree Node Parameters'!$A$3:$B$218,2,FALSE))</f>
        <v/>
      </c>
      <c r="X92" s="62" t="str">
        <f>IF(X91="","",VLOOKUP(X91,'Tech Tree Node Parameters'!$A$3:$B$218,2,FALSE))</f>
        <v/>
      </c>
      <c r="Y92" s="62" t="str">
        <f>IF(Y91="","",VLOOKUP(Y91,'Tech Tree Node Parameters'!$A$3:$B$218,2,FALSE))</f>
        <v/>
      </c>
      <c r="Z92" s="62" t="str">
        <f>IF(Z91="","",VLOOKUP(Z91,'Tech Tree Node Parameters'!$A$3:$B$218,2,FALSE))</f>
        <v/>
      </c>
      <c r="AA92" s="62" t="str">
        <f>IF(AA91="","",VLOOKUP(AA91,'Tech Tree Node Parameters'!$A$3:$B$218,2,FALSE))</f>
        <v/>
      </c>
      <c r="AB92" s="62" t="str">
        <f>IF(AB91="","",VLOOKUP(AB91,'Tech Tree Node Parameters'!$A$3:$B$218,2,FALSE))</f>
        <v/>
      </c>
      <c r="AC92" s="62" t="str">
        <f>IF(AC91="","",VLOOKUP(AC91,'Tech Tree Node Parameters'!$A$3:$B$218,2,FALSE))</f>
        <v/>
      </c>
      <c r="AD92" s="62" t="str">
        <f>IF(AD91="","",VLOOKUP(AD91,'Tech Tree Node Parameters'!$A$3:$B$218,2,FALSE))</f>
        <v/>
      </c>
      <c r="AE92" s="62" t="str">
        <f>IF(AE91="","",VLOOKUP(AE91,'Tech Tree Node Parameters'!$A$3:$B$218,2,FALSE))</f>
        <v/>
      </c>
      <c r="AF92" s="62" t="str">
        <f>IF(AF91="","",VLOOKUP(AF91,'Tech Tree Node Parameters'!$A$3:$B$218,2,FALSE))</f>
        <v/>
      </c>
      <c r="AG92" s="62" t="str">
        <f>IF(AG91="","",VLOOKUP(AG91,'Tech Tree Node Parameters'!$A$3:$B$218,2,FALSE))</f>
        <v/>
      </c>
      <c r="AH92" s="62" t="str">
        <f>IF(AH91="","",VLOOKUP(AH91,'Tech Tree Node Parameters'!$A$3:$B$218,2,FALSE))</f>
        <v/>
      </c>
      <c r="AI92" s="62" t="str">
        <f>IF(AI91="","",VLOOKUP(AI91,'Tech Tree Node Parameters'!$A$3:$B$218,2,FALSE))</f>
        <v/>
      </c>
      <c r="AJ92" s="62" t="str">
        <f>IF(AJ91="","",VLOOKUP(AJ91,'Tech Tree Node Parameters'!$A$3:$B$218,2,FALSE))</f>
        <v/>
      </c>
      <c r="AK92" s="62" t="str">
        <f>IF(AK91="","",VLOOKUP(AK91,'Tech Tree Node Parameters'!$A$3:$B$218,2,FALSE))</f>
        <v/>
      </c>
      <c r="AL92" s="62" t="str">
        <f>IF(AL91="","",VLOOKUP(AL91,'Tech Tree Node Parameters'!$A$3:$B$218,2,FALSE))</f>
        <v/>
      </c>
      <c r="AM92" s="62" t="str">
        <f>IF(AM91="","",VLOOKUP(AM91,'Tech Tree Node Parameters'!$A$3:$B$218,2,FALSE))</f>
        <v/>
      </c>
      <c r="AN92" s="62" t="str">
        <f>IF(AN91="","",VLOOKUP(AN91,'Tech Tree Node Parameters'!$A$3:$B$218,2,FALSE))</f>
        <v/>
      </c>
      <c r="AO92" s="62" t="str">
        <f>IF(AO91="","",VLOOKUP(AO91,'Tech Tree Node Parameters'!$A$3:$B$218,2,FALSE))</f>
        <v/>
      </c>
      <c r="AP92" s="62" t="str">
        <f>IF(AP91="","",VLOOKUP(AP91,'Tech Tree Node Parameters'!$A$3:$B$218,2,FALSE))</f>
        <v/>
      </c>
      <c r="AQ92" s="62" t="str">
        <f>IF(AQ91="","",VLOOKUP(AQ91,'Tech Tree Node Parameters'!$A$3:$B$218,2,FALSE))</f>
        <v>8-bit Computing</v>
      </c>
      <c r="AR92" s="62" t="str">
        <f>IF(AR91="","",VLOOKUP(AR91,'Tech Tree Node Parameters'!$A$3:$B$218,2,FALSE))</f>
        <v/>
      </c>
      <c r="AS92" s="62" t="str">
        <f>IF(AS91="","",VLOOKUP(AS91,'Tech Tree Node Parameters'!$A$3:$B$218,2,FALSE))</f>
        <v/>
      </c>
      <c r="AT92" s="62" t="str">
        <f>IF(AT91="","",VLOOKUP(AT91,'Tech Tree Node Parameters'!$A$3:$B$218,2,FALSE))</f>
        <v/>
      </c>
      <c r="AU92" s="62" t="str">
        <f>IF(AU91="","",VLOOKUP(AU91,'Tech Tree Node Parameters'!$A$3:$B$218,2,FALSE))</f>
        <v>Renewable Energy</v>
      </c>
      <c r="AV92" s="62" t="str">
        <f>IF(AV91="","",VLOOKUP(AV91,'Tech Tree Node Parameters'!$A$3:$B$218,2,FALSE))</f>
        <v/>
      </c>
      <c r="AW92" s="62" t="str">
        <f>IF(AW91="","",VLOOKUP(AW91,'Tech Tree Node Parameters'!$A$3:$B$218,2,FALSE))</f>
        <v>Nickel Cadmium Batteries</v>
      </c>
      <c r="AX92" s="62" t="str">
        <f>IF(AX91="","",VLOOKUP(AX91,'Tech Tree Node Parameters'!$A$3:$B$218,2,FALSE))</f>
        <v/>
      </c>
      <c r="AY92" s="62" t="str">
        <f>IF(AY91="","",VLOOKUP(AY91,'Tech Tree Node Parameters'!$A$3:$B$218,2,FALSE))</f>
        <v>Electric Motors</v>
      </c>
      <c r="AZ92" s="62" t="str">
        <f>IF(AZ91="","",VLOOKUP(AZ91,'Tech Tree Node Parameters'!$A$3:$B$218,2,FALSE))</f>
        <v/>
      </c>
      <c r="BA92" s="62" t="str">
        <f>IF(BA91="","",VLOOKUP(BA91,'Tech Tree Node Parameters'!$A$3:$B$218,2,FALSE))</f>
        <v>Advanced Electric Motors</v>
      </c>
      <c r="BB92" s="62" t="str">
        <f>IF(BB91="","",VLOOKUP(BB91,'Tech Tree Node Parameters'!$A$3:$B$218,2,FALSE))</f>
        <v/>
      </c>
      <c r="BC92" s="62" t="str">
        <f>IF(BC91="","",VLOOKUP(BC91,'Tech Tree Node Parameters'!$A$3:$B$218,2,FALSE))</f>
        <v>Experimental Motors</v>
      </c>
      <c r="BD92" s="62" t="str">
        <f>IF(BD91="","",VLOOKUP(BD91,'Tech Tree Node Parameters'!$A$3:$B$218,2,FALSE))</f>
        <v/>
      </c>
      <c r="BE92" s="62" t="str">
        <f>IF(BE91="","",VLOOKUP(BE91,'Tech Tree Node Parameters'!$A$3:$B$218,2,FALSE))</f>
        <v>Science Tech</v>
      </c>
      <c r="BF92" s="62" t="str">
        <f>IF(BF91="","",VLOOKUP(BF91,'Tech Tree Node Parameters'!$A$3:$B$218,2,FALSE))</f>
        <v/>
      </c>
      <c r="BG92" s="62" t="str">
        <f>IF(BG91="","",VLOOKUP(BG91,'Tech Tree Node Parameters'!$A$3:$B$218,2,FALSE))</f>
        <v/>
      </c>
      <c r="BH92" s="62" t="str">
        <f>IF(BH91="","",VLOOKUP(BH91,'Tech Tree Node Parameters'!$A$3:$B$218,2,FALSE))</f>
        <v/>
      </c>
      <c r="BI92" s="62" t="str">
        <f>IF(BI91="","",VLOOKUP(BI91,'Tech Tree Node Parameters'!$A$3:$B$218,2,FALSE))</f>
        <v/>
      </c>
      <c r="BJ92" s="62" t="str">
        <f>IF(BJ91="","",VLOOKUP(BJ91,'Tech Tree Node Parameters'!$A$3:$B$218,2,FALSE))</f>
        <v/>
      </c>
      <c r="BK92" s="62" t="str">
        <f>IF(BK91="","",VLOOKUP(BK91,'Tech Tree Node Parameters'!$A$3:$B$218,2,FALSE))</f>
        <v/>
      </c>
      <c r="BL92" s="62" t="str">
        <f>IF(BL91="","",VLOOKUP(BL91,'Tech Tree Node Parameters'!$A$3:$B$218,2,FALSE))</f>
        <v/>
      </c>
      <c r="BM92" s="62" t="str">
        <f>IF(BM91="","",VLOOKUP(BM91,'Tech Tree Node Parameters'!$A$3:$B$218,2,FALSE))</f>
        <v/>
      </c>
      <c r="BN92" s="62" t="str">
        <f>IF(BN91="","",VLOOKUP(BN91,'Tech Tree Node Parameters'!$A$3:$B$218,2,FALSE))</f>
        <v/>
      </c>
      <c r="BO92" s="62" t="str">
        <f>IF(BO91="","",VLOOKUP(BO91,'Tech Tree Node Parameters'!$A$3:$B$218,2,FALSE))</f>
        <v/>
      </c>
      <c r="BP92" s="62" t="str">
        <f>IF(BP91="","",VLOOKUP(BP91,'Tech Tree Node Parameters'!$A$3:$B$218,2,FALSE))</f>
        <v/>
      </c>
      <c r="BQ92" s="62" t="str">
        <f>IF(BQ91="","",VLOOKUP(BQ91,'Tech Tree Node Parameters'!$A$3:$B$218,2,FALSE))</f>
        <v>Orbital Megastructures</v>
      </c>
      <c r="BR92" s="62"/>
      <c r="BS92" s="62" t="str">
        <f>IF(BS91="","",VLOOKUP(BS91,'Tech Tree Node Parameters'!$A$3:$B$218,2,FALSE))</f>
        <v/>
      </c>
      <c r="BT92" s="62"/>
      <c r="BU92" s="62" t="str">
        <f>IF(BU91="","",VLOOKUP(BU91,'Tech Tree Node Parameters'!$A$3:$B$218,2,FALSE))</f>
        <v/>
      </c>
      <c r="BV92" s="62" t="str">
        <f>IF(BV91="","",VLOOKUP(BV91,'Tech Tree Node Parameters'!$A$3:$B$218,2,FALSE))</f>
        <v/>
      </c>
      <c r="BW92" s="62" t="str">
        <f>IF(BW91="","",VLOOKUP(BW91,'Tech Tree Node Parameters'!$A$3:$B$218,2,FALSE))</f>
        <v/>
      </c>
      <c r="BX92" s="62" t="str">
        <f>IF(BX91="","",VLOOKUP(BX91,'Tech Tree Node Parameters'!$A$3:$B$218,2,FALSE))</f>
        <v/>
      </c>
      <c r="BY92" s="62" t="str">
        <f>IF(BY91="","",VLOOKUP(BY91,'Tech Tree Node Parameters'!$A$3:$B$218,2,FALSE))</f>
        <v/>
      </c>
      <c r="BZ92" s="62" t="str">
        <f>IF(BZ91="","",VLOOKUP(BZ91,'Tech Tree Node Parameters'!$A$3:$B$218,2,FALSE))</f>
        <v/>
      </c>
      <c r="CA92" s="62" t="str">
        <f>IF(CA91="","",VLOOKUP(CA91,'Tech Tree Node Parameters'!$A$3:$B$218,2,FALSE))</f>
        <v/>
      </c>
      <c r="CB92" s="62" t="str">
        <f>IF(CB91="","",VLOOKUP(CB91,'Tech Tree Node Parameters'!$A$3:$B$218,2,FALSE))</f>
        <v/>
      </c>
      <c r="CC92" s="62" t="str">
        <f>IF(CC91="","",VLOOKUP(CC91,'Tech Tree Node Parameters'!$A$3:$B$218,2,FALSE))</f>
        <v/>
      </c>
      <c r="CD92" s="62"/>
      <c r="CE92" s="62"/>
      <c r="CF92" s="62"/>
      <c r="CG92" s="62"/>
      <c r="CH92" s="62"/>
      <c r="CI92" s="62"/>
      <c r="CJ92" s="62" t="str">
        <f>IF(CJ91="","",VLOOKUP(CJ91,'Tech Tree Node Parameters'!$A$3:$B$218,2,FALSE))</f>
        <v/>
      </c>
      <c r="CK92" s="62" t="str">
        <f>IF(CK91="","",VLOOKUP(CK91,'Tech Tree Node Parameters'!$A$3:$B$218,2,FALSE))</f>
        <v/>
      </c>
      <c r="CL92" s="62" t="str">
        <f>IF(CL91="","",VLOOKUP(CL91,'Tech Tree Node Parameters'!$A$3:$B$218,2,FALSE))</f>
        <v/>
      </c>
      <c r="CM92" s="62" t="str">
        <f>IF(CM91="","",VLOOKUP(CM91,'Tech Tree Node Parameters'!$A$3:$B$218,2,FALSE))</f>
        <v/>
      </c>
      <c r="CN92" s="62" t="str">
        <f>IF(CN91="","",VLOOKUP(CN91,'Tech Tree Node Parameters'!$A$3:$B$218,2,FALSE))</f>
        <v/>
      </c>
      <c r="CO92" s="62" t="str">
        <f>IF(CO91="","",VLOOKUP(CO91,'Tech Tree Node Parameters'!$A$3:$B$218,2,FALSE))</f>
        <v/>
      </c>
      <c r="CP92" s="62" t="str">
        <f>IF(CP91="","",VLOOKUP(CP91,'Tech Tree Node Parameters'!$A$3:$B$218,2,FALSE))</f>
        <v/>
      </c>
      <c r="CQ92" s="62" t="str">
        <f>IF(CQ91="","",VLOOKUP(CQ91,'Tech Tree Node Parameters'!$A$3:$B$218,2,FALSE))</f>
        <v/>
      </c>
      <c r="CR92" s="62" t="str">
        <f>IF(CR91="","",VLOOKUP(CR91,'Tech Tree Node Parameters'!$A$3:$B$218,2,FALSE))</f>
        <v/>
      </c>
      <c r="CS92" s="62" t="str">
        <f>IF(CS91="","",VLOOKUP(CS91,'Tech Tree Node Parameters'!$A$3:$B$218,2,FALSE))</f>
        <v/>
      </c>
      <c r="CT92" s="62" t="str">
        <f>IF(CT91="","",VLOOKUP(CT91,'Tech Tree Node Parameters'!$A$3:$B$218,2,FALSE))</f>
        <v/>
      </c>
      <c r="CU92" s="62" t="str">
        <f>IF(CU91="","",VLOOKUP(CU91,'Tech Tree Node Parameters'!$A$3:$B$218,2,FALSE))</f>
        <v/>
      </c>
      <c r="CV92" s="62" t="str">
        <f>IF(CV91="","",VLOOKUP(CV91,'Tech Tree Node Parameters'!$A$3:$B$218,2,FALSE))</f>
        <v/>
      </c>
      <c r="CW92" s="62" t="str">
        <f>IF(CW91="","",VLOOKUP(CW91,'Tech Tree Node Parameters'!$A$3:$B$218,2,FALSE))</f>
        <v/>
      </c>
      <c r="CX92" s="62" t="str">
        <f>IF(CX91="","",VLOOKUP(CX91,'Tech Tree Node Parameters'!$A$3:$B$218,2,FALSE))</f>
        <v/>
      </c>
      <c r="CY92" s="36" t="str">
        <f>IF(CY91="","",VLOOKUP(CY91,'Tech Tree Node Parameters'!$A$3:$B$218,2,FALSE))</f>
        <v/>
      </c>
    </row>
    <row r="93" spans="1:103" x14ac:dyDescent="0.25">
      <c r="A93" s="72">
        <f t="shared" ref="A93" si="25">A95+1</f>
        <v>17</v>
      </c>
      <c r="B93" s="69">
        <f>B95+$D$6</f>
        <v>683</v>
      </c>
      <c r="C93" s="39"/>
      <c r="D93" s="61"/>
      <c r="E93" s="61"/>
      <c r="F93" s="61"/>
      <c r="G93" s="61"/>
      <c r="H93" s="61"/>
      <c r="I93" s="61"/>
      <c r="J93" s="61"/>
      <c r="K93" s="61"/>
      <c r="L93" s="61"/>
      <c r="M93" s="61"/>
      <c r="N93" s="61"/>
      <c r="O93" s="61"/>
      <c r="P93" s="61"/>
      <c r="Q93" s="61"/>
      <c r="R93" s="61"/>
      <c r="S93" s="61"/>
      <c r="T93" s="61"/>
      <c r="U93" s="61"/>
      <c r="V93" s="61"/>
      <c r="W93" s="61"/>
      <c r="X93" s="61"/>
      <c r="Y93" s="61"/>
      <c r="Z93" s="61"/>
      <c r="AA93" s="61"/>
      <c r="AB93" s="61"/>
      <c r="AC93" s="61"/>
      <c r="AD93" s="61"/>
      <c r="AE93" s="61"/>
      <c r="AF93" s="61"/>
      <c r="AG93" s="61"/>
      <c r="AH93" s="61"/>
      <c r="AI93" s="61"/>
      <c r="AJ93" s="61"/>
      <c r="AK93" s="61"/>
      <c r="AL93" s="61"/>
      <c r="AM93" s="61"/>
      <c r="AN93" s="61"/>
      <c r="AO93" s="61"/>
      <c r="AP93" s="61"/>
      <c r="AQ93" s="61"/>
      <c r="AR93" s="61"/>
      <c r="AS93" s="61"/>
      <c r="AT93" s="61"/>
      <c r="AU93" s="61"/>
      <c r="AV93" s="61"/>
      <c r="AW93" s="61"/>
      <c r="AX93" s="61"/>
      <c r="AY93" s="61"/>
      <c r="AZ93" s="61"/>
      <c r="BA93" s="61"/>
      <c r="BB93" s="61"/>
      <c r="BC93" s="61"/>
      <c r="BD93" s="61"/>
      <c r="BE93" s="61"/>
      <c r="BF93" s="61"/>
      <c r="BG93" s="61"/>
      <c r="BH93" s="61"/>
      <c r="BI93" s="61"/>
      <c r="BJ93" s="61"/>
      <c r="BK93" s="61"/>
      <c r="BL93" s="61"/>
      <c r="BM93" s="61"/>
      <c r="BN93" s="61"/>
      <c r="BO93" s="61"/>
      <c r="BP93" s="61"/>
      <c r="BQ93" s="61"/>
      <c r="BR93" s="61"/>
      <c r="BS93" s="61"/>
      <c r="BT93" s="61"/>
      <c r="BU93" s="61"/>
      <c r="BV93" s="61"/>
      <c r="BW93" s="61"/>
      <c r="BX93" s="61"/>
      <c r="BY93" s="61"/>
      <c r="BZ93" s="61"/>
      <c r="CA93" s="61"/>
      <c r="CB93" s="61"/>
      <c r="CC93" s="61"/>
      <c r="CD93" s="61"/>
      <c r="CE93" s="61"/>
      <c r="CF93" s="61"/>
      <c r="CG93" s="61"/>
      <c r="CH93" s="61"/>
      <c r="CI93" s="61"/>
      <c r="CJ93" s="61"/>
      <c r="CK93" s="61"/>
      <c r="CL93" s="61"/>
      <c r="CM93" s="61"/>
      <c r="CN93" s="61"/>
      <c r="CO93" s="61"/>
      <c r="CP93" s="61"/>
      <c r="CQ93" s="61"/>
      <c r="CR93" s="61"/>
      <c r="CS93" s="61"/>
      <c r="CT93" s="61"/>
      <c r="CU93" s="61"/>
      <c r="CV93" s="61"/>
      <c r="CW93" s="61"/>
      <c r="CX93" s="61"/>
      <c r="CY93" s="35"/>
    </row>
    <row r="94" spans="1:103" x14ac:dyDescent="0.25">
      <c r="A94" s="72"/>
      <c r="B94" s="70"/>
      <c r="C94" s="40"/>
      <c r="D94" s="62" t="str">
        <f>IF(D93="","",VLOOKUP(D93,'Tech Tree Node Parameters'!$A$3:$B$218,2,FALSE))</f>
        <v/>
      </c>
      <c r="E94" s="62" t="str">
        <f>IF(E93="","",VLOOKUP(E93,'Tech Tree Node Parameters'!$A$3:$B$218,2,FALSE))</f>
        <v/>
      </c>
      <c r="F94" s="62" t="str">
        <f>IF(F93="","",VLOOKUP(F93,'Tech Tree Node Parameters'!$A$3:$B$218,2,FALSE))</f>
        <v/>
      </c>
      <c r="G94" s="62" t="str">
        <f>IF(G93="","",VLOOKUP(G93,'Tech Tree Node Parameters'!$A$3:$B$218,2,FALSE))</f>
        <v/>
      </c>
      <c r="H94" s="62" t="str">
        <f>IF(H93="","",VLOOKUP(H93,'Tech Tree Node Parameters'!$A$3:$B$218,2,FALSE))</f>
        <v/>
      </c>
      <c r="I94" s="62" t="str">
        <f>IF(I93="","",VLOOKUP(I93,'Tech Tree Node Parameters'!$A$3:$B$218,2,FALSE))</f>
        <v/>
      </c>
      <c r="J94" s="62" t="str">
        <f>IF(J93="","",VLOOKUP(J93,'Tech Tree Node Parameters'!$A$3:$B$218,2,FALSE))</f>
        <v/>
      </c>
      <c r="K94" s="62" t="str">
        <f>IF(K93="","",VLOOKUP(K93,'Tech Tree Node Parameters'!$A$3:$B$218,2,FALSE))</f>
        <v/>
      </c>
      <c r="L94" s="62" t="str">
        <f>IF(L93="","",VLOOKUP(L93,'Tech Tree Node Parameters'!$A$3:$B$218,2,FALSE))</f>
        <v/>
      </c>
      <c r="M94" s="62" t="str">
        <f>IF(M93="","",VLOOKUP(M93,'Tech Tree Node Parameters'!$A$3:$B$218,2,FALSE))</f>
        <v/>
      </c>
      <c r="N94" s="62" t="str">
        <f>IF(N93="","",VLOOKUP(N93,'Tech Tree Node Parameters'!$A$3:$B$218,2,FALSE))</f>
        <v/>
      </c>
      <c r="O94" s="62" t="str">
        <f>IF(O93="","",VLOOKUP(O93,'Tech Tree Node Parameters'!$A$3:$B$218,2,FALSE))</f>
        <v/>
      </c>
      <c r="P94" s="62" t="str">
        <f>IF(P93="","",VLOOKUP(P93,'Tech Tree Node Parameters'!$A$3:$B$218,2,FALSE))</f>
        <v/>
      </c>
      <c r="Q94" s="62" t="str">
        <f>IF(Q93="","",VLOOKUP(Q93,'Tech Tree Node Parameters'!$A$3:$B$218,2,FALSE))</f>
        <v/>
      </c>
      <c r="R94" s="62" t="str">
        <f>IF(R93="","",VLOOKUP(R93,'Tech Tree Node Parameters'!$A$3:$B$218,2,FALSE))</f>
        <v/>
      </c>
      <c r="S94" s="62" t="str">
        <f>IF(S93="","",VLOOKUP(S93,'Tech Tree Node Parameters'!$A$3:$B$218,2,FALSE))</f>
        <v/>
      </c>
      <c r="T94" s="62" t="str">
        <f>IF(T93="","",VLOOKUP(T93,'Tech Tree Node Parameters'!$A$3:$B$218,2,FALSE))</f>
        <v/>
      </c>
      <c r="U94" s="62" t="str">
        <f>IF(U93="","",VLOOKUP(U93,'Tech Tree Node Parameters'!$A$3:$B$218,2,FALSE))</f>
        <v/>
      </c>
      <c r="V94" s="62" t="str">
        <f>IF(V93="","",VLOOKUP(V93,'Tech Tree Node Parameters'!$A$3:$B$218,2,FALSE))</f>
        <v/>
      </c>
      <c r="W94" s="62" t="str">
        <f>IF(W93="","",VLOOKUP(W93,'Tech Tree Node Parameters'!$A$3:$B$218,2,FALSE))</f>
        <v/>
      </c>
      <c r="X94" s="62" t="str">
        <f>IF(X93="","",VLOOKUP(X93,'Tech Tree Node Parameters'!$A$3:$B$218,2,FALSE))</f>
        <v/>
      </c>
      <c r="Y94" s="62" t="str">
        <f>IF(Y93="","",VLOOKUP(Y93,'Tech Tree Node Parameters'!$A$3:$B$218,2,FALSE))</f>
        <v/>
      </c>
      <c r="Z94" s="62" t="str">
        <f>IF(Z93="","",VLOOKUP(Z93,'Tech Tree Node Parameters'!$A$3:$B$218,2,FALSE))</f>
        <v/>
      </c>
      <c r="AA94" s="62" t="str">
        <f>IF(AA93="","",VLOOKUP(AA93,'Tech Tree Node Parameters'!$A$3:$B$218,2,FALSE))</f>
        <v/>
      </c>
      <c r="AB94" s="62" t="str">
        <f>IF(AB93="","",VLOOKUP(AB93,'Tech Tree Node Parameters'!$A$3:$B$218,2,FALSE))</f>
        <v/>
      </c>
      <c r="AC94" s="62" t="str">
        <f>IF(AC93="","",VLOOKUP(AC93,'Tech Tree Node Parameters'!$A$3:$B$218,2,FALSE))</f>
        <v/>
      </c>
      <c r="AD94" s="62" t="str">
        <f>IF(AD93="","",VLOOKUP(AD93,'Tech Tree Node Parameters'!$A$3:$B$218,2,FALSE))</f>
        <v/>
      </c>
      <c r="AE94" s="62" t="str">
        <f>IF(AE93="","",VLOOKUP(AE93,'Tech Tree Node Parameters'!$A$3:$B$218,2,FALSE))</f>
        <v/>
      </c>
      <c r="AF94" s="62" t="str">
        <f>IF(AF93="","",VLOOKUP(AF93,'Tech Tree Node Parameters'!$A$3:$B$218,2,FALSE))</f>
        <v/>
      </c>
      <c r="AG94" s="62" t="str">
        <f>IF(AG93="","",VLOOKUP(AG93,'Tech Tree Node Parameters'!$A$3:$B$218,2,FALSE))</f>
        <v/>
      </c>
      <c r="AH94" s="62" t="str">
        <f>IF(AH93="","",VLOOKUP(AH93,'Tech Tree Node Parameters'!$A$3:$B$218,2,FALSE))</f>
        <v/>
      </c>
      <c r="AI94" s="62" t="str">
        <f>IF(AI93="","",VLOOKUP(AI93,'Tech Tree Node Parameters'!$A$3:$B$218,2,FALSE))</f>
        <v/>
      </c>
      <c r="AJ94" s="62" t="str">
        <f>IF(AJ93="","",VLOOKUP(AJ93,'Tech Tree Node Parameters'!$A$3:$B$218,2,FALSE))</f>
        <v/>
      </c>
      <c r="AK94" s="62" t="str">
        <f>IF(AK93="","",VLOOKUP(AK93,'Tech Tree Node Parameters'!$A$3:$B$218,2,FALSE))</f>
        <v/>
      </c>
      <c r="AL94" s="62" t="str">
        <f>IF(AL93="","",VLOOKUP(AL93,'Tech Tree Node Parameters'!$A$3:$B$218,2,FALSE))</f>
        <v/>
      </c>
      <c r="AM94" s="62" t="str">
        <f>IF(AM93="","",VLOOKUP(AM93,'Tech Tree Node Parameters'!$A$3:$B$218,2,FALSE))</f>
        <v/>
      </c>
      <c r="AN94" s="62" t="str">
        <f>IF(AN93="","",VLOOKUP(AN93,'Tech Tree Node Parameters'!$A$3:$B$218,2,FALSE))</f>
        <v/>
      </c>
      <c r="AO94" s="62" t="str">
        <f>IF(AO93="","",VLOOKUP(AO93,'Tech Tree Node Parameters'!$A$3:$B$218,2,FALSE))</f>
        <v/>
      </c>
      <c r="AP94" s="62" t="str">
        <f>IF(AP93="","",VLOOKUP(AP93,'Tech Tree Node Parameters'!$A$3:$B$218,2,FALSE))</f>
        <v/>
      </c>
      <c r="AQ94" s="62" t="str">
        <f>IF(AQ93="","",VLOOKUP(AQ93,'Tech Tree Node Parameters'!$A$3:$B$218,2,FALSE))</f>
        <v/>
      </c>
      <c r="AR94" s="62" t="str">
        <f>IF(AR93="","",VLOOKUP(AR93,'Tech Tree Node Parameters'!$A$3:$B$218,2,FALSE))</f>
        <v/>
      </c>
      <c r="AS94" s="62" t="str">
        <f>IF(AS93="","",VLOOKUP(AS93,'Tech Tree Node Parameters'!$A$3:$B$218,2,FALSE))</f>
        <v/>
      </c>
      <c r="AT94" s="62" t="str">
        <f>IF(AT93="","",VLOOKUP(AT93,'Tech Tree Node Parameters'!$A$3:$B$218,2,FALSE))</f>
        <v/>
      </c>
      <c r="AU94" s="62" t="str">
        <f>IF(AU93="","",VLOOKUP(AU93,'Tech Tree Node Parameters'!$A$3:$B$218,2,FALSE))</f>
        <v/>
      </c>
      <c r="AV94" s="62" t="str">
        <f>IF(AV93="","",VLOOKUP(AV93,'Tech Tree Node Parameters'!$A$3:$B$218,2,FALSE))</f>
        <v/>
      </c>
      <c r="AW94" s="62" t="str">
        <f>IF(AW93="","",VLOOKUP(AW93,'Tech Tree Node Parameters'!$A$3:$B$218,2,FALSE))</f>
        <v/>
      </c>
      <c r="AX94" s="62" t="str">
        <f>IF(AX93="","",VLOOKUP(AX93,'Tech Tree Node Parameters'!$A$3:$B$218,2,FALSE))</f>
        <v/>
      </c>
      <c r="AY94" s="62" t="str">
        <f>IF(AY93="","",VLOOKUP(AY93,'Tech Tree Node Parameters'!$A$3:$B$218,2,FALSE))</f>
        <v/>
      </c>
      <c r="AZ94" s="62" t="str">
        <f>IF(AZ93="","",VLOOKUP(AZ93,'Tech Tree Node Parameters'!$A$3:$B$218,2,FALSE))</f>
        <v/>
      </c>
      <c r="BA94" s="62" t="str">
        <f>IF(BA93="","",VLOOKUP(BA93,'Tech Tree Node Parameters'!$A$3:$B$218,2,FALSE))</f>
        <v/>
      </c>
      <c r="BB94" s="62" t="str">
        <f>IF(BB93="","",VLOOKUP(BB93,'Tech Tree Node Parameters'!$A$3:$B$218,2,FALSE))</f>
        <v/>
      </c>
      <c r="BC94" s="62" t="str">
        <f>IF(BC93="","",VLOOKUP(BC93,'Tech Tree Node Parameters'!$A$3:$B$218,2,FALSE))</f>
        <v/>
      </c>
      <c r="BD94" s="62" t="str">
        <f>IF(BD93="","",VLOOKUP(BD93,'Tech Tree Node Parameters'!$A$3:$B$218,2,FALSE))</f>
        <v/>
      </c>
      <c r="BE94" s="62" t="str">
        <f>IF(BE93="","",VLOOKUP(BE93,'Tech Tree Node Parameters'!$A$3:$B$218,2,FALSE))</f>
        <v/>
      </c>
      <c r="BF94" s="62" t="str">
        <f>IF(BF93="","",VLOOKUP(BF93,'Tech Tree Node Parameters'!$A$3:$B$218,2,FALSE))</f>
        <v/>
      </c>
      <c r="BG94" s="62" t="str">
        <f>IF(BG93="","",VLOOKUP(BG93,'Tech Tree Node Parameters'!$A$3:$B$218,2,FALSE))</f>
        <v/>
      </c>
      <c r="BH94" s="62" t="str">
        <f>IF(BH93="","",VLOOKUP(BH93,'Tech Tree Node Parameters'!$A$3:$B$218,2,FALSE))</f>
        <v/>
      </c>
      <c r="BI94" s="62" t="str">
        <f>IF(BI93="","",VLOOKUP(BI93,'Tech Tree Node Parameters'!$A$3:$B$218,2,FALSE))</f>
        <v/>
      </c>
      <c r="BJ94" s="62" t="str">
        <f>IF(BJ93="","",VLOOKUP(BJ93,'Tech Tree Node Parameters'!$A$3:$B$218,2,FALSE))</f>
        <v/>
      </c>
      <c r="BK94" s="62" t="str">
        <f>IF(BK93="","",VLOOKUP(BK93,'Tech Tree Node Parameters'!$A$3:$B$218,2,FALSE))</f>
        <v/>
      </c>
      <c r="BL94" s="62" t="str">
        <f>IF(BL93="","",VLOOKUP(BL93,'Tech Tree Node Parameters'!$A$3:$B$218,2,FALSE))</f>
        <v/>
      </c>
      <c r="BM94" s="62" t="str">
        <f>IF(BM93="","",VLOOKUP(BM93,'Tech Tree Node Parameters'!$A$3:$B$218,2,FALSE))</f>
        <v/>
      </c>
      <c r="BN94" s="62" t="str">
        <f>IF(BN93="","",VLOOKUP(BN93,'Tech Tree Node Parameters'!$A$3:$B$218,2,FALSE))</f>
        <v/>
      </c>
      <c r="BO94" s="62" t="str">
        <f>IF(BO93="","",VLOOKUP(BO93,'Tech Tree Node Parameters'!$A$3:$B$218,2,FALSE))</f>
        <v/>
      </c>
      <c r="BP94" s="62" t="str">
        <f>IF(BP93="","",VLOOKUP(BP93,'Tech Tree Node Parameters'!$A$3:$B$218,2,FALSE))</f>
        <v/>
      </c>
      <c r="BQ94" s="62" t="str">
        <f>IF(BQ93="","",VLOOKUP(BQ93,'Tech Tree Node Parameters'!$A$3:$B$218,2,FALSE))</f>
        <v/>
      </c>
      <c r="BR94" s="62" t="str">
        <f>IF(BR93="","",VLOOKUP(BR93,'Tech Tree Node Parameters'!$A$3:$B$218,2,FALSE))</f>
        <v/>
      </c>
      <c r="BS94" s="62" t="str">
        <f>IF(BS93="","",VLOOKUP(BS93,'Tech Tree Node Parameters'!$A$3:$B$218,2,FALSE))</f>
        <v/>
      </c>
      <c r="BT94" s="62" t="str">
        <f>IF(BT93="","",VLOOKUP(BT93,'Tech Tree Node Parameters'!$A$3:$B$218,2,FALSE))</f>
        <v/>
      </c>
      <c r="BU94" s="62" t="str">
        <f>IF(BU93="","",VLOOKUP(BU93,'Tech Tree Node Parameters'!$A$3:$B$218,2,FALSE))</f>
        <v/>
      </c>
      <c r="BV94" s="62" t="str">
        <f>IF(BV93="","",VLOOKUP(BV93,'Tech Tree Node Parameters'!$A$3:$B$218,2,FALSE))</f>
        <v/>
      </c>
      <c r="BW94" s="62" t="str">
        <f>IF(BW93="","",VLOOKUP(BW93,'Tech Tree Node Parameters'!$A$3:$B$218,2,FALSE))</f>
        <v/>
      </c>
      <c r="BX94" s="62" t="str">
        <f>IF(BX93="","",VLOOKUP(BX93,'Tech Tree Node Parameters'!$A$3:$B$218,2,FALSE))</f>
        <v/>
      </c>
      <c r="BY94" s="62" t="str">
        <f>IF(BY93="","",VLOOKUP(BY93,'Tech Tree Node Parameters'!$A$3:$B$218,2,FALSE))</f>
        <v/>
      </c>
      <c r="BZ94" s="62"/>
      <c r="CA94" s="62"/>
      <c r="CB94" s="62"/>
      <c r="CC94" s="62"/>
      <c r="CD94" s="62"/>
      <c r="CE94" s="62"/>
      <c r="CF94" s="62"/>
      <c r="CG94" s="62"/>
      <c r="CH94" s="62"/>
      <c r="CI94" s="62"/>
      <c r="CJ94" s="62" t="str">
        <f>IF(CJ93="","",VLOOKUP(CJ93,'Tech Tree Node Parameters'!$A$3:$B$218,2,FALSE))</f>
        <v/>
      </c>
      <c r="CK94" s="62" t="str">
        <f>IF(CK93="","",VLOOKUP(CK93,'Tech Tree Node Parameters'!$A$3:$B$218,2,FALSE))</f>
        <v/>
      </c>
      <c r="CL94" s="62" t="str">
        <f>IF(CL93="","",VLOOKUP(CL93,'Tech Tree Node Parameters'!$A$3:$B$218,2,FALSE))</f>
        <v/>
      </c>
      <c r="CM94" s="62" t="str">
        <f>IF(CM93="","",VLOOKUP(CM93,'Tech Tree Node Parameters'!$A$3:$B$218,2,FALSE))</f>
        <v/>
      </c>
      <c r="CN94" s="62" t="str">
        <f>IF(CN93="","",VLOOKUP(CN93,'Tech Tree Node Parameters'!$A$3:$B$218,2,FALSE))</f>
        <v/>
      </c>
      <c r="CO94" s="62" t="str">
        <f>IF(CO93="","",VLOOKUP(CO93,'Tech Tree Node Parameters'!$A$3:$B$218,2,FALSE))</f>
        <v/>
      </c>
      <c r="CP94" s="62" t="str">
        <f>IF(CP93="","",VLOOKUP(CP93,'Tech Tree Node Parameters'!$A$3:$B$218,2,FALSE))</f>
        <v/>
      </c>
      <c r="CQ94" s="62" t="str">
        <f>IF(CQ93="","",VLOOKUP(CQ93,'Tech Tree Node Parameters'!$A$3:$B$218,2,FALSE))</f>
        <v/>
      </c>
      <c r="CR94" s="62" t="str">
        <f>IF(CR93="","",VLOOKUP(CR93,'Tech Tree Node Parameters'!$A$3:$B$218,2,FALSE))</f>
        <v/>
      </c>
      <c r="CS94" s="62" t="str">
        <f>IF(CS93="","",VLOOKUP(CS93,'Tech Tree Node Parameters'!$A$3:$B$218,2,FALSE))</f>
        <v/>
      </c>
      <c r="CT94" s="62" t="str">
        <f>IF(CT93="","",VLOOKUP(CT93,'Tech Tree Node Parameters'!$A$3:$B$218,2,FALSE))</f>
        <v/>
      </c>
      <c r="CU94" s="62" t="str">
        <f>IF(CU93="","",VLOOKUP(CU93,'Tech Tree Node Parameters'!$A$3:$B$218,2,FALSE))</f>
        <v/>
      </c>
      <c r="CV94" s="62" t="str">
        <f>IF(CV93="","",VLOOKUP(CV93,'Tech Tree Node Parameters'!$A$3:$B$218,2,FALSE))</f>
        <v/>
      </c>
      <c r="CW94" s="62" t="str">
        <f>IF(CW93="","",VLOOKUP(CW93,'Tech Tree Node Parameters'!$A$3:$B$218,2,FALSE))</f>
        <v/>
      </c>
      <c r="CX94" s="62" t="str">
        <f>IF(CX93="","",VLOOKUP(CX93,'Tech Tree Node Parameters'!$A$3:$B$218,2,FALSE))</f>
        <v/>
      </c>
      <c r="CY94" s="36" t="str">
        <f>IF(CY93="","",VLOOKUP(CY93,'Tech Tree Node Parameters'!$A$3:$B$218,2,FALSE))</f>
        <v/>
      </c>
    </row>
    <row r="95" spans="1:103" x14ac:dyDescent="0.25">
      <c r="A95" s="72">
        <f t="shared" ref="A95" si="26">A97+1</f>
        <v>16</v>
      </c>
      <c r="B95" s="69">
        <f>B97+$D$6</f>
        <v>645</v>
      </c>
      <c r="C95" s="39"/>
      <c r="D95" s="61"/>
      <c r="E95" s="61"/>
      <c r="F95" s="61"/>
      <c r="G95" s="61"/>
      <c r="H95" s="61"/>
      <c r="I95" s="61"/>
      <c r="J95" s="61"/>
      <c r="K95" s="61"/>
      <c r="L95" s="61"/>
      <c r="M95" s="61"/>
      <c r="N95" s="61"/>
      <c r="O95" s="61"/>
      <c r="P95" s="61"/>
      <c r="Q95" s="61"/>
      <c r="R95" s="61"/>
      <c r="S95" s="61"/>
      <c r="T95" s="61"/>
      <c r="U95" s="61"/>
      <c r="V95" s="61"/>
      <c r="W95" s="61"/>
      <c r="X95" s="61"/>
      <c r="Y95" s="61"/>
      <c r="Z95" s="61"/>
      <c r="AA95" s="61"/>
      <c r="AB95" s="61"/>
      <c r="AC95" s="61"/>
      <c r="AD95" s="61"/>
      <c r="AE95" s="61"/>
      <c r="AF95" s="61"/>
      <c r="AG95" s="61"/>
      <c r="AH95" s="61"/>
      <c r="AI95" s="61"/>
      <c r="AJ95" s="61"/>
      <c r="AK95" s="61"/>
      <c r="AL95" s="61"/>
      <c r="AM95" s="61"/>
      <c r="AN95" s="61"/>
      <c r="AO95" s="61"/>
      <c r="AP95" s="61"/>
      <c r="AQ95" s="61" t="s">
        <v>157</v>
      </c>
      <c r="AR95" s="61"/>
      <c r="AS95" s="61" t="s">
        <v>547</v>
      </c>
      <c r="AT95" s="61"/>
      <c r="AU95" s="61" t="s">
        <v>101</v>
      </c>
      <c r="AV95" s="61"/>
      <c r="AW95" s="61" t="s">
        <v>108</v>
      </c>
      <c r="AX95" s="61"/>
      <c r="AY95" s="61"/>
      <c r="AZ95" s="61"/>
      <c r="BA95" s="61"/>
      <c r="BB95" s="61"/>
      <c r="BC95" s="61"/>
      <c r="BD95" s="61"/>
      <c r="BE95" s="61" t="s">
        <v>189</v>
      </c>
      <c r="BF95" s="61"/>
      <c r="BG95" s="61"/>
      <c r="BH95" s="61"/>
      <c r="BI95" s="61"/>
      <c r="BJ95" s="61"/>
      <c r="BK95" s="61"/>
      <c r="BL95" s="61"/>
      <c r="BM95" s="61"/>
      <c r="BN95" s="61"/>
      <c r="BO95" s="61"/>
      <c r="BP95" s="61"/>
      <c r="BQ95" s="61" t="s">
        <v>1343</v>
      </c>
      <c r="BR95" s="61"/>
      <c r="BS95" s="61"/>
      <c r="BT95" s="61"/>
      <c r="BU95" s="61"/>
      <c r="BV95" s="61"/>
      <c r="BW95" s="61"/>
      <c r="BX95" s="61"/>
      <c r="BY95" s="61"/>
      <c r="BZ95" s="61"/>
      <c r="CA95" s="61"/>
      <c r="CB95" s="61"/>
      <c r="CC95" s="61"/>
      <c r="CD95" s="61"/>
      <c r="CE95" s="61"/>
      <c r="CF95" s="61"/>
      <c r="CG95" s="61"/>
      <c r="CH95" s="61"/>
      <c r="CI95" s="61"/>
      <c r="CJ95" s="61"/>
      <c r="CK95" s="61"/>
      <c r="CL95" s="61"/>
      <c r="CM95" s="61"/>
      <c r="CN95" s="61"/>
      <c r="CO95" s="61"/>
      <c r="CP95" s="61"/>
      <c r="CQ95" s="61"/>
      <c r="CR95" s="61"/>
      <c r="CS95" s="61"/>
      <c r="CT95" s="61"/>
      <c r="CU95" s="61"/>
      <c r="CV95" s="61"/>
      <c r="CW95" s="61"/>
      <c r="CX95" s="61"/>
      <c r="CY95" s="35"/>
    </row>
    <row r="96" spans="1:103" x14ac:dyDescent="0.25">
      <c r="A96" s="72"/>
      <c r="B96" s="70"/>
      <c r="C96" s="40"/>
      <c r="D96" s="62" t="str">
        <f>IF(D95="","",VLOOKUP(D95,'Tech Tree Node Parameters'!$A$3:$B$218,2,FALSE))</f>
        <v/>
      </c>
      <c r="E96" s="62" t="str">
        <f>IF(E95="","",VLOOKUP(E95,'Tech Tree Node Parameters'!$A$3:$B$218,2,FALSE))</f>
        <v/>
      </c>
      <c r="F96" s="62" t="str">
        <f>IF(F95="","",VLOOKUP(F95,'Tech Tree Node Parameters'!$A$3:$B$218,2,FALSE))</f>
        <v/>
      </c>
      <c r="G96" s="62" t="str">
        <f>IF(G95="","",VLOOKUP(G95,'Tech Tree Node Parameters'!$A$3:$B$218,2,FALSE))</f>
        <v/>
      </c>
      <c r="H96" s="62" t="str">
        <f>IF(H95="","",VLOOKUP(H95,'Tech Tree Node Parameters'!$A$3:$B$218,2,FALSE))</f>
        <v/>
      </c>
      <c r="I96" s="62" t="str">
        <f>IF(I95="","",VLOOKUP(I95,'Tech Tree Node Parameters'!$A$3:$B$218,2,FALSE))</f>
        <v/>
      </c>
      <c r="J96" s="62" t="str">
        <f>IF(J95="","",VLOOKUP(J95,'Tech Tree Node Parameters'!$A$3:$B$218,2,FALSE))</f>
        <v/>
      </c>
      <c r="K96" s="62" t="str">
        <f>IF(K95="","",VLOOKUP(K95,'Tech Tree Node Parameters'!$A$3:$B$218,2,FALSE))</f>
        <v/>
      </c>
      <c r="L96" s="62" t="str">
        <f>IF(L95="","",VLOOKUP(L95,'Tech Tree Node Parameters'!$A$3:$B$218,2,FALSE))</f>
        <v/>
      </c>
      <c r="M96" s="62" t="str">
        <f>IF(M95="","",VLOOKUP(M95,'Tech Tree Node Parameters'!$A$3:$B$218,2,FALSE))</f>
        <v/>
      </c>
      <c r="N96" s="62" t="str">
        <f>IF(N95="","",VLOOKUP(N95,'Tech Tree Node Parameters'!$A$3:$B$218,2,FALSE))</f>
        <v/>
      </c>
      <c r="O96" s="62" t="str">
        <f>IF(O95="","",VLOOKUP(O95,'Tech Tree Node Parameters'!$A$3:$B$218,2,FALSE))</f>
        <v/>
      </c>
      <c r="P96" s="62" t="str">
        <f>IF(P95="","",VLOOKUP(P95,'Tech Tree Node Parameters'!$A$3:$B$218,2,FALSE))</f>
        <v/>
      </c>
      <c r="Q96" s="62" t="str">
        <f>IF(Q95="","",VLOOKUP(Q95,'Tech Tree Node Parameters'!$A$3:$B$218,2,FALSE))</f>
        <v/>
      </c>
      <c r="R96" s="62" t="str">
        <f>IF(R95="","",VLOOKUP(R95,'Tech Tree Node Parameters'!$A$3:$B$218,2,FALSE))</f>
        <v/>
      </c>
      <c r="S96" s="62" t="str">
        <f>IF(S95="","",VLOOKUP(S95,'Tech Tree Node Parameters'!$A$3:$B$218,2,FALSE))</f>
        <v/>
      </c>
      <c r="T96" s="62" t="str">
        <f>IF(T95="","",VLOOKUP(T95,'Tech Tree Node Parameters'!$A$3:$B$218,2,FALSE))</f>
        <v/>
      </c>
      <c r="U96" s="62" t="str">
        <f>IF(U95="","",VLOOKUP(U95,'Tech Tree Node Parameters'!$A$3:$B$218,2,FALSE))</f>
        <v/>
      </c>
      <c r="V96" s="62" t="str">
        <f>IF(V95="","",VLOOKUP(V95,'Tech Tree Node Parameters'!$A$3:$B$218,2,FALSE))</f>
        <v/>
      </c>
      <c r="W96" s="62" t="str">
        <f>IF(W95="","",VLOOKUP(W95,'Tech Tree Node Parameters'!$A$3:$B$218,2,FALSE))</f>
        <v/>
      </c>
      <c r="X96" s="62" t="str">
        <f>IF(X95="","",VLOOKUP(X95,'Tech Tree Node Parameters'!$A$3:$B$218,2,FALSE))</f>
        <v/>
      </c>
      <c r="Y96" s="62" t="str">
        <f>IF(Y95="","",VLOOKUP(Y95,'Tech Tree Node Parameters'!$A$3:$B$218,2,FALSE))</f>
        <v/>
      </c>
      <c r="Z96" s="62" t="str">
        <f>IF(Z95="","",VLOOKUP(Z95,'Tech Tree Node Parameters'!$A$3:$B$218,2,FALSE))</f>
        <v/>
      </c>
      <c r="AA96" s="62" t="str">
        <f>IF(AA95="","",VLOOKUP(AA95,'Tech Tree Node Parameters'!$A$3:$B$218,2,FALSE))</f>
        <v/>
      </c>
      <c r="AB96" s="62" t="str">
        <f>IF(AB95="","",VLOOKUP(AB95,'Tech Tree Node Parameters'!$A$3:$B$218,2,FALSE))</f>
        <v/>
      </c>
      <c r="AC96" s="62" t="str">
        <f>IF(AC95="","",VLOOKUP(AC95,'Tech Tree Node Parameters'!$A$3:$B$218,2,FALSE))</f>
        <v/>
      </c>
      <c r="AD96" s="62" t="str">
        <f>IF(AD95="","",VLOOKUP(AD95,'Tech Tree Node Parameters'!$A$3:$B$218,2,FALSE))</f>
        <v/>
      </c>
      <c r="AE96" s="62" t="str">
        <f>IF(AE95="","",VLOOKUP(AE95,'Tech Tree Node Parameters'!$A$3:$B$218,2,FALSE))</f>
        <v/>
      </c>
      <c r="AF96" s="62" t="str">
        <f>IF(AF95="","",VLOOKUP(AF95,'Tech Tree Node Parameters'!$A$3:$B$218,2,FALSE))</f>
        <v/>
      </c>
      <c r="AG96" s="62" t="str">
        <f>IF(AG95="","",VLOOKUP(AG95,'Tech Tree Node Parameters'!$A$3:$B$218,2,FALSE))</f>
        <v/>
      </c>
      <c r="AH96" s="62" t="str">
        <f>IF(AH95="","",VLOOKUP(AH95,'Tech Tree Node Parameters'!$A$3:$B$218,2,FALSE))</f>
        <v/>
      </c>
      <c r="AI96" s="62" t="str">
        <f>IF(AI95="","",VLOOKUP(AI95,'Tech Tree Node Parameters'!$A$3:$B$218,2,FALSE))</f>
        <v/>
      </c>
      <c r="AJ96" s="62" t="str">
        <f>IF(AJ95="","",VLOOKUP(AJ95,'Tech Tree Node Parameters'!$A$3:$B$218,2,FALSE))</f>
        <v/>
      </c>
      <c r="AK96" s="62" t="str">
        <f>IF(AK95="","",VLOOKUP(AK95,'Tech Tree Node Parameters'!$A$3:$B$218,2,FALSE))</f>
        <v/>
      </c>
      <c r="AL96" s="62" t="str">
        <f>IF(AL95="","",VLOOKUP(AL95,'Tech Tree Node Parameters'!$A$3:$B$218,2,FALSE))</f>
        <v/>
      </c>
      <c r="AM96" s="62" t="str">
        <f>IF(AM95="","",VLOOKUP(AM95,'Tech Tree Node Parameters'!$A$3:$B$218,2,FALSE))</f>
        <v/>
      </c>
      <c r="AN96" s="62" t="str">
        <f>IF(AN95="","",VLOOKUP(AN95,'Tech Tree Node Parameters'!$A$3:$B$218,2,FALSE))</f>
        <v/>
      </c>
      <c r="AO96" s="62" t="str">
        <f>IF(AO95="","",VLOOKUP(AO95,'Tech Tree Node Parameters'!$A$3:$B$218,2,FALSE))</f>
        <v/>
      </c>
      <c r="AP96" s="62" t="str">
        <f>IF(AP95="","",VLOOKUP(AP95,'Tech Tree Node Parameters'!$A$3:$B$218,2,FALSE))</f>
        <v/>
      </c>
      <c r="AQ96" s="62" t="str">
        <f>IF(AQ95="","",VLOOKUP(AQ95,'Tech Tree Node Parameters'!$A$3:$B$218,2,FALSE))</f>
        <v>16-bit Computing</v>
      </c>
      <c r="AR96" s="62" t="str">
        <f>IF(AR95="","",VLOOKUP(AR95,'Tech Tree Node Parameters'!$A$3:$B$218,2,FALSE))</f>
        <v/>
      </c>
      <c r="AS96" s="62" t="str">
        <f>IF(AS95="","",VLOOKUP(AS95,'Tech Tree Node Parameters'!$A$3:$B$218,2,FALSE))</f>
        <v>Medium Range Antennas</v>
      </c>
      <c r="AT96" s="62" t="str">
        <f>IF(AT95="","",VLOOKUP(AT95,'Tech Tree Node Parameters'!$A$3:$B$218,2,FALSE))</f>
        <v/>
      </c>
      <c r="AU96" s="62" t="str">
        <f>IF(AU95="","",VLOOKUP(AU95,'Tech Tree Node Parameters'!$A$3:$B$218,2,FALSE))</f>
        <v>Advanced Solar Tech</v>
      </c>
      <c r="AV96" s="62" t="str">
        <f>IF(AV95="","",VLOOKUP(AV95,'Tech Tree Node Parameters'!$A$3:$B$218,2,FALSE))</f>
        <v/>
      </c>
      <c r="AW96" s="62" t="str">
        <f>IF(AW95="","",VLOOKUP(AW95,'Tech Tree Node Parameters'!$A$3:$B$218,2,FALSE))</f>
        <v>Nickel Metal Hydride Batteries</v>
      </c>
      <c r="AX96" s="62" t="str">
        <f>IF(AX95="","",VLOOKUP(AX95,'Tech Tree Node Parameters'!$A$3:$B$218,2,FALSE))</f>
        <v/>
      </c>
      <c r="AY96" s="62" t="str">
        <f>IF(AY95="","",VLOOKUP(AY95,'Tech Tree Node Parameters'!$A$3:$B$218,2,FALSE))</f>
        <v/>
      </c>
      <c r="AZ96" s="62" t="str">
        <f>IF(AZ95="","",VLOOKUP(AZ95,'Tech Tree Node Parameters'!$A$3:$B$218,2,FALSE))</f>
        <v/>
      </c>
      <c r="BA96" s="62" t="str">
        <f>IF(BA95="","",VLOOKUP(BA95,'Tech Tree Node Parameters'!$A$3:$B$218,2,FALSE))</f>
        <v/>
      </c>
      <c r="BB96" s="62" t="str">
        <f>IF(BB95="","",VLOOKUP(BB95,'Tech Tree Node Parameters'!$A$3:$B$218,2,FALSE))</f>
        <v/>
      </c>
      <c r="BC96" s="62" t="str">
        <f>IF(BC95="","",VLOOKUP(BC95,'Tech Tree Node Parameters'!$A$3:$B$218,2,FALSE))</f>
        <v/>
      </c>
      <c r="BD96" s="62" t="str">
        <f>IF(BD95="","",VLOOKUP(BD95,'Tech Tree Node Parameters'!$A$3:$B$218,2,FALSE))</f>
        <v/>
      </c>
      <c r="BE96" s="62" t="str">
        <f>IF(BE95="","",VLOOKUP(BE95,'Tech Tree Node Parameters'!$A$3:$B$218,2,FALSE))</f>
        <v>Advanced Science Tech</v>
      </c>
      <c r="BF96" s="62" t="str">
        <f>IF(BF95="","",VLOOKUP(BF95,'Tech Tree Node Parameters'!$A$3:$B$218,2,FALSE))</f>
        <v/>
      </c>
      <c r="BG96" s="62"/>
      <c r="BH96" s="62"/>
      <c r="BI96" s="62" t="str">
        <f>IF(BI95="","",VLOOKUP(BI95,'Tech Tree Node Parameters'!$A$3:$B$218,2,FALSE))</f>
        <v/>
      </c>
      <c r="BJ96" s="62" t="str">
        <f>IF(BJ95="","",VLOOKUP(BJ95,'Tech Tree Node Parameters'!$A$3:$B$218,2,FALSE))</f>
        <v/>
      </c>
      <c r="BK96" s="62" t="str">
        <f>IF(BK95="","",VLOOKUP(BK95,'Tech Tree Node Parameters'!$A$3:$B$218,2,FALSE))</f>
        <v/>
      </c>
      <c r="BL96" s="62" t="str">
        <f>IF(BL95="","",VLOOKUP(BL95,'Tech Tree Node Parameters'!$A$3:$B$218,2,FALSE))</f>
        <v/>
      </c>
      <c r="BM96" s="62" t="str">
        <f>IF(BM95="","",VLOOKUP(BM95,'Tech Tree Node Parameters'!$A$3:$B$218,2,FALSE))</f>
        <v/>
      </c>
      <c r="BN96" s="62" t="str">
        <f>IF(BN95="","",VLOOKUP(BN95,'Tech Tree Node Parameters'!$A$3:$B$218,2,FALSE))</f>
        <v/>
      </c>
      <c r="BO96" s="62" t="str">
        <f>IF(BO95="","",VLOOKUP(BO95,'Tech Tree Node Parameters'!$A$3:$B$218,2,FALSE))</f>
        <v/>
      </c>
      <c r="BP96" s="62" t="str">
        <f>IF(BP95="","",VLOOKUP(BP95,'Tech Tree Node Parameters'!$A$3:$B$218,2,FALSE))</f>
        <v/>
      </c>
      <c r="BQ96" s="62" t="str">
        <f>IF(BQ95="","",VLOOKUP(BQ95,'Tech Tree Node Parameters'!$A$3:$B$218,2,FALSE))</f>
        <v>Off-world Manufacturing</v>
      </c>
      <c r="BR96" s="62" t="str">
        <f>IF(BR95="","",VLOOKUP(BR95,'Tech Tree Node Parameters'!$A$3:$B$218,2,FALSE))</f>
        <v/>
      </c>
      <c r="BS96" s="62" t="str">
        <f>IF(BS95="","",VLOOKUP(BS95,'Tech Tree Node Parameters'!$A$3:$B$218,2,FALSE))</f>
        <v/>
      </c>
      <c r="BT96" s="62" t="str">
        <f>IF(BT95="","",VLOOKUP(BT95,'Tech Tree Node Parameters'!$A$3:$B$218,2,FALSE))</f>
        <v/>
      </c>
      <c r="BU96" s="62" t="str">
        <f>IF(BU95="","",VLOOKUP(BU95,'Tech Tree Node Parameters'!$A$3:$B$218,2,FALSE))</f>
        <v/>
      </c>
      <c r="BV96" s="62"/>
      <c r="BW96" s="62"/>
      <c r="BX96" s="62"/>
      <c r="BY96" s="62"/>
      <c r="BZ96" s="62"/>
      <c r="CA96" s="62"/>
      <c r="CB96" s="62"/>
      <c r="CC96" s="62"/>
      <c r="CD96" s="62"/>
      <c r="CE96" s="62"/>
      <c r="CF96" s="62"/>
      <c r="CG96" s="62"/>
      <c r="CH96" s="62"/>
      <c r="CI96" s="62"/>
      <c r="CJ96" s="62" t="str">
        <f>IF(CJ95="","",VLOOKUP(CJ95,'Tech Tree Node Parameters'!$A$3:$B$218,2,FALSE))</f>
        <v/>
      </c>
      <c r="CK96" s="62" t="str">
        <f>IF(CK95="","",VLOOKUP(CK95,'Tech Tree Node Parameters'!$A$3:$B$218,2,FALSE))</f>
        <v/>
      </c>
      <c r="CL96" s="62" t="str">
        <f>IF(CL95="","",VLOOKUP(CL95,'Tech Tree Node Parameters'!$A$3:$B$218,2,FALSE))</f>
        <v/>
      </c>
      <c r="CM96" s="62" t="str">
        <f>IF(CM95="","",VLOOKUP(CM95,'Tech Tree Node Parameters'!$A$3:$B$218,2,FALSE))</f>
        <v/>
      </c>
      <c r="CN96" s="62" t="str">
        <f>IF(CN95="","",VLOOKUP(CN95,'Tech Tree Node Parameters'!$A$3:$B$218,2,FALSE))</f>
        <v/>
      </c>
      <c r="CO96" s="62" t="str">
        <f>IF(CO95="","",VLOOKUP(CO95,'Tech Tree Node Parameters'!$A$3:$B$218,2,FALSE))</f>
        <v/>
      </c>
      <c r="CP96" s="62" t="str">
        <f>IF(CP95="","",VLOOKUP(CP95,'Tech Tree Node Parameters'!$A$3:$B$218,2,FALSE))</f>
        <v/>
      </c>
      <c r="CQ96" s="62" t="str">
        <f>IF(CQ95="","",VLOOKUP(CQ95,'Tech Tree Node Parameters'!$A$3:$B$218,2,FALSE))</f>
        <v/>
      </c>
      <c r="CR96" s="62" t="str">
        <f>IF(CR95="","",VLOOKUP(CR95,'Tech Tree Node Parameters'!$A$3:$B$218,2,FALSE))</f>
        <v/>
      </c>
      <c r="CS96" s="62" t="str">
        <f>IF(CS95="","",VLOOKUP(CS95,'Tech Tree Node Parameters'!$A$3:$B$218,2,FALSE))</f>
        <v/>
      </c>
      <c r="CT96" s="62" t="str">
        <f>IF(CT95="","",VLOOKUP(CT95,'Tech Tree Node Parameters'!$A$3:$B$218,2,FALSE))</f>
        <v/>
      </c>
      <c r="CU96" s="62" t="str">
        <f>IF(CU95="","",VLOOKUP(CU95,'Tech Tree Node Parameters'!$A$3:$B$218,2,FALSE))</f>
        <v/>
      </c>
      <c r="CV96" s="62" t="str">
        <f>IF(CV95="","",VLOOKUP(CV95,'Tech Tree Node Parameters'!$A$3:$B$218,2,FALSE))</f>
        <v/>
      </c>
      <c r="CW96" s="62" t="str">
        <f>IF(CW95="","",VLOOKUP(CW95,'Tech Tree Node Parameters'!$A$3:$B$218,2,FALSE))</f>
        <v/>
      </c>
      <c r="CX96" s="62" t="str">
        <f>IF(CX95="","",VLOOKUP(CX95,'Tech Tree Node Parameters'!$A$3:$B$218,2,FALSE))</f>
        <v/>
      </c>
      <c r="CY96" s="36" t="str">
        <f>IF(CY95="","",VLOOKUP(CY95,'Tech Tree Node Parameters'!$A$3:$B$218,2,FALSE))</f>
        <v/>
      </c>
    </row>
    <row r="97" spans="1:103" x14ac:dyDescent="0.25">
      <c r="A97" s="72">
        <f t="shared" ref="A97" si="27">A99+1</f>
        <v>15</v>
      </c>
      <c r="B97" s="69">
        <f>B99+$D$6</f>
        <v>607</v>
      </c>
      <c r="C97" s="39"/>
      <c r="D97" s="61"/>
      <c r="E97" s="61"/>
      <c r="F97" s="61"/>
      <c r="G97" s="61"/>
      <c r="H97" s="61"/>
      <c r="I97" s="61"/>
      <c r="J97" s="61"/>
      <c r="K97" s="61"/>
      <c r="L97" s="61"/>
      <c r="M97" s="61"/>
      <c r="N97" s="61"/>
      <c r="O97" s="61"/>
      <c r="P97" s="61"/>
      <c r="Q97" s="61"/>
      <c r="R97" s="61"/>
      <c r="S97" s="61"/>
      <c r="T97" s="61"/>
      <c r="U97" s="61"/>
      <c r="V97" s="61"/>
      <c r="W97" s="61"/>
      <c r="X97" s="61"/>
      <c r="Y97" s="61"/>
      <c r="Z97" s="61"/>
      <c r="AA97" s="61"/>
      <c r="AB97" s="61"/>
      <c r="AC97" s="61"/>
      <c r="AD97" s="61"/>
      <c r="AE97" s="61"/>
      <c r="AF97" s="61"/>
      <c r="AG97" s="61"/>
      <c r="AH97" s="61"/>
      <c r="AI97" s="61"/>
      <c r="AJ97" s="61"/>
      <c r="AK97" s="61"/>
      <c r="AL97" s="61"/>
      <c r="AM97" s="61"/>
      <c r="AN97" s="61"/>
      <c r="AO97" s="61"/>
      <c r="AP97" s="61"/>
      <c r="AQ97" s="61"/>
      <c r="AR97" s="61"/>
      <c r="AS97" s="61"/>
      <c r="AT97" s="61"/>
      <c r="AU97" s="61"/>
      <c r="AV97" s="61"/>
      <c r="AW97" s="61"/>
      <c r="AX97" s="61"/>
      <c r="AY97" s="61"/>
      <c r="AZ97" s="61"/>
      <c r="BA97" s="61"/>
      <c r="BB97" s="61"/>
      <c r="BC97" s="61"/>
      <c r="BD97" s="61"/>
      <c r="BE97" s="61"/>
      <c r="BF97" s="61"/>
      <c r="BG97" s="61"/>
      <c r="BH97" s="61"/>
      <c r="BI97" s="61"/>
      <c r="BJ97" s="61"/>
      <c r="BK97" s="61"/>
      <c r="BL97" s="61"/>
      <c r="BM97" s="61"/>
      <c r="BN97" s="61"/>
      <c r="BO97" s="61"/>
      <c r="BP97" s="61"/>
      <c r="BQ97" s="61"/>
      <c r="BR97" s="61"/>
      <c r="BS97" s="61"/>
      <c r="BT97" s="61"/>
      <c r="BU97" s="61"/>
      <c r="BV97" s="61"/>
      <c r="BW97" s="61"/>
      <c r="BX97" s="61"/>
      <c r="BY97" s="61"/>
      <c r="BZ97" s="61"/>
      <c r="CA97" s="61"/>
      <c r="CB97" s="61"/>
      <c r="CC97" s="61"/>
      <c r="CD97" s="61"/>
      <c r="CE97" s="61"/>
      <c r="CF97" s="61"/>
      <c r="CG97" s="61"/>
      <c r="CH97" s="61"/>
      <c r="CI97" s="61"/>
      <c r="CJ97" s="61"/>
      <c r="CK97" s="61"/>
      <c r="CL97" s="61"/>
      <c r="CM97" s="61"/>
      <c r="CN97" s="61"/>
      <c r="CO97" s="61"/>
      <c r="CP97" s="61"/>
      <c r="CQ97" s="61"/>
      <c r="CR97" s="61"/>
      <c r="CS97" s="61"/>
      <c r="CT97" s="61"/>
      <c r="CU97" s="61"/>
      <c r="CV97" s="61"/>
      <c r="CW97" s="61"/>
      <c r="CX97" s="61"/>
      <c r="CY97" s="35"/>
    </row>
    <row r="98" spans="1:103" x14ac:dyDescent="0.25">
      <c r="A98" s="72"/>
      <c r="B98" s="70"/>
      <c r="C98" s="40"/>
      <c r="D98" s="62" t="str">
        <f>IF(D97="","",VLOOKUP(D97,'Tech Tree Node Parameters'!$A$3:$B$218,2,FALSE))</f>
        <v/>
      </c>
      <c r="E98" s="62" t="str">
        <f>IF(E97="","",VLOOKUP(E97,'Tech Tree Node Parameters'!$A$3:$B$218,2,FALSE))</f>
        <v/>
      </c>
      <c r="F98" s="62" t="str">
        <f>IF(F97="","",VLOOKUP(F97,'Tech Tree Node Parameters'!$A$3:$B$218,2,FALSE))</f>
        <v/>
      </c>
      <c r="G98" s="62" t="str">
        <f>IF(G97="","",VLOOKUP(G97,'Tech Tree Node Parameters'!$A$3:$B$218,2,FALSE))</f>
        <v/>
      </c>
      <c r="H98" s="62" t="str">
        <f>IF(H97="","",VLOOKUP(H97,'Tech Tree Node Parameters'!$A$3:$B$218,2,FALSE))</f>
        <v/>
      </c>
      <c r="I98" s="62" t="str">
        <f>IF(I97="","",VLOOKUP(I97,'Tech Tree Node Parameters'!$A$3:$B$218,2,FALSE))</f>
        <v/>
      </c>
      <c r="J98" s="62" t="str">
        <f>IF(J97="","",VLOOKUP(J97,'Tech Tree Node Parameters'!$A$3:$B$218,2,FALSE))</f>
        <v/>
      </c>
      <c r="K98" s="62" t="str">
        <f>IF(K97="","",VLOOKUP(K97,'Tech Tree Node Parameters'!$A$3:$B$218,2,FALSE))</f>
        <v/>
      </c>
      <c r="L98" s="62" t="str">
        <f>IF(L97="","",VLOOKUP(L97,'Tech Tree Node Parameters'!$A$3:$B$218,2,FALSE))</f>
        <v/>
      </c>
      <c r="M98" s="62" t="str">
        <f>IF(M97="","",VLOOKUP(M97,'Tech Tree Node Parameters'!$A$3:$B$218,2,FALSE))</f>
        <v/>
      </c>
      <c r="N98" s="62" t="str">
        <f>IF(N97="","",VLOOKUP(N97,'Tech Tree Node Parameters'!$A$3:$B$218,2,FALSE))</f>
        <v/>
      </c>
      <c r="O98" s="62" t="str">
        <f>IF(O97="","",VLOOKUP(O97,'Tech Tree Node Parameters'!$A$3:$B$218,2,FALSE))</f>
        <v/>
      </c>
      <c r="P98" s="62" t="str">
        <f>IF(P97="","",VLOOKUP(P97,'Tech Tree Node Parameters'!$A$3:$B$218,2,FALSE))</f>
        <v/>
      </c>
      <c r="Q98" s="62" t="str">
        <f>IF(Q97="","",VLOOKUP(Q97,'Tech Tree Node Parameters'!$A$3:$B$218,2,FALSE))</f>
        <v/>
      </c>
      <c r="R98" s="62" t="str">
        <f>IF(R97="","",VLOOKUP(R97,'Tech Tree Node Parameters'!$A$3:$B$218,2,FALSE))</f>
        <v/>
      </c>
      <c r="S98" s="62" t="str">
        <f>IF(S97="","",VLOOKUP(S97,'Tech Tree Node Parameters'!$A$3:$B$218,2,FALSE))</f>
        <v/>
      </c>
      <c r="T98" s="62" t="str">
        <f>IF(T97="","",VLOOKUP(T97,'Tech Tree Node Parameters'!$A$3:$B$218,2,FALSE))</f>
        <v/>
      </c>
      <c r="U98" s="62" t="str">
        <f>IF(U97="","",VLOOKUP(U97,'Tech Tree Node Parameters'!$A$3:$B$218,2,FALSE))</f>
        <v/>
      </c>
      <c r="V98" s="62" t="str">
        <f>IF(V97="","",VLOOKUP(V97,'Tech Tree Node Parameters'!$A$3:$B$218,2,FALSE))</f>
        <v/>
      </c>
      <c r="W98" s="62" t="str">
        <f>IF(W97="","",VLOOKUP(W97,'Tech Tree Node Parameters'!$A$3:$B$218,2,FALSE))</f>
        <v/>
      </c>
      <c r="X98" s="62" t="str">
        <f>IF(X97="","",VLOOKUP(X97,'Tech Tree Node Parameters'!$A$3:$B$218,2,FALSE))</f>
        <v/>
      </c>
      <c r="Y98" s="62" t="str">
        <f>IF(Y97="","",VLOOKUP(Y97,'Tech Tree Node Parameters'!$A$3:$B$218,2,FALSE))</f>
        <v/>
      </c>
      <c r="Z98" s="62" t="str">
        <f>IF(Z97="","",VLOOKUP(Z97,'Tech Tree Node Parameters'!$A$3:$B$218,2,FALSE))</f>
        <v/>
      </c>
      <c r="AA98" s="62" t="str">
        <f>IF(AA97="","",VLOOKUP(AA97,'Tech Tree Node Parameters'!$A$3:$B$218,2,FALSE))</f>
        <v/>
      </c>
      <c r="AB98" s="62" t="str">
        <f>IF(AB97="","",VLOOKUP(AB97,'Tech Tree Node Parameters'!$A$3:$B$218,2,FALSE))</f>
        <v/>
      </c>
      <c r="AC98" s="62" t="str">
        <f>IF(AC97="","",VLOOKUP(AC97,'Tech Tree Node Parameters'!$A$3:$B$218,2,FALSE))</f>
        <v/>
      </c>
      <c r="AD98" s="62" t="str">
        <f>IF(AD97="","",VLOOKUP(AD97,'Tech Tree Node Parameters'!$A$3:$B$218,2,FALSE))</f>
        <v/>
      </c>
      <c r="AE98" s="62" t="str">
        <f>IF(AE97="","",VLOOKUP(AE97,'Tech Tree Node Parameters'!$A$3:$B$218,2,FALSE))</f>
        <v/>
      </c>
      <c r="AF98" s="62" t="str">
        <f>IF(AF97="","",VLOOKUP(AF97,'Tech Tree Node Parameters'!$A$3:$B$218,2,FALSE))</f>
        <v/>
      </c>
      <c r="AG98" s="62" t="str">
        <f>IF(AG97="","",VLOOKUP(AG97,'Tech Tree Node Parameters'!$A$3:$B$218,2,FALSE))</f>
        <v/>
      </c>
      <c r="AH98" s="62" t="str">
        <f>IF(AH97="","",VLOOKUP(AH97,'Tech Tree Node Parameters'!$A$3:$B$218,2,FALSE))</f>
        <v/>
      </c>
      <c r="AI98" s="62" t="str">
        <f>IF(AI97="","",VLOOKUP(AI97,'Tech Tree Node Parameters'!$A$3:$B$218,2,FALSE))</f>
        <v/>
      </c>
      <c r="AJ98" s="62" t="str">
        <f>IF(AJ97="","",VLOOKUP(AJ97,'Tech Tree Node Parameters'!$A$3:$B$218,2,FALSE))</f>
        <v/>
      </c>
      <c r="AK98" s="62" t="str">
        <f>IF(AK97="","",VLOOKUP(AK97,'Tech Tree Node Parameters'!$A$3:$B$218,2,FALSE))</f>
        <v/>
      </c>
      <c r="AL98" s="62" t="str">
        <f>IF(AL97="","",VLOOKUP(AL97,'Tech Tree Node Parameters'!$A$3:$B$218,2,FALSE))</f>
        <v/>
      </c>
      <c r="AM98" s="62" t="str">
        <f>IF(AM97="","",VLOOKUP(AM97,'Tech Tree Node Parameters'!$A$3:$B$218,2,FALSE))</f>
        <v/>
      </c>
      <c r="AN98" s="62" t="str">
        <f>IF(AN97="","",VLOOKUP(AN97,'Tech Tree Node Parameters'!$A$3:$B$218,2,FALSE))</f>
        <v/>
      </c>
      <c r="AO98" s="62" t="str">
        <f>IF(AO97="","",VLOOKUP(AO97,'Tech Tree Node Parameters'!$A$3:$B$218,2,FALSE))</f>
        <v/>
      </c>
      <c r="AP98" s="62" t="str">
        <f>IF(AP97="","",VLOOKUP(AP97,'Tech Tree Node Parameters'!$A$3:$B$218,2,FALSE))</f>
        <v/>
      </c>
      <c r="AQ98" s="62" t="str">
        <f>IF(AQ97="","",VLOOKUP(AQ97,'Tech Tree Node Parameters'!$A$3:$B$218,2,FALSE))</f>
        <v/>
      </c>
      <c r="AR98" s="62" t="str">
        <f>IF(AR97="","",VLOOKUP(AR97,'Tech Tree Node Parameters'!$A$3:$B$218,2,FALSE))</f>
        <v/>
      </c>
      <c r="AS98" s="62" t="str">
        <f>IF(AS97="","",VLOOKUP(AS97,'Tech Tree Node Parameters'!$A$3:$B$218,2,FALSE))</f>
        <v/>
      </c>
      <c r="AT98" s="62" t="str">
        <f>IF(AT97="","",VLOOKUP(AT97,'Tech Tree Node Parameters'!$A$3:$B$218,2,FALSE))</f>
        <v/>
      </c>
      <c r="AU98" s="62" t="str">
        <f>IF(AU97="","",VLOOKUP(AU97,'Tech Tree Node Parameters'!$A$3:$B$218,2,FALSE))</f>
        <v/>
      </c>
      <c r="AV98" s="62" t="str">
        <f>IF(AV97="","",VLOOKUP(AV97,'Tech Tree Node Parameters'!$A$3:$B$218,2,FALSE))</f>
        <v/>
      </c>
      <c r="AW98" s="62" t="str">
        <f>IF(AW97="","",VLOOKUP(AW97,'Tech Tree Node Parameters'!$A$3:$B$218,2,FALSE))</f>
        <v/>
      </c>
      <c r="AX98" s="62" t="str">
        <f>IF(AX97="","",VLOOKUP(AX97,'Tech Tree Node Parameters'!$A$3:$B$218,2,FALSE))</f>
        <v/>
      </c>
      <c r="AY98" s="62" t="str">
        <f>IF(AY97="","",VLOOKUP(AY97,'Tech Tree Node Parameters'!$A$3:$B$218,2,FALSE))</f>
        <v/>
      </c>
      <c r="AZ98" s="62" t="str">
        <f>IF(AZ97="","",VLOOKUP(AZ97,'Tech Tree Node Parameters'!$A$3:$B$218,2,FALSE))</f>
        <v/>
      </c>
      <c r="BA98" s="62" t="str">
        <f>IF(BA97="","",VLOOKUP(BA97,'Tech Tree Node Parameters'!$A$3:$B$218,2,FALSE))</f>
        <v/>
      </c>
      <c r="BB98" s="62" t="str">
        <f>IF(BB97="","",VLOOKUP(BB97,'Tech Tree Node Parameters'!$A$3:$B$218,2,FALSE))</f>
        <v/>
      </c>
      <c r="BC98" s="62" t="str">
        <f>IF(BC97="","",VLOOKUP(BC97,'Tech Tree Node Parameters'!$A$3:$B$218,2,FALSE))</f>
        <v/>
      </c>
      <c r="BD98" s="62" t="str">
        <f>IF(BD97="","",VLOOKUP(BD97,'Tech Tree Node Parameters'!$A$3:$B$218,2,FALSE))</f>
        <v/>
      </c>
      <c r="BE98" s="62" t="str">
        <f>IF(BE97="","",VLOOKUP(BE97,'Tech Tree Node Parameters'!$A$3:$B$218,2,FALSE))</f>
        <v/>
      </c>
      <c r="BF98" s="62" t="str">
        <f>IF(BF97="","",VLOOKUP(BF97,'Tech Tree Node Parameters'!$A$3:$B$218,2,FALSE))</f>
        <v/>
      </c>
      <c r="BG98" s="62" t="str">
        <f>IF(BG97="","",VLOOKUP(BG97,'Tech Tree Node Parameters'!$A$3:$B$218,2,FALSE))</f>
        <v/>
      </c>
      <c r="BH98" s="62" t="str">
        <f>IF(BH97="","",VLOOKUP(BH97,'Tech Tree Node Parameters'!$A$3:$B$218,2,FALSE))</f>
        <v/>
      </c>
      <c r="BI98" s="62" t="str">
        <f>IF(BI97="","",VLOOKUP(BI97,'Tech Tree Node Parameters'!$A$3:$B$218,2,FALSE))</f>
        <v/>
      </c>
      <c r="BJ98" s="62" t="str">
        <f>IF(BJ97="","",VLOOKUP(BJ97,'Tech Tree Node Parameters'!$A$3:$B$218,2,FALSE))</f>
        <v/>
      </c>
      <c r="BK98" s="62" t="str">
        <f>IF(BK97="","",VLOOKUP(BK97,'Tech Tree Node Parameters'!$A$3:$B$218,2,FALSE))</f>
        <v/>
      </c>
      <c r="BL98" s="62" t="str">
        <f>IF(BL97="","",VLOOKUP(BL97,'Tech Tree Node Parameters'!$A$3:$B$218,2,FALSE))</f>
        <v/>
      </c>
      <c r="BM98" s="62" t="str">
        <f>IF(BM97="","",VLOOKUP(BM97,'Tech Tree Node Parameters'!$A$3:$B$218,2,FALSE))</f>
        <v/>
      </c>
      <c r="BN98" s="62" t="str">
        <f>IF(BN97="","",VLOOKUP(BN97,'Tech Tree Node Parameters'!$A$3:$B$218,2,FALSE))</f>
        <v/>
      </c>
      <c r="BO98" s="62" t="str">
        <f>IF(BO97="","",VLOOKUP(BO97,'Tech Tree Node Parameters'!$A$3:$B$218,2,FALSE))</f>
        <v/>
      </c>
      <c r="BP98" s="62" t="str">
        <f>IF(BP97="","",VLOOKUP(BP97,'Tech Tree Node Parameters'!$A$3:$B$218,2,FALSE))</f>
        <v/>
      </c>
      <c r="BQ98" s="62" t="str">
        <f>IF(BQ97="","",VLOOKUP(BQ97,'Tech Tree Node Parameters'!$A$3:$B$218,2,FALSE))</f>
        <v/>
      </c>
      <c r="BR98" s="62" t="str">
        <f>IF(BR97="","",VLOOKUP(BR97,'Tech Tree Node Parameters'!$A$3:$B$218,2,FALSE))</f>
        <v/>
      </c>
      <c r="BS98" s="62" t="str">
        <f>IF(BS97="","",VLOOKUP(BS97,'Tech Tree Node Parameters'!$A$3:$B$218,2,FALSE))</f>
        <v/>
      </c>
      <c r="BT98" s="62" t="str">
        <f>IF(BT97="","",VLOOKUP(BT97,'Tech Tree Node Parameters'!$A$3:$B$218,2,FALSE))</f>
        <v/>
      </c>
      <c r="BU98" s="62" t="str">
        <f>IF(BU97="","",VLOOKUP(BU97,'Tech Tree Node Parameters'!$A$3:$B$218,2,FALSE))</f>
        <v/>
      </c>
      <c r="BV98" s="62"/>
      <c r="BW98" s="62"/>
      <c r="BX98" s="62"/>
      <c r="BY98" s="62"/>
      <c r="BZ98" s="62"/>
      <c r="CA98" s="62"/>
      <c r="CB98" s="62"/>
      <c r="CC98" s="62"/>
      <c r="CD98" s="62"/>
      <c r="CE98" s="62"/>
      <c r="CF98" s="62"/>
      <c r="CG98" s="62"/>
      <c r="CH98" s="62"/>
      <c r="CI98" s="62"/>
      <c r="CJ98" s="62" t="str">
        <f>IF(CJ97="","",VLOOKUP(CJ97,'Tech Tree Node Parameters'!$A$3:$B$218,2,FALSE))</f>
        <v/>
      </c>
      <c r="CK98" s="62" t="str">
        <f>IF(CK97="","",VLOOKUP(CK97,'Tech Tree Node Parameters'!$A$3:$B$218,2,FALSE))</f>
        <v/>
      </c>
      <c r="CL98" s="62" t="str">
        <f>IF(CL97="","",VLOOKUP(CL97,'Tech Tree Node Parameters'!$A$3:$B$218,2,FALSE))</f>
        <v/>
      </c>
      <c r="CM98" s="62" t="str">
        <f>IF(CM97="","",VLOOKUP(CM97,'Tech Tree Node Parameters'!$A$3:$B$218,2,FALSE))</f>
        <v/>
      </c>
      <c r="CN98" s="62" t="str">
        <f>IF(CN97="","",VLOOKUP(CN97,'Tech Tree Node Parameters'!$A$3:$B$218,2,FALSE))</f>
        <v/>
      </c>
      <c r="CO98" s="62" t="str">
        <f>IF(CO97="","",VLOOKUP(CO97,'Tech Tree Node Parameters'!$A$3:$B$218,2,FALSE))</f>
        <v/>
      </c>
      <c r="CP98" s="62" t="str">
        <f>IF(CP97="","",VLOOKUP(CP97,'Tech Tree Node Parameters'!$A$3:$B$218,2,FALSE))</f>
        <v/>
      </c>
      <c r="CQ98" s="62" t="str">
        <f>IF(CQ97="","",VLOOKUP(CQ97,'Tech Tree Node Parameters'!$A$3:$B$218,2,FALSE))</f>
        <v/>
      </c>
      <c r="CR98" s="62" t="str">
        <f>IF(CR97="","",VLOOKUP(CR97,'Tech Tree Node Parameters'!$A$3:$B$218,2,FALSE))</f>
        <v/>
      </c>
      <c r="CS98" s="62" t="str">
        <f>IF(CS97="","",VLOOKUP(CS97,'Tech Tree Node Parameters'!$A$3:$B$218,2,FALSE))</f>
        <v/>
      </c>
      <c r="CT98" s="62" t="str">
        <f>IF(CT97="","",VLOOKUP(CT97,'Tech Tree Node Parameters'!$A$3:$B$218,2,FALSE))</f>
        <v/>
      </c>
      <c r="CU98" s="62" t="str">
        <f>IF(CU97="","",VLOOKUP(CU97,'Tech Tree Node Parameters'!$A$3:$B$218,2,FALSE))</f>
        <v/>
      </c>
      <c r="CV98" s="62" t="str">
        <f>IF(CV97="","",VLOOKUP(CV97,'Tech Tree Node Parameters'!$A$3:$B$218,2,FALSE))</f>
        <v/>
      </c>
      <c r="CW98" s="62" t="str">
        <f>IF(CW97="","",VLOOKUP(CW97,'Tech Tree Node Parameters'!$A$3:$B$218,2,FALSE))</f>
        <v/>
      </c>
      <c r="CX98" s="62" t="str">
        <f>IF(CX97="","",VLOOKUP(CX97,'Tech Tree Node Parameters'!$A$3:$B$218,2,FALSE))</f>
        <v/>
      </c>
      <c r="CY98" s="36" t="str">
        <f>IF(CY97="","",VLOOKUP(CY97,'Tech Tree Node Parameters'!$A$3:$B$218,2,FALSE))</f>
        <v/>
      </c>
    </row>
    <row r="99" spans="1:103" x14ac:dyDescent="0.25">
      <c r="A99" s="72">
        <f t="shared" ref="A99" si="28">A101+1</f>
        <v>14</v>
      </c>
      <c r="B99" s="69">
        <f>B101+$D$6</f>
        <v>569</v>
      </c>
      <c r="C99" s="39"/>
      <c r="D99" s="61"/>
      <c r="E99" s="61"/>
      <c r="F99" s="61"/>
      <c r="G99" s="61"/>
      <c r="H99" s="61"/>
      <c r="I99" s="61"/>
      <c r="J99" s="61"/>
      <c r="K99" s="61"/>
      <c r="L99" s="61"/>
      <c r="M99" s="61"/>
      <c r="N99" s="61"/>
      <c r="O99" s="61"/>
      <c r="P99" s="61"/>
      <c r="Q99" s="61"/>
      <c r="R99" s="61"/>
      <c r="S99" s="61"/>
      <c r="T99" s="61"/>
      <c r="U99" s="61"/>
      <c r="V99" s="61"/>
      <c r="W99" s="61"/>
      <c r="X99" s="61"/>
      <c r="Y99" s="61"/>
      <c r="Z99" s="61"/>
      <c r="AA99" s="61"/>
      <c r="AB99" s="61"/>
      <c r="AC99" s="61"/>
      <c r="AD99" s="61"/>
      <c r="AE99" s="61"/>
      <c r="AF99" s="61"/>
      <c r="AG99" s="61"/>
      <c r="AH99" s="61"/>
      <c r="AI99" s="61"/>
      <c r="AJ99" s="61"/>
      <c r="AK99" s="61"/>
      <c r="AL99" s="61"/>
      <c r="AM99" s="61"/>
      <c r="AN99" s="61"/>
      <c r="AO99" s="61"/>
      <c r="AP99" s="61"/>
      <c r="AQ99" s="61" t="s">
        <v>408</v>
      </c>
      <c r="AR99" s="61"/>
      <c r="AS99" s="61" t="s">
        <v>501</v>
      </c>
      <c r="AT99" s="61"/>
      <c r="AU99" s="61" t="s">
        <v>130</v>
      </c>
      <c r="AV99" s="61"/>
      <c r="AW99" s="61" t="s">
        <v>113</v>
      </c>
      <c r="AX99" s="61"/>
      <c r="AY99" s="61" t="s">
        <v>477</v>
      </c>
      <c r="AZ99" s="61"/>
      <c r="BB99" s="61"/>
      <c r="BC99" s="61"/>
      <c r="BD99" s="61"/>
      <c r="BE99" s="61" t="s">
        <v>45</v>
      </c>
      <c r="BF99" s="61"/>
      <c r="BG99" s="61" t="s">
        <v>6</v>
      </c>
      <c r="BH99" s="61"/>
      <c r="BI99" s="61" t="s">
        <v>8</v>
      </c>
      <c r="BJ99" s="61"/>
      <c r="BK99" s="61" t="s">
        <v>109</v>
      </c>
      <c r="BL99" s="61"/>
      <c r="BM99" s="61" t="s">
        <v>46</v>
      </c>
      <c r="BN99" s="61"/>
      <c r="BO99" s="61"/>
      <c r="BP99" s="61"/>
      <c r="BQ99" s="61"/>
      <c r="BR99" s="61"/>
      <c r="BS99" s="61"/>
      <c r="BT99" s="61"/>
      <c r="BU99" s="61"/>
      <c r="BV99" s="61"/>
      <c r="BW99" s="61"/>
      <c r="BX99" s="61"/>
      <c r="BY99" s="61"/>
      <c r="BZ99" s="61"/>
      <c r="CA99" s="61"/>
      <c r="CB99" s="61"/>
      <c r="CC99" s="61"/>
      <c r="CD99" s="61"/>
      <c r="CE99" s="61"/>
      <c r="CF99" s="61"/>
      <c r="CG99" s="61"/>
      <c r="CH99" s="61"/>
      <c r="CI99" s="61"/>
      <c r="CJ99" s="61"/>
      <c r="CK99" s="61"/>
      <c r="CL99" s="61"/>
      <c r="CM99" s="61"/>
      <c r="CN99" s="61"/>
      <c r="CO99" s="61"/>
      <c r="CP99" s="61"/>
      <c r="CQ99" s="61"/>
      <c r="CR99" s="61"/>
      <c r="CS99" s="61"/>
      <c r="CT99" s="61"/>
      <c r="CU99" s="61"/>
      <c r="CV99" s="61"/>
      <c r="CW99" s="61"/>
      <c r="CX99" s="61"/>
      <c r="CY99" s="35"/>
    </row>
    <row r="100" spans="1:103" x14ac:dyDescent="0.25">
      <c r="A100" s="72"/>
      <c r="B100" s="70"/>
      <c r="C100" s="40"/>
      <c r="D100" s="62" t="str">
        <f>IF(D99="","",VLOOKUP(D99,'Tech Tree Node Parameters'!$A$3:$B$218,2,FALSE))</f>
        <v/>
      </c>
      <c r="E100" s="62" t="str">
        <f>IF(E99="","",VLOOKUP(E99,'Tech Tree Node Parameters'!$A$3:$B$218,2,FALSE))</f>
        <v/>
      </c>
      <c r="F100" s="62" t="str">
        <f>IF(F99="","",VLOOKUP(F99,'Tech Tree Node Parameters'!$A$3:$B$218,2,FALSE))</f>
        <v/>
      </c>
      <c r="G100" s="62" t="str">
        <f>IF(G99="","",VLOOKUP(G99,'Tech Tree Node Parameters'!$A$3:$B$218,2,FALSE))</f>
        <v/>
      </c>
      <c r="H100" s="62" t="str">
        <f>IF(H99="","",VLOOKUP(H99,'Tech Tree Node Parameters'!$A$3:$B$218,2,FALSE))</f>
        <v/>
      </c>
      <c r="I100" s="62" t="str">
        <f>IF(I99="","",VLOOKUP(I99,'Tech Tree Node Parameters'!$A$3:$B$218,2,FALSE))</f>
        <v/>
      </c>
      <c r="J100" s="62" t="str">
        <f>IF(J99="","",VLOOKUP(J99,'Tech Tree Node Parameters'!$A$3:$B$218,2,FALSE))</f>
        <v/>
      </c>
      <c r="K100" s="62" t="str">
        <f>IF(K99="","",VLOOKUP(K99,'Tech Tree Node Parameters'!$A$3:$B$218,2,FALSE))</f>
        <v/>
      </c>
      <c r="L100" s="62" t="str">
        <f>IF(L99="","",VLOOKUP(L99,'Tech Tree Node Parameters'!$A$3:$B$218,2,FALSE))</f>
        <v/>
      </c>
      <c r="M100" s="62" t="str">
        <f>IF(M99="","",VLOOKUP(M99,'Tech Tree Node Parameters'!$A$3:$B$218,2,FALSE))</f>
        <v/>
      </c>
      <c r="N100" s="62" t="str">
        <f>IF(N99="","",VLOOKUP(N99,'Tech Tree Node Parameters'!$A$3:$B$218,2,FALSE))</f>
        <v/>
      </c>
      <c r="O100" s="62" t="str">
        <f>IF(O99="","",VLOOKUP(O99,'Tech Tree Node Parameters'!$A$3:$B$218,2,FALSE))</f>
        <v/>
      </c>
      <c r="P100" s="62" t="str">
        <f>IF(P99="","",VLOOKUP(P99,'Tech Tree Node Parameters'!$A$3:$B$218,2,FALSE))</f>
        <v/>
      </c>
      <c r="Q100" s="62" t="str">
        <f>IF(Q99="","",VLOOKUP(Q99,'Tech Tree Node Parameters'!$A$3:$B$218,2,FALSE))</f>
        <v/>
      </c>
      <c r="R100" s="62" t="str">
        <f>IF(R99="","",VLOOKUP(R99,'Tech Tree Node Parameters'!$A$3:$B$218,2,FALSE))</f>
        <v/>
      </c>
      <c r="S100" s="62" t="str">
        <f>IF(S99="","",VLOOKUP(S99,'Tech Tree Node Parameters'!$A$3:$B$218,2,FALSE))</f>
        <v/>
      </c>
      <c r="T100" s="62" t="str">
        <f>IF(T99="","",VLOOKUP(T99,'Tech Tree Node Parameters'!$A$3:$B$218,2,FALSE))</f>
        <v/>
      </c>
      <c r="U100" s="62" t="str">
        <f>IF(U99="","",VLOOKUP(U99,'Tech Tree Node Parameters'!$A$3:$B$218,2,FALSE))</f>
        <v/>
      </c>
      <c r="V100" s="62" t="str">
        <f>IF(V99="","",VLOOKUP(V99,'Tech Tree Node Parameters'!$A$3:$B$218,2,FALSE))</f>
        <v/>
      </c>
      <c r="W100" s="62" t="str">
        <f>IF(W99="","",VLOOKUP(W99,'Tech Tree Node Parameters'!$A$3:$B$218,2,FALSE))</f>
        <v/>
      </c>
      <c r="X100" s="62" t="str">
        <f>IF(X99="","",VLOOKUP(X99,'Tech Tree Node Parameters'!$A$3:$B$218,2,FALSE))</f>
        <v/>
      </c>
      <c r="Y100" s="62" t="str">
        <f>IF(Y99="","",VLOOKUP(Y99,'Tech Tree Node Parameters'!$A$3:$B$218,2,FALSE))</f>
        <v/>
      </c>
      <c r="Z100" s="62" t="str">
        <f>IF(Z99="","",VLOOKUP(Z99,'Tech Tree Node Parameters'!$A$3:$B$218,2,FALSE))</f>
        <v/>
      </c>
      <c r="AA100" s="62" t="str">
        <f>IF(AA99="","",VLOOKUP(AA99,'Tech Tree Node Parameters'!$A$3:$B$218,2,FALSE))</f>
        <v/>
      </c>
      <c r="AB100" s="62" t="str">
        <f>IF(AB99="","",VLOOKUP(AB99,'Tech Tree Node Parameters'!$A$3:$B$218,2,FALSE))</f>
        <v/>
      </c>
      <c r="AC100" s="62" t="str">
        <f>IF(AC99="","",VLOOKUP(AC99,'Tech Tree Node Parameters'!$A$3:$B$218,2,FALSE))</f>
        <v/>
      </c>
      <c r="AD100" s="62" t="str">
        <f>IF(AD99="","",VLOOKUP(AD99,'Tech Tree Node Parameters'!$A$3:$B$218,2,FALSE))</f>
        <v/>
      </c>
      <c r="AE100" s="62" t="str">
        <f>IF(AE99="","",VLOOKUP(AE99,'Tech Tree Node Parameters'!$A$3:$B$218,2,FALSE))</f>
        <v/>
      </c>
      <c r="AF100" s="62" t="str">
        <f>IF(AF99="","",VLOOKUP(AF99,'Tech Tree Node Parameters'!$A$3:$B$218,2,FALSE))</f>
        <v/>
      </c>
      <c r="AG100" s="62" t="str">
        <f>IF(AG99="","",VLOOKUP(AG99,'Tech Tree Node Parameters'!$A$3:$B$218,2,FALSE))</f>
        <v/>
      </c>
      <c r="AH100" s="62" t="str">
        <f>IF(AH99="","",VLOOKUP(AH99,'Tech Tree Node Parameters'!$A$3:$B$218,2,FALSE))</f>
        <v/>
      </c>
      <c r="AI100" s="62" t="str">
        <f>IF(AI99="","",VLOOKUP(AI99,'Tech Tree Node Parameters'!$A$3:$B$218,2,FALSE))</f>
        <v/>
      </c>
      <c r="AJ100" s="62" t="str">
        <f>IF(AJ99="","",VLOOKUP(AJ99,'Tech Tree Node Parameters'!$A$3:$B$218,2,FALSE))</f>
        <v/>
      </c>
      <c r="AK100" s="62" t="str">
        <f>IF(AK99="","",VLOOKUP(AK99,'Tech Tree Node Parameters'!$A$3:$B$218,2,FALSE))</f>
        <v/>
      </c>
      <c r="AL100" s="62" t="str">
        <f>IF(AL99="","",VLOOKUP(AL99,'Tech Tree Node Parameters'!$A$3:$B$218,2,FALSE))</f>
        <v/>
      </c>
      <c r="AM100" s="62" t="str">
        <f>IF(AM99="","",VLOOKUP(AM99,'Tech Tree Node Parameters'!$A$3:$B$218,2,FALSE))</f>
        <v/>
      </c>
      <c r="AN100" s="62" t="str">
        <f>IF(AN99="","",VLOOKUP(AN99,'Tech Tree Node Parameters'!$A$3:$B$218,2,FALSE))</f>
        <v/>
      </c>
      <c r="AO100" s="62" t="str">
        <f>IF(AO99="","",VLOOKUP(AO99,'Tech Tree Node Parameters'!$A$3:$B$218,2,FALSE))</f>
        <v/>
      </c>
      <c r="AP100" s="62" t="str">
        <f>IF(AP99="","",VLOOKUP(AP99,'Tech Tree Node Parameters'!$A$3:$B$218,2,FALSE))</f>
        <v/>
      </c>
      <c r="AQ100" s="62" t="str">
        <f>IF(AQ99="","",VLOOKUP(AQ99,'Tech Tree Node Parameters'!$A$3:$B$218,2,FALSE))</f>
        <v>32-bit Computing</v>
      </c>
      <c r="AR100" s="62" t="str">
        <f>IF(AR99="","",VLOOKUP(AR99,'Tech Tree Node Parameters'!$A$3:$B$218,2,FALSE))</f>
        <v/>
      </c>
      <c r="AS100" s="62" t="str">
        <f>IF(AS99="","",VLOOKUP(AS99,'Tech Tree Node Parameters'!$A$3:$B$218,2,FALSE))</f>
        <v>Long Range Antennas</v>
      </c>
      <c r="AT100" s="62" t="str">
        <f>IF(AT99="","",VLOOKUP(AT99,'Tech Tree Node Parameters'!$A$3:$B$218,2,FALSE))</f>
        <v/>
      </c>
      <c r="AU100" s="62" t="str">
        <f>IF(AU99="","",VLOOKUP(AU99,'Tech Tree Node Parameters'!$A$3:$B$218,2,FALSE))</f>
        <v>Advanced Photovoltaic Materials</v>
      </c>
      <c r="AV100" s="62" t="str">
        <f>IF(AV99="","",VLOOKUP(AV99,'Tech Tree Node Parameters'!$A$3:$B$218,2,FALSE))</f>
        <v/>
      </c>
      <c r="AW100" s="62" t="str">
        <f>IF(AW99="","",VLOOKUP(AW99,'Tech Tree Node Parameters'!$A$3:$B$218,2,FALSE))</f>
        <v>Lithium Ion Batteries</v>
      </c>
      <c r="AX100" s="62" t="str">
        <f>IF(AX99="","",VLOOKUP(AX99,'Tech Tree Node Parameters'!$A$3:$B$218,2,FALSE))</f>
        <v/>
      </c>
      <c r="AY100" s="62" t="str">
        <f>IF(AY99="","",VLOOKUP(AY99,'Tech Tree Node Parameters'!$A$3:$B$218,2,FALSE))</f>
        <v>Electric Propulsion</v>
      </c>
      <c r="AZ100" s="62" t="str">
        <f>IF(AZ99="","",VLOOKUP(AZ99,'Tech Tree Node Parameters'!$A$3:$B$218,2,FALSE))</f>
        <v/>
      </c>
      <c r="BA100" s="62" t="str">
        <f>IF(BA99="","",VLOOKUP(BA99,'Tech Tree Node Parameters'!$A$3:$B$218,2,FALSE))</f>
        <v/>
      </c>
      <c r="BB100" s="62" t="str">
        <f>IF(BB99="","",VLOOKUP(BB99,'Tech Tree Node Parameters'!$A$3:$B$218,2,FALSE))</f>
        <v/>
      </c>
      <c r="BC100" s="62" t="str">
        <f>IF(BC99="","",VLOOKUP(BC99,'Tech Tree Node Parameters'!$A$3:$B$218,2,FALSE))</f>
        <v/>
      </c>
      <c r="BD100" s="62" t="str">
        <f>IF(BD99="","",VLOOKUP(BD99,'Tech Tree Node Parameters'!$A$3:$B$218,2,FALSE))</f>
        <v/>
      </c>
      <c r="BE100" s="62" t="str">
        <f>IF(BE99="","",VLOOKUP(BE99,'Tech Tree Node Parameters'!$A$3:$B$218,2,FALSE))</f>
        <v>Experimental Science</v>
      </c>
      <c r="BF100" s="62" t="str">
        <f>IF(BF99="","",VLOOKUP(BF99,'Tech Tree Node Parameters'!$A$3:$B$218,2,FALSE))</f>
        <v/>
      </c>
      <c r="BG100" s="62" t="str">
        <f>IF(BG99="","",VLOOKUP(BG99,'Tech Tree Node Parameters'!$A$3:$B$218,2,FALSE))</f>
        <v>Long-term Science Tech</v>
      </c>
      <c r="BH100" s="62" t="str">
        <f>IF(BH99="","",VLOOKUP(BH99,'Tech Tree Node Parameters'!$A$3:$B$218,2,FALSE))</f>
        <v/>
      </c>
      <c r="BI100" s="62" t="str">
        <f>IF(BI99="","",VLOOKUP(BI99,'Tech Tree Node Parameters'!$A$3:$B$218,2,FALSE))</f>
        <v>Scientific Outposts</v>
      </c>
      <c r="BJ100" s="62" t="str">
        <f>IF(BJ99="","",VLOOKUP(BJ99,'Tech Tree Node Parameters'!$A$3:$B$218,2,FALSE))</f>
        <v/>
      </c>
      <c r="BK100" s="62" t="str">
        <f>IF(BK99="","",VLOOKUP(BK99,'Tech Tree Node Parameters'!$A$3:$B$218,2,FALSE))</f>
        <v>Early Recyclers</v>
      </c>
      <c r="BL100" s="62" t="str">
        <f>IF(BL99="","",VLOOKUP(BL99,'Tech Tree Node Parameters'!$A$3:$B$218,2,FALSE))</f>
        <v/>
      </c>
      <c r="BM100" s="62" t="s">
        <v>1342</v>
      </c>
      <c r="BN100" s="62" t="str">
        <f>IF(BN99="","",VLOOKUP(BN99,'Tech Tree Node Parameters'!$A$3:$B$218,2,FALSE))</f>
        <v/>
      </c>
      <c r="BO100" s="62" t="str">
        <f>IF(BO99="","",VLOOKUP(BO99,'Tech Tree Node Parameters'!$A$3:$B$218,2,FALSE))</f>
        <v/>
      </c>
      <c r="BP100" s="62" t="str">
        <f>IF(BP99="","",VLOOKUP(BP99,'Tech Tree Node Parameters'!$A$3:$B$218,2,FALSE))</f>
        <v/>
      </c>
      <c r="BQ100" s="62" t="str">
        <f>IF(BQ99="","",VLOOKUP(BQ99,'Tech Tree Node Parameters'!$A$3:$B$218,2,FALSE))</f>
        <v/>
      </c>
      <c r="BR100" s="62" t="str">
        <f>IF(BR99="","",VLOOKUP(BR99,'Tech Tree Node Parameters'!$A$3:$B$218,2,FALSE))</f>
        <v/>
      </c>
      <c r="BS100" s="62" t="str">
        <f>IF(BS99="","",VLOOKUP(BS99,'Tech Tree Node Parameters'!$A$3:$B$218,2,FALSE))</f>
        <v/>
      </c>
      <c r="BT100" s="62" t="str">
        <f>IF(BT99="","",VLOOKUP(BT99,'Tech Tree Node Parameters'!$A$3:$B$218,2,FALSE))</f>
        <v/>
      </c>
      <c r="BU100" s="62" t="str">
        <f>IF(BU99="","",VLOOKUP(BU99,'Tech Tree Node Parameters'!$A$3:$B$218,2,FALSE))</f>
        <v/>
      </c>
      <c r="BV100" s="62"/>
      <c r="BW100" s="62"/>
      <c r="BX100" s="62"/>
      <c r="BY100" s="62"/>
      <c r="BZ100" s="62"/>
      <c r="CA100" s="62"/>
      <c r="CB100" s="62"/>
      <c r="CC100" s="62"/>
      <c r="CD100" s="62"/>
      <c r="CE100" s="62"/>
      <c r="CF100" s="62"/>
      <c r="CG100" s="62"/>
      <c r="CH100" s="62"/>
      <c r="CI100" s="62"/>
      <c r="CJ100" s="62" t="str">
        <f>IF(CJ99="","",VLOOKUP(CJ99,'Tech Tree Node Parameters'!$A$3:$B$218,2,FALSE))</f>
        <v/>
      </c>
      <c r="CK100" s="62" t="str">
        <f>IF(CK99="","",VLOOKUP(CK99,'Tech Tree Node Parameters'!$A$3:$B$218,2,FALSE))</f>
        <v/>
      </c>
      <c r="CL100" s="62" t="str">
        <f>IF(CL99="","",VLOOKUP(CL99,'Tech Tree Node Parameters'!$A$3:$B$218,2,FALSE))</f>
        <v/>
      </c>
      <c r="CM100" s="62" t="str">
        <f>IF(CM99="","",VLOOKUP(CM99,'Tech Tree Node Parameters'!$A$3:$B$218,2,FALSE))</f>
        <v/>
      </c>
      <c r="CN100" s="62" t="str">
        <f>IF(CN99="","",VLOOKUP(CN99,'Tech Tree Node Parameters'!$A$3:$B$218,2,FALSE))</f>
        <v/>
      </c>
      <c r="CO100" s="62" t="str">
        <f>IF(CO99="","",VLOOKUP(CO99,'Tech Tree Node Parameters'!$A$3:$B$218,2,FALSE))</f>
        <v/>
      </c>
      <c r="CP100" s="62" t="str">
        <f>IF(CP99="","",VLOOKUP(CP99,'Tech Tree Node Parameters'!$A$3:$B$218,2,FALSE))</f>
        <v/>
      </c>
      <c r="CQ100" s="62" t="str">
        <f>IF(CQ99="","",VLOOKUP(CQ99,'Tech Tree Node Parameters'!$A$3:$B$218,2,FALSE))</f>
        <v/>
      </c>
      <c r="CR100" s="62" t="str">
        <f>IF(CR99="","",VLOOKUP(CR99,'Tech Tree Node Parameters'!$A$3:$B$218,2,FALSE))</f>
        <v/>
      </c>
      <c r="CS100" s="62" t="str">
        <f>IF(CS99="","",VLOOKUP(CS99,'Tech Tree Node Parameters'!$A$3:$B$218,2,FALSE))</f>
        <v/>
      </c>
      <c r="CT100" s="62" t="str">
        <f>IF(CT99="","",VLOOKUP(CT99,'Tech Tree Node Parameters'!$A$3:$B$218,2,FALSE))</f>
        <v/>
      </c>
      <c r="CU100" s="62" t="str">
        <f>IF(CU99="","",VLOOKUP(CU99,'Tech Tree Node Parameters'!$A$3:$B$218,2,FALSE))</f>
        <v/>
      </c>
      <c r="CV100" s="62" t="str">
        <f>IF(CV99="","",VLOOKUP(CV99,'Tech Tree Node Parameters'!$A$3:$B$218,2,FALSE))</f>
        <v/>
      </c>
      <c r="CW100" s="62" t="str">
        <f>IF(CW99="","",VLOOKUP(CW99,'Tech Tree Node Parameters'!$A$3:$B$218,2,FALSE))</f>
        <v/>
      </c>
      <c r="CX100" s="62" t="str">
        <f>IF(CX99="","",VLOOKUP(CX99,'Tech Tree Node Parameters'!$A$3:$B$218,2,FALSE))</f>
        <v/>
      </c>
      <c r="CY100" s="36" t="str">
        <f>IF(CY99="","",VLOOKUP(CY99,'Tech Tree Node Parameters'!$A$3:$B$218,2,FALSE))</f>
        <v/>
      </c>
    </row>
    <row r="101" spans="1:103" x14ac:dyDescent="0.25">
      <c r="A101" s="72">
        <f t="shared" ref="A101" si="29">A103+1</f>
        <v>13</v>
      </c>
      <c r="B101" s="69">
        <f>B103+$D$6</f>
        <v>531</v>
      </c>
      <c r="C101" s="39"/>
      <c r="D101" s="61"/>
      <c r="E101" s="61"/>
      <c r="F101" s="61"/>
      <c r="G101" s="61"/>
      <c r="H101" s="61"/>
      <c r="I101" s="61"/>
      <c r="J101" s="61"/>
      <c r="K101" s="61"/>
      <c r="L101" s="61"/>
      <c r="M101" s="61"/>
      <c r="N101" s="61"/>
      <c r="O101" s="61"/>
      <c r="P101" s="61"/>
      <c r="Q101" s="61"/>
      <c r="R101" s="61"/>
      <c r="S101" s="61"/>
      <c r="T101" s="61"/>
      <c r="U101" s="61"/>
      <c r="V101" s="61"/>
      <c r="W101" s="61"/>
      <c r="X101" s="61"/>
      <c r="Y101" s="61"/>
      <c r="Z101" s="61"/>
      <c r="AA101" s="61"/>
      <c r="AB101" s="61"/>
      <c r="AC101" s="61"/>
      <c r="AD101" s="61"/>
      <c r="AE101" s="61"/>
      <c r="AF101" s="61"/>
      <c r="AG101" s="61"/>
      <c r="AH101" s="61"/>
      <c r="AI101" s="61"/>
      <c r="AJ101" s="61"/>
      <c r="AK101" s="61"/>
      <c r="AL101" s="61"/>
      <c r="AM101" s="61"/>
      <c r="AN101" s="61"/>
      <c r="AO101" s="61"/>
      <c r="AP101" s="61"/>
      <c r="AQ101" s="61"/>
      <c r="AR101" s="61"/>
      <c r="AS101" s="61"/>
      <c r="AT101" s="61"/>
      <c r="AU101" s="61"/>
      <c r="AV101" s="61"/>
      <c r="AW101" s="61"/>
      <c r="AX101" s="61"/>
      <c r="AY101" s="61"/>
      <c r="AZ101" s="61"/>
      <c r="BA101" s="61"/>
      <c r="BB101" s="61"/>
      <c r="BC101" s="61"/>
      <c r="BD101" s="61"/>
      <c r="BE101" s="61"/>
      <c r="BF101" s="61"/>
      <c r="BG101" s="61"/>
      <c r="BH101" s="61"/>
      <c r="BI101" s="61"/>
      <c r="BJ101" s="61"/>
      <c r="BK101" s="61"/>
      <c r="BL101" s="61"/>
      <c r="BM101" s="61"/>
      <c r="BN101" s="61"/>
      <c r="BO101" s="61"/>
      <c r="BP101" s="61"/>
      <c r="BQ101" s="61"/>
      <c r="BR101" s="61"/>
      <c r="BS101" s="61"/>
      <c r="BT101" s="61"/>
      <c r="BU101" s="61"/>
      <c r="BV101" s="61"/>
      <c r="BW101" s="61"/>
      <c r="BX101" s="61"/>
      <c r="BY101" s="61"/>
      <c r="BZ101" s="61"/>
      <c r="CA101" s="61"/>
      <c r="CB101" s="61"/>
      <c r="CC101" s="61"/>
      <c r="CD101" s="61"/>
      <c r="CE101" s="61"/>
      <c r="CF101" s="61"/>
      <c r="CG101" s="61"/>
      <c r="CH101" s="61"/>
      <c r="CI101" s="61"/>
      <c r="CJ101" s="61"/>
      <c r="CK101" s="61"/>
      <c r="CL101" s="61"/>
      <c r="CM101" s="61"/>
      <c r="CN101" s="61"/>
      <c r="CO101" s="61"/>
      <c r="CP101" s="61"/>
      <c r="CQ101" s="61"/>
      <c r="CR101" s="61"/>
      <c r="CS101" s="61"/>
      <c r="CT101" s="61"/>
      <c r="CU101" s="61"/>
      <c r="CV101" s="61"/>
      <c r="CW101" s="61"/>
      <c r="CX101" s="61"/>
      <c r="CY101" s="35"/>
    </row>
    <row r="102" spans="1:103" x14ac:dyDescent="0.25">
      <c r="A102" s="72"/>
      <c r="B102" s="70"/>
      <c r="C102" s="40"/>
      <c r="D102" s="62" t="str">
        <f>IF(D101="","",VLOOKUP(D101,'Tech Tree Node Parameters'!$A$3:$B$218,2,FALSE))</f>
        <v/>
      </c>
      <c r="E102" s="62" t="str">
        <f>IF(E101="","",VLOOKUP(E101,'Tech Tree Node Parameters'!$A$3:$B$218,2,FALSE))</f>
        <v/>
      </c>
      <c r="F102" s="62" t="str">
        <f>IF(F101="","",VLOOKUP(F101,'Tech Tree Node Parameters'!$A$3:$B$218,2,FALSE))</f>
        <v/>
      </c>
      <c r="G102" s="62" t="str">
        <f>IF(G101="","",VLOOKUP(G101,'Tech Tree Node Parameters'!$A$3:$B$218,2,FALSE))</f>
        <v/>
      </c>
      <c r="H102" s="62" t="str">
        <f>IF(H101="","",VLOOKUP(H101,'Tech Tree Node Parameters'!$A$3:$B$218,2,FALSE))</f>
        <v/>
      </c>
      <c r="I102" s="62" t="str">
        <f>IF(I101="","",VLOOKUP(I101,'Tech Tree Node Parameters'!$A$3:$B$218,2,FALSE))</f>
        <v/>
      </c>
      <c r="J102" s="62" t="str">
        <f>IF(J101="","",VLOOKUP(J101,'Tech Tree Node Parameters'!$A$3:$B$218,2,FALSE))</f>
        <v/>
      </c>
      <c r="K102" s="62" t="str">
        <f>IF(K101="","",VLOOKUP(K101,'Tech Tree Node Parameters'!$A$3:$B$218,2,FALSE))</f>
        <v/>
      </c>
      <c r="L102" s="62" t="str">
        <f>IF(L101="","",VLOOKUP(L101,'Tech Tree Node Parameters'!$A$3:$B$218,2,FALSE))</f>
        <v/>
      </c>
      <c r="M102" s="62" t="str">
        <f>IF(M101="","",VLOOKUP(M101,'Tech Tree Node Parameters'!$A$3:$B$218,2,FALSE))</f>
        <v/>
      </c>
      <c r="N102" s="62" t="str">
        <f>IF(N101="","",VLOOKUP(N101,'Tech Tree Node Parameters'!$A$3:$B$218,2,FALSE))</f>
        <v/>
      </c>
      <c r="O102" s="62" t="str">
        <f>IF(O101="","",VLOOKUP(O101,'Tech Tree Node Parameters'!$A$3:$B$218,2,FALSE))</f>
        <v/>
      </c>
      <c r="P102" s="62" t="str">
        <f>IF(P101="","",VLOOKUP(P101,'Tech Tree Node Parameters'!$A$3:$B$218,2,FALSE))</f>
        <v/>
      </c>
      <c r="Q102" s="62" t="str">
        <f>IF(Q101="","",VLOOKUP(Q101,'Tech Tree Node Parameters'!$A$3:$B$218,2,FALSE))</f>
        <v/>
      </c>
      <c r="R102" s="62" t="str">
        <f>IF(R101="","",VLOOKUP(R101,'Tech Tree Node Parameters'!$A$3:$B$218,2,FALSE))</f>
        <v/>
      </c>
      <c r="S102" s="62" t="str">
        <f>IF(S101="","",VLOOKUP(S101,'Tech Tree Node Parameters'!$A$3:$B$218,2,FALSE))</f>
        <v/>
      </c>
      <c r="T102" s="62" t="str">
        <f>IF(T101="","",VLOOKUP(T101,'Tech Tree Node Parameters'!$A$3:$B$218,2,FALSE))</f>
        <v/>
      </c>
      <c r="U102" s="62" t="str">
        <f>IF(U101="","",VLOOKUP(U101,'Tech Tree Node Parameters'!$A$3:$B$218,2,FALSE))</f>
        <v/>
      </c>
      <c r="V102" s="62" t="str">
        <f>IF(V101="","",VLOOKUP(V101,'Tech Tree Node Parameters'!$A$3:$B$218,2,FALSE))</f>
        <v/>
      </c>
      <c r="W102" s="62" t="str">
        <f>IF(W101="","",VLOOKUP(W101,'Tech Tree Node Parameters'!$A$3:$B$218,2,FALSE))</f>
        <v/>
      </c>
      <c r="X102" s="62" t="str">
        <f>IF(X101="","",VLOOKUP(X101,'Tech Tree Node Parameters'!$A$3:$B$218,2,FALSE))</f>
        <v/>
      </c>
      <c r="Y102" s="62" t="str">
        <f>IF(Y101="","",VLOOKUP(Y101,'Tech Tree Node Parameters'!$A$3:$B$218,2,FALSE))</f>
        <v/>
      </c>
      <c r="Z102" s="62" t="str">
        <f>IF(Z101="","",VLOOKUP(Z101,'Tech Tree Node Parameters'!$A$3:$B$218,2,FALSE))</f>
        <v/>
      </c>
      <c r="AA102" s="62" t="str">
        <f>IF(AA101="","",VLOOKUP(AA101,'Tech Tree Node Parameters'!$A$3:$B$218,2,FALSE))</f>
        <v/>
      </c>
      <c r="AB102" s="62" t="str">
        <f>IF(AB101="","",VLOOKUP(AB101,'Tech Tree Node Parameters'!$A$3:$B$218,2,FALSE))</f>
        <v/>
      </c>
      <c r="AC102" s="62" t="str">
        <f>IF(AC101="","",VLOOKUP(AC101,'Tech Tree Node Parameters'!$A$3:$B$218,2,FALSE))</f>
        <v/>
      </c>
      <c r="AD102" s="62" t="str">
        <f>IF(AD101="","",VLOOKUP(AD101,'Tech Tree Node Parameters'!$A$3:$B$218,2,FALSE))</f>
        <v/>
      </c>
      <c r="AE102" s="62" t="str">
        <f>IF(AE101="","",VLOOKUP(AE101,'Tech Tree Node Parameters'!$A$3:$B$218,2,FALSE))</f>
        <v/>
      </c>
      <c r="AF102" s="62" t="str">
        <f>IF(AF101="","",VLOOKUP(AF101,'Tech Tree Node Parameters'!$A$3:$B$218,2,FALSE))</f>
        <v/>
      </c>
      <c r="AG102" s="62" t="str">
        <f>IF(AG101="","",VLOOKUP(AG101,'Tech Tree Node Parameters'!$A$3:$B$218,2,FALSE))</f>
        <v/>
      </c>
      <c r="AH102" s="62" t="str">
        <f>IF(AH101="","",VLOOKUP(AH101,'Tech Tree Node Parameters'!$A$3:$B$218,2,FALSE))</f>
        <v/>
      </c>
      <c r="AI102" s="62" t="str">
        <f>IF(AI101="","",VLOOKUP(AI101,'Tech Tree Node Parameters'!$A$3:$B$218,2,FALSE))</f>
        <v/>
      </c>
      <c r="AJ102" s="62" t="str">
        <f>IF(AJ101="","",VLOOKUP(AJ101,'Tech Tree Node Parameters'!$A$3:$B$218,2,FALSE))</f>
        <v/>
      </c>
      <c r="AK102" s="62" t="str">
        <f>IF(AK101="","",VLOOKUP(AK101,'Tech Tree Node Parameters'!$A$3:$B$218,2,FALSE))</f>
        <v/>
      </c>
      <c r="AL102" s="62" t="str">
        <f>IF(AL101="","",VLOOKUP(AL101,'Tech Tree Node Parameters'!$A$3:$B$218,2,FALSE))</f>
        <v/>
      </c>
      <c r="AM102" s="62" t="str">
        <f>IF(AM101="","",VLOOKUP(AM101,'Tech Tree Node Parameters'!$A$3:$B$218,2,FALSE))</f>
        <v/>
      </c>
      <c r="AN102" s="62" t="str">
        <f>IF(AN101="","",VLOOKUP(AN101,'Tech Tree Node Parameters'!$A$3:$B$218,2,FALSE))</f>
        <v/>
      </c>
      <c r="AO102" s="62" t="str">
        <f>IF(AO101="","",VLOOKUP(AO101,'Tech Tree Node Parameters'!$A$3:$B$218,2,FALSE))</f>
        <v/>
      </c>
      <c r="AP102" s="62" t="str">
        <f>IF(AP101="","",VLOOKUP(AP101,'Tech Tree Node Parameters'!$A$3:$B$218,2,FALSE))</f>
        <v/>
      </c>
      <c r="AQ102" s="62" t="str">
        <f>IF(AQ101="","",VLOOKUP(AQ101,'Tech Tree Node Parameters'!$A$3:$B$218,2,FALSE))</f>
        <v/>
      </c>
      <c r="AR102" s="62" t="str">
        <f>IF(AR101="","",VLOOKUP(AR101,'Tech Tree Node Parameters'!$A$3:$B$218,2,FALSE))</f>
        <v/>
      </c>
      <c r="AS102" s="62" t="str">
        <f>IF(AS101="","",VLOOKUP(AS101,'Tech Tree Node Parameters'!$A$3:$B$218,2,FALSE))</f>
        <v/>
      </c>
      <c r="AT102" s="62" t="str">
        <f>IF(AT101="","",VLOOKUP(AT101,'Tech Tree Node Parameters'!$A$3:$B$218,2,FALSE))</f>
        <v/>
      </c>
      <c r="AU102" s="62" t="str">
        <f>IF(AU101="","",VLOOKUP(AU101,'Tech Tree Node Parameters'!$A$3:$B$218,2,FALSE))</f>
        <v/>
      </c>
      <c r="AV102" s="62" t="str">
        <f>IF(AV101="","",VLOOKUP(AV101,'Tech Tree Node Parameters'!$A$3:$B$218,2,FALSE))</f>
        <v/>
      </c>
      <c r="AW102" s="62" t="str">
        <f>IF(AW101="","",VLOOKUP(AW101,'Tech Tree Node Parameters'!$A$3:$B$218,2,FALSE))</f>
        <v/>
      </c>
      <c r="AX102" s="62" t="str">
        <f>IF(AX101="","",VLOOKUP(AX101,'Tech Tree Node Parameters'!$A$3:$B$218,2,FALSE))</f>
        <v/>
      </c>
      <c r="AY102" s="62" t="str">
        <f>IF(AY101="","",VLOOKUP(AY101,'Tech Tree Node Parameters'!$A$3:$B$218,2,FALSE))</f>
        <v/>
      </c>
      <c r="AZ102" s="62" t="str">
        <f>IF(AZ101="","",VLOOKUP(AZ101,'Tech Tree Node Parameters'!$A$3:$B$218,2,FALSE))</f>
        <v/>
      </c>
      <c r="BA102" s="62" t="str">
        <f>IF(BA101="","",VLOOKUP(BA101,'Tech Tree Node Parameters'!$A$3:$B$218,2,FALSE))</f>
        <v/>
      </c>
      <c r="BB102" s="62" t="str">
        <f>IF(BB101="","",VLOOKUP(BB101,'Tech Tree Node Parameters'!$A$3:$B$218,2,FALSE))</f>
        <v/>
      </c>
      <c r="BC102" s="62" t="str">
        <f>IF(BC101="","",VLOOKUP(BC101,'Tech Tree Node Parameters'!$A$3:$B$218,2,FALSE))</f>
        <v/>
      </c>
      <c r="BD102" s="62" t="str">
        <f>IF(BD101="","",VLOOKUP(BD101,'Tech Tree Node Parameters'!$A$3:$B$218,2,FALSE))</f>
        <v/>
      </c>
      <c r="BE102" s="62" t="str">
        <f>IF(BE101="","",VLOOKUP(BE101,'Tech Tree Node Parameters'!$A$3:$B$218,2,FALSE))</f>
        <v/>
      </c>
      <c r="BF102" s="62" t="str">
        <f>IF(BF101="","",VLOOKUP(BF101,'Tech Tree Node Parameters'!$A$3:$B$218,2,FALSE))</f>
        <v/>
      </c>
      <c r="BG102" s="62" t="str">
        <f>IF(BG101="","",VLOOKUP(BG101,'Tech Tree Node Parameters'!$A$3:$B$218,2,FALSE))</f>
        <v/>
      </c>
      <c r="BH102" s="62" t="str">
        <f>IF(BH101="","",VLOOKUP(BH101,'Tech Tree Node Parameters'!$A$3:$B$218,2,FALSE))</f>
        <v/>
      </c>
      <c r="BI102" s="62" t="str">
        <f>IF(BI101="","",VLOOKUP(BI101,'Tech Tree Node Parameters'!$A$3:$B$218,2,FALSE))</f>
        <v/>
      </c>
      <c r="BJ102" s="62" t="str">
        <f>IF(BJ101="","",VLOOKUP(BJ101,'Tech Tree Node Parameters'!$A$3:$B$218,2,FALSE))</f>
        <v/>
      </c>
      <c r="BK102" s="62" t="str">
        <f>IF(BK101="","",VLOOKUP(BK101,'Tech Tree Node Parameters'!$A$3:$B$218,2,FALSE))</f>
        <v/>
      </c>
      <c r="BL102" s="62" t="str">
        <f>IF(BL101="","",VLOOKUP(BL101,'Tech Tree Node Parameters'!$A$3:$B$218,2,FALSE))</f>
        <v/>
      </c>
      <c r="BM102" s="62" t="str">
        <f>IF(BM101="","",VLOOKUP(BM101,'Tech Tree Node Parameters'!$A$3:$B$218,2,FALSE))</f>
        <v/>
      </c>
      <c r="BN102" s="62" t="str">
        <f>IF(BN101="","",VLOOKUP(BN101,'Tech Tree Node Parameters'!$A$3:$B$218,2,FALSE))</f>
        <v/>
      </c>
      <c r="BO102" s="62" t="str">
        <f>IF(BO101="","",VLOOKUP(BO101,'Tech Tree Node Parameters'!$A$3:$B$218,2,FALSE))</f>
        <v/>
      </c>
      <c r="BP102" s="62" t="str">
        <f>IF(BP101="","",VLOOKUP(BP101,'Tech Tree Node Parameters'!$A$3:$B$218,2,FALSE))</f>
        <v/>
      </c>
      <c r="BQ102" s="62" t="str">
        <f>IF(BQ101="","",VLOOKUP(BQ101,'Tech Tree Node Parameters'!$A$3:$B$218,2,FALSE))</f>
        <v/>
      </c>
      <c r="BR102" s="62" t="str">
        <f>IF(BR101="","",VLOOKUP(BR101,'Tech Tree Node Parameters'!$A$3:$B$218,2,FALSE))</f>
        <v/>
      </c>
      <c r="BS102" s="62" t="str">
        <f>IF(BS101="","",VLOOKUP(BS101,'Tech Tree Node Parameters'!$A$3:$B$218,2,FALSE))</f>
        <v/>
      </c>
      <c r="BT102" s="62" t="str">
        <f>IF(BT101="","",VLOOKUP(BT101,'Tech Tree Node Parameters'!$A$3:$B$218,2,FALSE))</f>
        <v/>
      </c>
      <c r="BU102" s="62" t="str">
        <f>IF(BU101="","",VLOOKUP(BU101,'Tech Tree Node Parameters'!$A$3:$B$218,2,FALSE))</f>
        <v/>
      </c>
      <c r="BV102" s="62"/>
      <c r="BW102" s="62"/>
      <c r="BX102" s="62"/>
      <c r="BY102" s="62"/>
      <c r="BZ102" s="62"/>
      <c r="CA102" s="62"/>
      <c r="CB102" s="62"/>
      <c r="CC102" s="62"/>
      <c r="CD102" s="62"/>
      <c r="CE102" s="62"/>
      <c r="CF102" s="62"/>
      <c r="CG102" s="62"/>
      <c r="CH102" s="62"/>
      <c r="CI102" s="62"/>
      <c r="CJ102" s="62" t="str">
        <f>IF(CJ101="","",VLOOKUP(CJ101,'Tech Tree Node Parameters'!$A$3:$B$218,2,FALSE))</f>
        <v/>
      </c>
      <c r="CK102" s="62" t="str">
        <f>IF(CK101="","",VLOOKUP(CK101,'Tech Tree Node Parameters'!$A$3:$B$218,2,FALSE))</f>
        <v/>
      </c>
      <c r="CL102" s="62" t="str">
        <f>IF(CL101="","",VLOOKUP(CL101,'Tech Tree Node Parameters'!$A$3:$B$218,2,FALSE))</f>
        <v/>
      </c>
      <c r="CM102" s="62" t="str">
        <f>IF(CM101="","",VLOOKUP(CM101,'Tech Tree Node Parameters'!$A$3:$B$218,2,FALSE))</f>
        <v/>
      </c>
      <c r="CN102" s="62" t="str">
        <f>IF(CN101="","",VLOOKUP(CN101,'Tech Tree Node Parameters'!$A$3:$B$218,2,FALSE))</f>
        <v/>
      </c>
      <c r="CO102" s="62" t="str">
        <f>IF(CO101="","",VLOOKUP(CO101,'Tech Tree Node Parameters'!$A$3:$B$218,2,FALSE))</f>
        <v/>
      </c>
      <c r="CP102" s="62" t="str">
        <f>IF(CP101="","",VLOOKUP(CP101,'Tech Tree Node Parameters'!$A$3:$B$218,2,FALSE))</f>
        <v/>
      </c>
      <c r="CQ102" s="62" t="str">
        <f>IF(CQ101="","",VLOOKUP(CQ101,'Tech Tree Node Parameters'!$A$3:$B$218,2,FALSE))</f>
        <v/>
      </c>
      <c r="CR102" s="62" t="str">
        <f>IF(CR101="","",VLOOKUP(CR101,'Tech Tree Node Parameters'!$A$3:$B$218,2,FALSE))</f>
        <v/>
      </c>
      <c r="CS102" s="62" t="str">
        <f>IF(CS101="","",VLOOKUP(CS101,'Tech Tree Node Parameters'!$A$3:$B$218,2,FALSE))</f>
        <v/>
      </c>
      <c r="CT102" s="62" t="str">
        <f>IF(CT101="","",VLOOKUP(CT101,'Tech Tree Node Parameters'!$A$3:$B$218,2,FALSE))</f>
        <v/>
      </c>
      <c r="CU102" s="62" t="str">
        <f>IF(CU101="","",VLOOKUP(CU101,'Tech Tree Node Parameters'!$A$3:$B$218,2,FALSE))</f>
        <v/>
      </c>
      <c r="CV102" s="62" t="str">
        <f>IF(CV101="","",VLOOKUP(CV101,'Tech Tree Node Parameters'!$A$3:$B$218,2,FALSE))</f>
        <v/>
      </c>
      <c r="CW102" s="62" t="str">
        <f>IF(CW101="","",VLOOKUP(CW101,'Tech Tree Node Parameters'!$A$3:$B$218,2,FALSE))</f>
        <v/>
      </c>
      <c r="CX102" s="62" t="str">
        <f>IF(CX101="","",VLOOKUP(CX101,'Tech Tree Node Parameters'!$A$3:$B$218,2,FALSE))</f>
        <v/>
      </c>
      <c r="CY102" s="36" t="str">
        <f>IF(CY101="","",VLOOKUP(CY101,'Tech Tree Node Parameters'!$A$3:$B$218,2,FALSE))</f>
        <v/>
      </c>
    </row>
    <row r="103" spans="1:103" x14ac:dyDescent="0.25">
      <c r="A103" s="72">
        <f t="shared" ref="A103" si="30">A105+1</f>
        <v>12</v>
      </c>
      <c r="B103" s="69">
        <f>B105+$D$6</f>
        <v>493</v>
      </c>
      <c r="C103" s="39"/>
      <c r="D103" s="61"/>
      <c r="E103" s="61"/>
      <c r="F103" s="61"/>
      <c r="G103" s="61"/>
      <c r="H103" s="61"/>
      <c r="I103" s="61"/>
      <c r="J103" s="61"/>
      <c r="K103" s="61"/>
      <c r="L103" s="61"/>
      <c r="M103" s="61"/>
      <c r="N103" s="61"/>
      <c r="O103" s="61"/>
      <c r="P103" s="61"/>
      <c r="Q103" s="61"/>
      <c r="R103" s="61"/>
      <c r="S103" s="61"/>
      <c r="T103" s="61"/>
      <c r="U103" s="61"/>
      <c r="V103" s="61"/>
      <c r="W103" s="61"/>
      <c r="X103" s="61"/>
      <c r="Y103" s="61"/>
      <c r="Z103" s="61"/>
      <c r="AA103" s="61"/>
      <c r="AB103" s="61"/>
      <c r="AC103" s="61"/>
      <c r="AD103" s="61"/>
      <c r="AE103" s="61"/>
      <c r="AF103" s="61"/>
      <c r="AG103" s="61"/>
      <c r="AH103" s="61"/>
      <c r="AI103" s="61"/>
      <c r="AJ103" s="61"/>
      <c r="AK103" s="61"/>
      <c r="AL103" s="61"/>
      <c r="AM103" s="61"/>
      <c r="AN103" s="61"/>
      <c r="AO103" s="61"/>
      <c r="AP103" s="61"/>
      <c r="AQ103" s="61" t="s">
        <v>554</v>
      </c>
      <c r="AR103" s="61"/>
      <c r="AS103" s="61" t="s">
        <v>502</v>
      </c>
      <c r="AT103" s="61"/>
      <c r="AU103" s="61" t="s">
        <v>178</v>
      </c>
      <c r="AV103" s="61"/>
      <c r="AW103" s="61" t="s">
        <v>145</v>
      </c>
      <c r="AX103" s="61"/>
      <c r="AY103" s="61" t="s">
        <v>152</v>
      </c>
      <c r="AZ103" s="61"/>
      <c r="BA103" s="61"/>
      <c r="BB103" s="61"/>
      <c r="BC103" s="61"/>
      <c r="BD103" s="61"/>
      <c r="BE103" s="61" t="s">
        <v>168</v>
      </c>
      <c r="BF103" s="61"/>
      <c r="BG103" s="61"/>
      <c r="BH103" s="61"/>
      <c r="BI103" s="61"/>
      <c r="BJ103" s="61"/>
      <c r="BK103" s="61"/>
      <c r="BL103" s="61"/>
      <c r="BM103" s="61"/>
      <c r="BN103" s="61"/>
      <c r="BO103" s="61"/>
      <c r="BP103" s="61"/>
      <c r="BQ103" s="61"/>
      <c r="BR103" s="61"/>
      <c r="BS103" s="61"/>
      <c r="BT103" s="61"/>
      <c r="BU103" s="61"/>
      <c r="BV103" s="61"/>
      <c r="BW103" s="61"/>
      <c r="BX103" s="61"/>
      <c r="BY103" s="61"/>
      <c r="BZ103" s="61"/>
      <c r="CA103" s="61"/>
      <c r="CB103" s="61"/>
      <c r="CC103" s="61"/>
      <c r="CD103" s="61"/>
      <c r="CE103" s="61"/>
      <c r="CF103" s="61"/>
      <c r="CG103" s="61"/>
      <c r="CH103" s="61"/>
      <c r="CI103" s="61"/>
      <c r="CJ103" s="61"/>
      <c r="CK103" s="61"/>
      <c r="CL103" s="61"/>
      <c r="CM103" s="61"/>
      <c r="CN103" s="61"/>
      <c r="CO103" s="61"/>
      <c r="CP103" s="61"/>
      <c r="CQ103" s="61"/>
      <c r="CR103" s="61"/>
      <c r="CS103" s="61"/>
      <c r="CT103" s="61"/>
      <c r="CU103" s="61"/>
      <c r="CV103" s="61"/>
      <c r="CW103" s="61"/>
      <c r="CX103" s="61"/>
      <c r="CY103" s="35"/>
    </row>
    <row r="104" spans="1:103" x14ac:dyDescent="0.25">
      <c r="A104" s="72"/>
      <c r="B104" s="70"/>
      <c r="C104" s="40"/>
      <c r="D104" s="62" t="str">
        <f>IF(D103="","",VLOOKUP(D103,'Tech Tree Node Parameters'!$A$3:$B$218,2,FALSE))</f>
        <v/>
      </c>
      <c r="E104" s="62" t="str">
        <f>IF(E103="","",VLOOKUP(E103,'Tech Tree Node Parameters'!$A$3:$B$218,2,FALSE))</f>
        <v/>
      </c>
      <c r="F104" s="62" t="str">
        <f>IF(F103="","",VLOOKUP(F103,'Tech Tree Node Parameters'!$A$3:$B$218,2,FALSE))</f>
        <v/>
      </c>
      <c r="G104" s="62" t="str">
        <f>IF(G103="","",VLOOKUP(G103,'Tech Tree Node Parameters'!$A$3:$B$218,2,FALSE))</f>
        <v/>
      </c>
      <c r="H104" s="62" t="str">
        <f>IF(H103="","",VLOOKUP(H103,'Tech Tree Node Parameters'!$A$3:$B$218,2,FALSE))</f>
        <v/>
      </c>
      <c r="I104" s="62" t="str">
        <f>IF(I103="","",VLOOKUP(I103,'Tech Tree Node Parameters'!$A$3:$B$218,2,FALSE))</f>
        <v/>
      </c>
      <c r="J104" s="62" t="str">
        <f>IF(J103="","",VLOOKUP(J103,'Tech Tree Node Parameters'!$A$3:$B$218,2,FALSE))</f>
        <v/>
      </c>
      <c r="K104" s="62" t="str">
        <f>IF(K103="","",VLOOKUP(K103,'Tech Tree Node Parameters'!$A$3:$B$218,2,FALSE))</f>
        <v/>
      </c>
      <c r="L104" s="62" t="str">
        <f>IF(L103="","",VLOOKUP(L103,'Tech Tree Node Parameters'!$A$3:$B$218,2,FALSE))</f>
        <v/>
      </c>
      <c r="M104" s="62" t="str">
        <f>IF(M103="","",VLOOKUP(M103,'Tech Tree Node Parameters'!$A$3:$B$218,2,FALSE))</f>
        <v/>
      </c>
      <c r="N104" s="62" t="str">
        <f>IF(N103="","",VLOOKUP(N103,'Tech Tree Node Parameters'!$A$3:$B$218,2,FALSE))</f>
        <v/>
      </c>
      <c r="O104" s="62" t="str">
        <f>IF(O103="","",VLOOKUP(O103,'Tech Tree Node Parameters'!$A$3:$B$218,2,FALSE))</f>
        <v/>
      </c>
      <c r="P104" s="62" t="str">
        <f>IF(P103="","",VLOOKUP(P103,'Tech Tree Node Parameters'!$A$3:$B$218,2,FALSE))</f>
        <v/>
      </c>
      <c r="Q104" s="62" t="str">
        <f>IF(Q103="","",VLOOKUP(Q103,'Tech Tree Node Parameters'!$A$3:$B$218,2,FALSE))</f>
        <v/>
      </c>
      <c r="R104" s="62" t="str">
        <f>IF(R103="","",VLOOKUP(R103,'Tech Tree Node Parameters'!$A$3:$B$218,2,FALSE))</f>
        <v/>
      </c>
      <c r="S104" s="62" t="str">
        <f>IF(S103="","",VLOOKUP(S103,'Tech Tree Node Parameters'!$A$3:$B$218,2,FALSE))</f>
        <v/>
      </c>
      <c r="T104" s="62" t="str">
        <f>IF(T103="","",VLOOKUP(T103,'Tech Tree Node Parameters'!$A$3:$B$218,2,FALSE))</f>
        <v/>
      </c>
      <c r="U104" s="62" t="str">
        <f>IF(U103="","",VLOOKUP(U103,'Tech Tree Node Parameters'!$A$3:$B$218,2,FALSE))</f>
        <v/>
      </c>
      <c r="V104" s="62" t="str">
        <f>IF(V103="","",VLOOKUP(V103,'Tech Tree Node Parameters'!$A$3:$B$218,2,FALSE))</f>
        <v/>
      </c>
      <c r="W104" s="62" t="str">
        <f>IF(W103="","",VLOOKUP(W103,'Tech Tree Node Parameters'!$A$3:$B$218,2,FALSE))</f>
        <v/>
      </c>
      <c r="X104" s="62" t="str">
        <f>IF(X103="","",VLOOKUP(X103,'Tech Tree Node Parameters'!$A$3:$B$218,2,FALSE))</f>
        <v/>
      </c>
      <c r="Y104" s="62" t="str">
        <f>IF(Y103="","",VLOOKUP(Y103,'Tech Tree Node Parameters'!$A$3:$B$218,2,FALSE))</f>
        <v/>
      </c>
      <c r="Z104" s="62" t="str">
        <f>IF(Z103="","",VLOOKUP(Z103,'Tech Tree Node Parameters'!$A$3:$B$218,2,FALSE))</f>
        <v/>
      </c>
      <c r="AA104" s="62" t="str">
        <f>IF(AA103="","",VLOOKUP(AA103,'Tech Tree Node Parameters'!$A$3:$B$218,2,FALSE))</f>
        <v/>
      </c>
      <c r="AB104" s="62" t="str">
        <f>IF(AB103="","",VLOOKUP(AB103,'Tech Tree Node Parameters'!$A$3:$B$218,2,FALSE))</f>
        <v/>
      </c>
      <c r="AC104" s="62" t="str">
        <f>IF(AC103="","",VLOOKUP(AC103,'Tech Tree Node Parameters'!$A$3:$B$218,2,FALSE))</f>
        <v/>
      </c>
      <c r="AD104" s="62" t="str">
        <f>IF(AD103="","",VLOOKUP(AD103,'Tech Tree Node Parameters'!$A$3:$B$218,2,FALSE))</f>
        <v/>
      </c>
      <c r="AE104" s="62" t="str">
        <f>IF(AE103="","",VLOOKUP(AE103,'Tech Tree Node Parameters'!$A$3:$B$218,2,FALSE))</f>
        <v/>
      </c>
      <c r="AF104" s="62" t="str">
        <f>IF(AF103="","",VLOOKUP(AF103,'Tech Tree Node Parameters'!$A$3:$B$218,2,FALSE))</f>
        <v/>
      </c>
      <c r="AG104" s="62" t="str">
        <f>IF(AG103="","",VLOOKUP(AG103,'Tech Tree Node Parameters'!$A$3:$B$218,2,FALSE))</f>
        <v/>
      </c>
      <c r="AH104" s="62" t="str">
        <f>IF(AH103="","",VLOOKUP(AH103,'Tech Tree Node Parameters'!$A$3:$B$218,2,FALSE))</f>
        <v/>
      </c>
      <c r="AI104" s="62" t="str">
        <f>IF(AI103="","",VLOOKUP(AI103,'Tech Tree Node Parameters'!$A$3:$B$218,2,FALSE))</f>
        <v/>
      </c>
      <c r="AJ104" s="62" t="str">
        <f>IF(AJ103="","",VLOOKUP(AJ103,'Tech Tree Node Parameters'!$A$3:$B$218,2,FALSE))</f>
        <v/>
      </c>
      <c r="AK104" s="62" t="str">
        <f>IF(AK103="","",VLOOKUP(AK103,'Tech Tree Node Parameters'!$A$3:$B$218,2,FALSE))</f>
        <v/>
      </c>
      <c r="AL104" s="62" t="str">
        <f>IF(AL103="","",VLOOKUP(AL103,'Tech Tree Node Parameters'!$A$3:$B$218,2,FALSE))</f>
        <v/>
      </c>
      <c r="AM104" s="62" t="str">
        <f>IF(AM103="","",VLOOKUP(AM103,'Tech Tree Node Parameters'!$A$3:$B$218,2,FALSE))</f>
        <v/>
      </c>
      <c r="AN104" s="62" t="str">
        <f>IF(AN103="","",VLOOKUP(AN103,'Tech Tree Node Parameters'!$A$3:$B$218,2,FALSE))</f>
        <v/>
      </c>
      <c r="AO104" s="62" t="str">
        <f>IF(AO103="","",VLOOKUP(AO103,'Tech Tree Node Parameters'!$A$3:$B$218,2,FALSE))</f>
        <v/>
      </c>
      <c r="AP104" s="62" t="str">
        <f>IF(AP103="","",VLOOKUP(AP103,'Tech Tree Node Parameters'!$A$3:$B$218,2,FALSE))</f>
        <v/>
      </c>
      <c r="AQ104" s="62" t="str">
        <f>IF(AQ103="","",VLOOKUP(AQ103,'Tech Tree Node Parameters'!$A$3:$B$218,2,FALSE))</f>
        <v>64-bit Computing</v>
      </c>
      <c r="AR104" s="62" t="str">
        <f>IF(AR103="","",VLOOKUP(AR103,'Tech Tree Node Parameters'!$A$3:$B$218,2,FALSE))</f>
        <v/>
      </c>
      <c r="AS104" s="62" t="str">
        <f>IF(AS103="","",VLOOKUP(AS103,'Tech Tree Node Parameters'!$A$3:$B$218,2,FALSE))</f>
        <v>Ultra-long Range Antennas</v>
      </c>
      <c r="AT104" s="62" t="str">
        <f>IF(AT103="","",VLOOKUP(AT103,'Tech Tree Node Parameters'!$A$3:$B$218,2,FALSE))</f>
        <v/>
      </c>
      <c r="AU104" s="62" t="str">
        <f>IF(AU103="","",VLOOKUP(AU103,'Tech Tree Node Parameters'!$A$3:$B$218,2,FALSE))</f>
        <v>High-tech Renewable Energy</v>
      </c>
      <c r="AV104" s="62" t="str">
        <f>IF(AV103="","",VLOOKUP(AV103,'Tech Tree Node Parameters'!$A$3:$B$218,2,FALSE))</f>
        <v/>
      </c>
      <c r="AW104" s="62" t="str">
        <f>IF(AW103="","",VLOOKUP(AW103,'Tech Tree Node Parameters'!$A$3:$B$218,2,FALSE))</f>
        <v>Lithium Polymer Batteries</v>
      </c>
      <c r="AX104" s="62" t="str">
        <f>IF(AX103="","",VLOOKUP(AX103,'Tech Tree Node Parameters'!$A$3:$B$218,2,FALSE))</f>
        <v/>
      </c>
      <c r="AY104" s="62" t="str">
        <f>IF(AY103="","",VLOOKUP(AY103,'Tech Tree Node Parameters'!$A$3:$B$218,2,FALSE))</f>
        <v>Ion Propulsion</v>
      </c>
      <c r="AZ104" s="62" t="str">
        <f>IF(AZ103="","",VLOOKUP(AZ103,'Tech Tree Node Parameters'!$A$3:$B$218,2,FALSE))</f>
        <v/>
      </c>
      <c r="BA104" s="62" t="str">
        <f>IF(BA103="","",VLOOKUP(BA103,'Tech Tree Node Parameters'!$A$3:$B$218,2,FALSE))</f>
        <v/>
      </c>
      <c r="BB104" s="62" t="str">
        <f>IF(BB103="","",VLOOKUP(BB103,'Tech Tree Node Parameters'!$A$3:$B$218,2,FALSE))</f>
        <v/>
      </c>
      <c r="BC104" s="62" t="str">
        <f>IF(BC103="","",VLOOKUP(BC103,'Tech Tree Node Parameters'!$A$3:$B$218,2,FALSE))</f>
        <v/>
      </c>
      <c r="BD104" s="62" t="str">
        <f>IF(BD103="","",VLOOKUP(BD103,'Tech Tree Node Parameters'!$A$3:$B$218,2,FALSE))</f>
        <v/>
      </c>
      <c r="BE104" s="62" t="str">
        <f>IF(BE103="","",VLOOKUP(BE103,'Tech Tree Node Parameters'!$A$3:$B$218,2,FALSE))</f>
        <v>Invention</v>
      </c>
      <c r="BF104" s="62" t="str">
        <f>IF(BF103="","",VLOOKUP(BF103,'Tech Tree Node Parameters'!$A$3:$B$218,2,FALSE))</f>
        <v/>
      </c>
      <c r="BG104" s="62" t="str">
        <f>IF(BG103="","",VLOOKUP(BG103,'Tech Tree Node Parameters'!$A$3:$B$218,2,FALSE))</f>
        <v/>
      </c>
      <c r="BH104" s="62" t="str">
        <f>IF(BH103="","",VLOOKUP(BH103,'Tech Tree Node Parameters'!$A$3:$B$218,2,FALSE))</f>
        <v/>
      </c>
      <c r="BI104" s="62" t="str">
        <f>IF(BI103="","",VLOOKUP(BI103,'Tech Tree Node Parameters'!$A$3:$B$218,2,FALSE))</f>
        <v/>
      </c>
      <c r="BJ104" s="62" t="str">
        <f>IF(BJ103="","",VLOOKUP(BJ103,'Tech Tree Node Parameters'!$A$3:$B$218,2,FALSE))</f>
        <v/>
      </c>
      <c r="BK104" s="62" t="str">
        <f>IF(BK103="","",VLOOKUP(BK103,'Tech Tree Node Parameters'!$A$3:$B$218,2,FALSE))</f>
        <v/>
      </c>
      <c r="BL104" s="62" t="str">
        <f>IF(BL103="","",VLOOKUP(BL103,'Tech Tree Node Parameters'!$A$3:$B$218,2,FALSE))</f>
        <v/>
      </c>
      <c r="BM104" s="62" t="str">
        <f>IF(BM103="","",VLOOKUP(BM103,'Tech Tree Node Parameters'!$A$3:$B$218,2,FALSE))</f>
        <v/>
      </c>
      <c r="BN104" s="62" t="str">
        <f>IF(BN103="","",VLOOKUP(BN103,'Tech Tree Node Parameters'!$A$3:$B$218,2,FALSE))</f>
        <v/>
      </c>
      <c r="BO104" s="62" t="str">
        <f>IF(BO103="","",VLOOKUP(BO103,'Tech Tree Node Parameters'!$A$3:$B$218,2,FALSE))</f>
        <v/>
      </c>
      <c r="BP104" s="62" t="str">
        <f>IF(BP103="","",VLOOKUP(BP103,'Tech Tree Node Parameters'!$A$3:$B$218,2,FALSE))</f>
        <v/>
      </c>
      <c r="BQ104" s="62" t="str">
        <f>IF(BQ103="","",VLOOKUP(BQ103,'Tech Tree Node Parameters'!$A$3:$B$218,2,FALSE))</f>
        <v/>
      </c>
      <c r="BR104" s="62" t="str">
        <f>IF(BR103="","",VLOOKUP(BR103,'Tech Tree Node Parameters'!$A$3:$B$218,2,FALSE))</f>
        <v/>
      </c>
      <c r="BS104" s="62" t="str">
        <f>IF(BS103="","",VLOOKUP(BS103,'Tech Tree Node Parameters'!$A$3:$B$218,2,FALSE))</f>
        <v/>
      </c>
      <c r="BT104" s="62" t="str">
        <f>IF(BT103="","",VLOOKUP(BT103,'Tech Tree Node Parameters'!$A$3:$B$218,2,FALSE))</f>
        <v/>
      </c>
      <c r="BU104" s="62" t="str">
        <f>IF(BU103="","",VLOOKUP(BU103,'Tech Tree Node Parameters'!$A$3:$B$218,2,FALSE))</f>
        <v/>
      </c>
      <c r="BV104" s="62"/>
      <c r="BW104" s="62"/>
      <c r="BX104" s="62"/>
      <c r="BY104" s="62"/>
      <c r="BZ104" s="62"/>
      <c r="CA104" s="62"/>
      <c r="CB104" s="62"/>
      <c r="CC104" s="62"/>
      <c r="CD104" s="62"/>
      <c r="CE104" s="62"/>
      <c r="CF104" s="62"/>
      <c r="CG104" s="62"/>
      <c r="CH104" s="62"/>
      <c r="CI104" s="62"/>
      <c r="CJ104" s="62" t="str">
        <f>IF(CJ103="","",VLOOKUP(CJ103,'Tech Tree Node Parameters'!$A$3:$B$218,2,FALSE))</f>
        <v/>
      </c>
      <c r="CK104" s="62" t="str">
        <f>IF(CK103="","",VLOOKUP(CK103,'Tech Tree Node Parameters'!$A$3:$B$218,2,FALSE))</f>
        <v/>
      </c>
      <c r="CL104" s="62" t="str">
        <f>IF(CL103="","",VLOOKUP(CL103,'Tech Tree Node Parameters'!$A$3:$B$218,2,FALSE))</f>
        <v/>
      </c>
      <c r="CM104" s="62" t="str">
        <f>IF(CM103="","",VLOOKUP(CM103,'Tech Tree Node Parameters'!$A$3:$B$218,2,FALSE))</f>
        <v/>
      </c>
      <c r="CN104" s="62" t="str">
        <f>IF(CN103="","",VLOOKUP(CN103,'Tech Tree Node Parameters'!$A$3:$B$218,2,FALSE))</f>
        <v/>
      </c>
      <c r="CO104" s="62" t="str">
        <f>IF(CO103="","",VLOOKUP(CO103,'Tech Tree Node Parameters'!$A$3:$B$218,2,FALSE))</f>
        <v/>
      </c>
      <c r="CP104" s="62" t="str">
        <f>IF(CP103="","",VLOOKUP(CP103,'Tech Tree Node Parameters'!$A$3:$B$218,2,FALSE))</f>
        <v/>
      </c>
      <c r="CQ104" s="62" t="str">
        <f>IF(CQ103="","",VLOOKUP(CQ103,'Tech Tree Node Parameters'!$A$3:$B$218,2,FALSE))</f>
        <v/>
      </c>
      <c r="CR104" s="62" t="str">
        <f>IF(CR103="","",VLOOKUP(CR103,'Tech Tree Node Parameters'!$A$3:$B$218,2,FALSE))</f>
        <v/>
      </c>
      <c r="CS104" s="62" t="str">
        <f>IF(CS103="","",VLOOKUP(CS103,'Tech Tree Node Parameters'!$A$3:$B$218,2,FALSE))</f>
        <v/>
      </c>
      <c r="CT104" s="62" t="str">
        <f>IF(CT103="","",VLOOKUP(CT103,'Tech Tree Node Parameters'!$A$3:$B$218,2,FALSE))</f>
        <v/>
      </c>
      <c r="CU104" s="62" t="str">
        <f>IF(CU103="","",VLOOKUP(CU103,'Tech Tree Node Parameters'!$A$3:$B$218,2,FALSE))</f>
        <v/>
      </c>
      <c r="CV104" s="62" t="str">
        <f>IF(CV103="","",VLOOKUP(CV103,'Tech Tree Node Parameters'!$A$3:$B$218,2,FALSE))</f>
        <v/>
      </c>
      <c r="CW104" s="62" t="str">
        <f>IF(CW103="","",VLOOKUP(CW103,'Tech Tree Node Parameters'!$A$3:$B$218,2,FALSE))</f>
        <v/>
      </c>
      <c r="CX104" s="62" t="str">
        <f>IF(CX103="","",VLOOKUP(CX103,'Tech Tree Node Parameters'!$A$3:$B$218,2,FALSE))</f>
        <v/>
      </c>
      <c r="CY104" s="36" t="str">
        <f>IF(CY103="","",VLOOKUP(CY103,'Tech Tree Node Parameters'!$A$3:$B$218,2,FALSE))</f>
        <v/>
      </c>
    </row>
    <row r="105" spans="1:103" x14ac:dyDescent="0.25">
      <c r="A105" s="72">
        <f t="shared" ref="A105" si="31">A107+1</f>
        <v>11</v>
      </c>
      <c r="B105" s="69">
        <f>B107+$D$6</f>
        <v>455</v>
      </c>
      <c r="C105" s="39"/>
      <c r="D105" s="61"/>
      <c r="E105" s="61"/>
      <c r="F105" s="61"/>
      <c r="G105" s="61"/>
      <c r="H105" s="61"/>
      <c r="I105" s="61"/>
      <c r="J105" s="61"/>
      <c r="K105" s="61"/>
      <c r="L105" s="61"/>
      <c r="M105" s="61"/>
      <c r="N105" s="61"/>
      <c r="O105" s="61"/>
      <c r="P105" s="61"/>
      <c r="Q105" s="61"/>
      <c r="R105" s="61"/>
      <c r="S105" s="61"/>
      <c r="T105" s="61"/>
      <c r="U105" s="61"/>
      <c r="V105" s="61"/>
      <c r="W105" s="61"/>
      <c r="X105" s="61"/>
      <c r="Y105" s="61"/>
      <c r="Z105" s="61"/>
      <c r="AA105" s="61"/>
      <c r="AB105" s="61"/>
      <c r="AC105" s="61"/>
      <c r="AD105" s="61"/>
      <c r="AE105" s="61"/>
      <c r="AF105" s="61"/>
      <c r="AG105" s="61"/>
      <c r="AH105" s="61"/>
      <c r="AI105" s="61"/>
      <c r="AJ105" s="61"/>
      <c r="AK105" s="61"/>
      <c r="AL105" s="61"/>
      <c r="AM105" s="61"/>
      <c r="AN105" s="61"/>
      <c r="AO105" s="61"/>
      <c r="AP105" s="61"/>
      <c r="AQ105" s="61"/>
      <c r="AR105" s="61"/>
      <c r="AS105" s="61"/>
      <c r="AT105" s="61"/>
      <c r="AU105" s="61"/>
      <c r="AV105" s="61"/>
      <c r="AW105" s="61"/>
      <c r="AX105" s="61"/>
      <c r="AY105" s="61"/>
      <c r="AZ105" s="61"/>
      <c r="BA105" s="61"/>
      <c r="BB105" s="61"/>
      <c r="BC105" s="61"/>
      <c r="BD105" s="61"/>
      <c r="BE105" s="61"/>
      <c r="BF105" s="61"/>
      <c r="BG105" s="61"/>
      <c r="BH105" s="61"/>
      <c r="BI105" s="61"/>
      <c r="BJ105" s="61"/>
      <c r="BK105" s="61"/>
      <c r="BL105" s="61"/>
      <c r="BM105" s="61"/>
      <c r="BN105" s="61"/>
      <c r="BO105" s="61"/>
      <c r="BP105" s="61"/>
      <c r="BQ105" s="61"/>
      <c r="BR105" s="61"/>
      <c r="BS105" s="61"/>
      <c r="BT105" s="61"/>
      <c r="BU105" s="61"/>
      <c r="BV105" s="61"/>
      <c r="BW105" s="61"/>
      <c r="BX105" s="61"/>
      <c r="BY105" s="61"/>
      <c r="BZ105" s="61"/>
      <c r="CA105" s="61"/>
      <c r="CB105" s="61"/>
      <c r="CC105" s="61"/>
      <c r="CD105" s="61"/>
      <c r="CE105" s="61"/>
      <c r="CF105" s="61"/>
      <c r="CG105" s="61"/>
      <c r="CH105" s="61"/>
      <c r="CI105" s="61"/>
      <c r="CJ105" s="61"/>
      <c r="CK105" s="61"/>
      <c r="CL105" s="61"/>
      <c r="CM105" s="61"/>
      <c r="CN105" s="61"/>
      <c r="CO105" s="61"/>
      <c r="CP105" s="61"/>
      <c r="CQ105" s="61"/>
      <c r="CR105" s="61"/>
      <c r="CS105" s="61"/>
      <c r="CT105" s="61"/>
      <c r="CU105" s="61"/>
      <c r="CV105" s="61"/>
      <c r="CW105" s="61"/>
      <c r="CX105" s="61"/>
      <c r="CY105" s="35"/>
    </row>
    <row r="106" spans="1:103" x14ac:dyDescent="0.25">
      <c r="A106" s="72"/>
      <c r="B106" s="70"/>
      <c r="C106" s="40"/>
      <c r="D106" s="62" t="str">
        <f>IF(D105="","",VLOOKUP(D105,'Tech Tree Node Parameters'!$A$3:$B$218,2,FALSE))</f>
        <v/>
      </c>
      <c r="E106" s="62" t="str">
        <f>IF(E105="","",VLOOKUP(E105,'Tech Tree Node Parameters'!$A$3:$B$218,2,FALSE))</f>
        <v/>
      </c>
      <c r="F106" s="62" t="str">
        <f>IF(F105="","",VLOOKUP(F105,'Tech Tree Node Parameters'!$A$3:$B$218,2,FALSE))</f>
        <v/>
      </c>
      <c r="G106" s="62" t="str">
        <f>IF(G105="","",VLOOKUP(G105,'Tech Tree Node Parameters'!$A$3:$B$218,2,FALSE))</f>
        <v/>
      </c>
      <c r="H106" s="62" t="str">
        <f>IF(H105="","",VLOOKUP(H105,'Tech Tree Node Parameters'!$A$3:$B$218,2,FALSE))</f>
        <v/>
      </c>
      <c r="I106" s="62" t="str">
        <f>IF(I105="","",VLOOKUP(I105,'Tech Tree Node Parameters'!$A$3:$B$218,2,FALSE))</f>
        <v/>
      </c>
      <c r="J106" s="62" t="str">
        <f>IF(J105="","",VLOOKUP(J105,'Tech Tree Node Parameters'!$A$3:$B$218,2,FALSE))</f>
        <v/>
      </c>
      <c r="K106" s="62" t="str">
        <f>IF(K105="","",VLOOKUP(K105,'Tech Tree Node Parameters'!$A$3:$B$218,2,FALSE))</f>
        <v/>
      </c>
      <c r="L106" s="62" t="str">
        <f>IF(L105="","",VLOOKUP(L105,'Tech Tree Node Parameters'!$A$3:$B$218,2,FALSE))</f>
        <v/>
      </c>
      <c r="M106" s="62" t="str">
        <f>IF(M105="","",VLOOKUP(M105,'Tech Tree Node Parameters'!$A$3:$B$218,2,FALSE))</f>
        <v/>
      </c>
      <c r="N106" s="62" t="str">
        <f>IF(N105="","",VLOOKUP(N105,'Tech Tree Node Parameters'!$A$3:$B$218,2,FALSE))</f>
        <v/>
      </c>
      <c r="O106" s="62" t="str">
        <f>IF(O105="","",VLOOKUP(O105,'Tech Tree Node Parameters'!$A$3:$B$218,2,FALSE))</f>
        <v/>
      </c>
      <c r="P106" s="62" t="str">
        <f>IF(P105="","",VLOOKUP(P105,'Tech Tree Node Parameters'!$A$3:$B$218,2,FALSE))</f>
        <v/>
      </c>
      <c r="Q106" s="62" t="str">
        <f>IF(Q105="","",VLOOKUP(Q105,'Tech Tree Node Parameters'!$A$3:$B$218,2,FALSE))</f>
        <v/>
      </c>
      <c r="R106" s="62" t="str">
        <f>IF(R105="","",VLOOKUP(R105,'Tech Tree Node Parameters'!$A$3:$B$218,2,FALSE))</f>
        <v/>
      </c>
      <c r="S106" s="62" t="str">
        <f>IF(S105="","",VLOOKUP(S105,'Tech Tree Node Parameters'!$A$3:$B$218,2,FALSE))</f>
        <v/>
      </c>
      <c r="T106" s="62" t="str">
        <f>IF(T105="","",VLOOKUP(T105,'Tech Tree Node Parameters'!$A$3:$B$218,2,FALSE))</f>
        <v/>
      </c>
      <c r="U106" s="62" t="str">
        <f>IF(U105="","",VLOOKUP(U105,'Tech Tree Node Parameters'!$A$3:$B$218,2,FALSE))</f>
        <v/>
      </c>
      <c r="V106" s="62" t="str">
        <f>IF(V105="","",VLOOKUP(V105,'Tech Tree Node Parameters'!$A$3:$B$218,2,FALSE))</f>
        <v/>
      </c>
      <c r="W106" s="62" t="str">
        <f>IF(W105="","",VLOOKUP(W105,'Tech Tree Node Parameters'!$A$3:$B$218,2,FALSE))</f>
        <v/>
      </c>
      <c r="X106" s="62" t="str">
        <f>IF(X105="","",VLOOKUP(X105,'Tech Tree Node Parameters'!$A$3:$B$218,2,FALSE))</f>
        <v/>
      </c>
      <c r="Y106" s="62" t="str">
        <f>IF(Y105="","",VLOOKUP(Y105,'Tech Tree Node Parameters'!$A$3:$B$218,2,FALSE))</f>
        <v/>
      </c>
      <c r="Z106" s="62" t="str">
        <f>IF(Z105="","",VLOOKUP(Z105,'Tech Tree Node Parameters'!$A$3:$B$218,2,FALSE))</f>
        <v/>
      </c>
      <c r="AA106" s="62" t="str">
        <f>IF(AA105="","",VLOOKUP(AA105,'Tech Tree Node Parameters'!$A$3:$B$218,2,FALSE))</f>
        <v/>
      </c>
      <c r="AB106" s="62" t="str">
        <f>IF(AB105="","",VLOOKUP(AB105,'Tech Tree Node Parameters'!$A$3:$B$218,2,FALSE))</f>
        <v/>
      </c>
      <c r="AC106" s="62" t="str">
        <f>IF(AC105="","",VLOOKUP(AC105,'Tech Tree Node Parameters'!$A$3:$B$218,2,FALSE))</f>
        <v/>
      </c>
      <c r="AD106" s="62" t="str">
        <f>IF(AD105="","",VLOOKUP(AD105,'Tech Tree Node Parameters'!$A$3:$B$218,2,FALSE))</f>
        <v/>
      </c>
      <c r="AE106" s="62" t="str">
        <f>IF(AE105="","",VLOOKUP(AE105,'Tech Tree Node Parameters'!$A$3:$B$218,2,FALSE))</f>
        <v/>
      </c>
      <c r="AF106" s="62" t="str">
        <f>IF(AF105="","",VLOOKUP(AF105,'Tech Tree Node Parameters'!$A$3:$B$218,2,FALSE))</f>
        <v/>
      </c>
      <c r="AG106" s="62" t="str">
        <f>IF(AG105="","",VLOOKUP(AG105,'Tech Tree Node Parameters'!$A$3:$B$218,2,FALSE))</f>
        <v/>
      </c>
      <c r="AH106" s="62" t="str">
        <f>IF(AH105="","",VLOOKUP(AH105,'Tech Tree Node Parameters'!$A$3:$B$218,2,FALSE))</f>
        <v/>
      </c>
      <c r="AI106" s="62" t="str">
        <f>IF(AI105="","",VLOOKUP(AI105,'Tech Tree Node Parameters'!$A$3:$B$218,2,FALSE))</f>
        <v/>
      </c>
      <c r="AJ106" s="62" t="str">
        <f>IF(AJ105="","",VLOOKUP(AJ105,'Tech Tree Node Parameters'!$A$3:$B$218,2,FALSE))</f>
        <v/>
      </c>
      <c r="AK106" s="62" t="str">
        <f>IF(AK105="","",VLOOKUP(AK105,'Tech Tree Node Parameters'!$A$3:$B$218,2,FALSE))</f>
        <v/>
      </c>
      <c r="AL106" s="62" t="str">
        <f>IF(AL105="","",VLOOKUP(AL105,'Tech Tree Node Parameters'!$A$3:$B$218,2,FALSE))</f>
        <v/>
      </c>
      <c r="AM106" s="62" t="str">
        <f>IF(AM105="","",VLOOKUP(AM105,'Tech Tree Node Parameters'!$A$3:$B$218,2,FALSE))</f>
        <v/>
      </c>
      <c r="AN106" s="62" t="str">
        <f>IF(AN105="","",VLOOKUP(AN105,'Tech Tree Node Parameters'!$A$3:$B$218,2,FALSE))</f>
        <v/>
      </c>
      <c r="AO106" s="62" t="str">
        <f>IF(AO105="","",VLOOKUP(AO105,'Tech Tree Node Parameters'!$A$3:$B$218,2,FALSE))</f>
        <v/>
      </c>
      <c r="AP106" s="62" t="str">
        <f>IF(AP105="","",VLOOKUP(AP105,'Tech Tree Node Parameters'!$A$3:$B$218,2,FALSE))</f>
        <v/>
      </c>
      <c r="AQ106" s="62" t="str">
        <f>IF(AQ105="","",VLOOKUP(AQ105,'Tech Tree Node Parameters'!$A$3:$B$218,2,FALSE))</f>
        <v/>
      </c>
      <c r="AR106" s="62" t="str">
        <f>IF(AR105="","",VLOOKUP(AR105,'Tech Tree Node Parameters'!$A$3:$B$218,2,FALSE))</f>
        <v/>
      </c>
      <c r="AS106" s="62" t="str">
        <f>IF(AS105="","",VLOOKUP(AS105,'Tech Tree Node Parameters'!$A$3:$B$218,2,FALSE))</f>
        <v/>
      </c>
      <c r="AT106" s="62" t="str">
        <f>IF(AT105="","",VLOOKUP(AT105,'Tech Tree Node Parameters'!$A$3:$B$218,2,FALSE))</f>
        <v/>
      </c>
      <c r="AU106" s="62" t="str">
        <f>IF(AU105="","",VLOOKUP(AU105,'Tech Tree Node Parameters'!$A$3:$B$218,2,FALSE))</f>
        <v/>
      </c>
      <c r="AV106" s="62" t="str">
        <f>IF(AV105="","",VLOOKUP(AV105,'Tech Tree Node Parameters'!$A$3:$B$218,2,FALSE))</f>
        <v/>
      </c>
      <c r="AW106" s="62" t="str">
        <f>IF(AW105="","",VLOOKUP(AW105,'Tech Tree Node Parameters'!$A$3:$B$218,2,FALSE))</f>
        <v/>
      </c>
      <c r="AX106" s="62" t="str">
        <f>IF(AX105="","",VLOOKUP(AX105,'Tech Tree Node Parameters'!$A$3:$B$218,2,FALSE))</f>
        <v/>
      </c>
      <c r="AY106" s="62" t="str">
        <f>IF(AY105="","",VLOOKUP(AY105,'Tech Tree Node Parameters'!$A$3:$B$218,2,FALSE))</f>
        <v/>
      </c>
      <c r="AZ106" s="62" t="str">
        <f>IF(AZ105="","",VLOOKUP(AZ105,'Tech Tree Node Parameters'!$A$3:$B$218,2,FALSE))</f>
        <v/>
      </c>
      <c r="BA106" s="62" t="str">
        <f>IF(BA105="","",VLOOKUP(BA105,'Tech Tree Node Parameters'!$A$3:$B$218,2,FALSE))</f>
        <v/>
      </c>
      <c r="BB106" s="62" t="str">
        <f>IF(BB105="","",VLOOKUP(BB105,'Tech Tree Node Parameters'!$A$3:$B$218,2,FALSE))</f>
        <v/>
      </c>
      <c r="BC106" s="62" t="str">
        <f>IF(BC105="","",VLOOKUP(BC105,'Tech Tree Node Parameters'!$A$3:$B$218,2,FALSE))</f>
        <v/>
      </c>
      <c r="BD106" s="62" t="str">
        <f>IF(BD105="","",VLOOKUP(BD105,'Tech Tree Node Parameters'!$A$3:$B$218,2,FALSE))</f>
        <v/>
      </c>
      <c r="BE106" s="62" t="str">
        <f>IF(BE105="","",VLOOKUP(BE105,'Tech Tree Node Parameters'!$A$3:$B$218,2,FALSE))</f>
        <v/>
      </c>
      <c r="BF106" s="62" t="str">
        <f>IF(BF105="","",VLOOKUP(BF105,'Tech Tree Node Parameters'!$A$3:$B$218,2,FALSE))</f>
        <v/>
      </c>
      <c r="BG106" s="62" t="str">
        <f>IF(BG105="","",VLOOKUP(BG105,'Tech Tree Node Parameters'!$A$3:$B$218,2,FALSE))</f>
        <v/>
      </c>
      <c r="BH106" s="62" t="str">
        <f>IF(BH105="","",VLOOKUP(BH105,'Tech Tree Node Parameters'!$A$3:$B$218,2,FALSE))</f>
        <v/>
      </c>
      <c r="BI106" s="62" t="str">
        <f>IF(BI105="","",VLOOKUP(BI105,'Tech Tree Node Parameters'!$A$3:$B$218,2,FALSE))</f>
        <v/>
      </c>
      <c r="BJ106" s="62" t="str">
        <f>IF(BJ105="","",VLOOKUP(BJ105,'Tech Tree Node Parameters'!$A$3:$B$218,2,FALSE))</f>
        <v/>
      </c>
      <c r="BK106" s="62" t="str">
        <f>IF(BK105="","",VLOOKUP(BK105,'Tech Tree Node Parameters'!$A$3:$B$218,2,FALSE))</f>
        <v/>
      </c>
      <c r="BL106" s="62" t="str">
        <f>IF(BL105="","",VLOOKUP(BL105,'Tech Tree Node Parameters'!$A$3:$B$218,2,FALSE))</f>
        <v/>
      </c>
      <c r="BM106" s="62" t="str">
        <f>IF(BM105="","",VLOOKUP(BM105,'Tech Tree Node Parameters'!$A$3:$B$218,2,FALSE))</f>
        <v/>
      </c>
      <c r="BN106" s="62" t="str">
        <f>IF(BN105="","",VLOOKUP(BN105,'Tech Tree Node Parameters'!$A$3:$B$218,2,FALSE))</f>
        <v/>
      </c>
      <c r="BO106" s="62" t="str">
        <f>IF(BO105="","",VLOOKUP(BO105,'Tech Tree Node Parameters'!$A$3:$B$218,2,FALSE))</f>
        <v/>
      </c>
      <c r="BP106" s="62" t="str">
        <f>IF(BP105="","",VLOOKUP(BP105,'Tech Tree Node Parameters'!$A$3:$B$218,2,FALSE))</f>
        <v/>
      </c>
      <c r="BQ106" s="62" t="str">
        <f>IF(BQ105="","",VLOOKUP(BQ105,'Tech Tree Node Parameters'!$A$3:$B$218,2,FALSE))</f>
        <v/>
      </c>
      <c r="BR106" s="62" t="str">
        <f>IF(BR105="","",VLOOKUP(BR105,'Tech Tree Node Parameters'!$A$3:$B$218,2,FALSE))</f>
        <v/>
      </c>
      <c r="BS106" s="62" t="str">
        <f>IF(BS105="","",VLOOKUP(BS105,'Tech Tree Node Parameters'!$A$3:$B$218,2,FALSE))</f>
        <v/>
      </c>
      <c r="BT106" s="62" t="str">
        <f>IF(BT105="","",VLOOKUP(BT105,'Tech Tree Node Parameters'!$A$3:$B$218,2,FALSE))</f>
        <v/>
      </c>
      <c r="BU106" s="62" t="str">
        <f>IF(BU105="","",VLOOKUP(BU105,'Tech Tree Node Parameters'!$A$3:$B$218,2,FALSE))</f>
        <v/>
      </c>
      <c r="BV106" s="62"/>
      <c r="BW106" s="62"/>
      <c r="BX106" s="62"/>
      <c r="BY106" s="62"/>
      <c r="BZ106" s="62"/>
      <c r="CA106" s="62"/>
      <c r="CB106" s="62"/>
      <c r="CC106" s="62"/>
      <c r="CD106" s="62"/>
      <c r="CE106" s="62"/>
      <c r="CF106" s="62"/>
      <c r="CG106" s="62"/>
      <c r="CH106" s="62"/>
      <c r="CI106" s="62"/>
      <c r="CJ106" s="62" t="str">
        <f>IF(CJ105="","",VLOOKUP(CJ105,'Tech Tree Node Parameters'!$A$3:$B$218,2,FALSE))</f>
        <v/>
      </c>
      <c r="CK106" s="62" t="str">
        <f>IF(CK105="","",VLOOKUP(CK105,'Tech Tree Node Parameters'!$A$3:$B$218,2,FALSE))</f>
        <v/>
      </c>
      <c r="CL106" s="62" t="str">
        <f>IF(CL105="","",VLOOKUP(CL105,'Tech Tree Node Parameters'!$A$3:$B$218,2,FALSE))</f>
        <v/>
      </c>
      <c r="CM106" s="62" t="str">
        <f>IF(CM105="","",VLOOKUP(CM105,'Tech Tree Node Parameters'!$A$3:$B$218,2,FALSE))</f>
        <v/>
      </c>
      <c r="CN106" s="62" t="str">
        <f>IF(CN105="","",VLOOKUP(CN105,'Tech Tree Node Parameters'!$A$3:$B$218,2,FALSE))</f>
        <v/>
      </c>
      <c r="CO106" s="62" t="str">
        <f>IF(CO105="","",VLOOKUP(CO105,'Tech Tree Node Parameters'!$A$3:$B$218,2,FALSE))</f>
        <v/>
      </c>
      <c r="CP106" s="62" t="str">
        <f>IF(CP105="","",VLOOKUP(CP105,'Tech Tree Node Parameters'!$A$3:$B$218,2,FALSE))</f>
        <v/>
      </c>
      <c r="CQ106" s="62" t="str">
        <f>IF(CQ105="","",VLOOKUP(CQ105,'Tech Tree Node Parameters'!$A$3:$B$218,2,FALSE))</f>
        <v/>
      </c>
      <c r="CR106" s="62" t="str">
        <f>IF(CR105="","",VLOOKUP(CR105,'Tech Tree Node Parameters'!$A$3:$B$218,2,FALSE))</f>
        <v/>
      </c>
      <c r="CS106" s="62" t="str">
        <f>IF(CS105="","",VLOOKUP(CS105,'Tech Tree Node Parameters'!$A$3:$B$218,2,FALSE))</f>
        <v/>
      </c>
      <c r="CT106" s="62" t="str">
        <f>IF(CT105="","",VLOOKUP(CT105,'Tech Tree Node Parameters'!$A$3:$B$218,2,FALSE))</f>
        <v/>
      </c>
      <c r="CU106" s="62" t="str">
        <f>IF(CU105="","",VLOOKUP(CU105,'Tech Tree Node Parameters'!$A$3:$B$218,2,FALSE))</f>
        <v/>
      </c>
      <c r="CV106" s="62" t="str">
        <f>IF(CV105="","",VLOOKUP(CV105,'Tech Tree Node Parameters'!$A$3:$B$218,2,FALSE))</f>
        <v/>
      </c>
      <c r="CW106" s="62" t="str">
        <f>IF(CW105="","",VLOOKUP(CW105,'Tech Tree Node Parameters'!$A$3:$B$218,2,FALSE))</f>
        <v/>
      </c>
      <c r="CX106" s="62" t="str">
        <f>IF(CX105="","",VLOOKUP(CX105,'Tech Tree Node Parameters'!$A$3:$B$218,2,FALSE))</f>
        <v/>
      </c>
      <c r="CY106" s="36" t="str">
        <f>IF(CY105="","",VLOOKUP(CY105,'Tech Tree Node Parameters'!$A$3:$B$218,2,FALSE))</f>
        <v/>
      </c>
    </row>
    <row r="107" spans="1:103" x14ac:dyDescent="0.25">
      <c r="A107" s="72">
        <f t="shared" ref="A107" si="32">A109+1</f>
        <v>10</v>
      </c>
      <c r="B107" s="69">
        <f>B109+$D$6</f>
        <v>417</v>
      </c>
      <c r="C107" s="39"/>
      <c r="D107" s="61"/>
      <c r="E107" s="61"/>
      <c r="F107" s="61"/>
      <c r="G107" s="61"/>
      <c r="H107" s="61"/>
      <c r="I107" s="61"/>
      <c r="J107" s="61"/>
      <c r="K107" s="61"/>
      <c r="L107" s="61"/>
      <c r="M107" s="61"/>
      <c r="N107" s="61"/>
      <c r="O107" s="61"/>
      <c r="P107" s="61"/>
      <c r="Q107" s="61"/>
      <c r="R107" s="61"/>
      <c r="S107" s="61"/>
      <c r="T107" s="61"/>
      <c r="U107" s="61"/>
      <c r="V107" s="61"/>
      <c r="W107" s="61"/>
      <c r="X107" s="61"/>
      <c r="Y107" s="61"/>
      <c r="Z107" s="61"/>
      <c r="AA107" s="61"/>
      <c r="AB107" s="61"/>
      <c r="AC107" s="61"/>
      <c r="AD107" s="61"/>
      <c r="AE107" s="61"/>
      <c r="AF107" s="61"/>
      <c r="AG107" s="61"/>
      <c r="AH107" s="61"/>
      <c r="AI107" s="61"/>
      <c r="AJ107" s="61"/>
      <c r="AK107" s="61"/>
      <c r="AL107" s="61"/>
      <c r="AM107" s="61"/>
      <c r="AN107" s="61"/>
      <c r="AO107" s="61"/>
      <c r="AP107" s="61"/>
      <c r="AQ107" s="61" t="s">
        <v>499</v>
      </c>
      <c r="AR107" s="61"/>
      <c r="AS107" s="61"/>
      <c r="AT107" s="61"/>
      <c r="AU107" s="61" t="s">
        <v>473</v>
      </c>
      <c r="AV107" s="61"/>
      <c r="AW107" s="61" t="s">
        <v>545</v>
      </c>
      <c r="AX107" s="61"/>
      <c r="AY107" s="61" t="s">
        <v>176</v>
      </c>
      <c r="AZ107" s="61"/>
      <c r="BA107" s="61" t="s">
        <v>181</v>
      </c>
      <c r="BB107" s="61"/>
      <c r="BC107" s="61"/>
      <c r="BD107" s="61"/>
      <c r="BE107" s="61" t="s">
        <v>194</v>
      </c>
      <c r="BF107" s="61"/>
      <c r="BG107" s="61"/>
      <c r="BH107" s="61"/>
      <c r="BI107" s="61"/>
      <c r="BJ107" s="61"/>
      <c r="BK107" s="61"/>
      <c r="BL107" s="61"/>
      <c r="BM107" s="61"/>
      <c r="BN107" s="61"/>
      <c r="BO107" s="61"/>
      <c r="BP107" s="61"/>
      <c r="BQ107" s="61"/>
      <c r="BR107" s="61"/>
      <c r="BS107" s="61"/>
      <c r="BT107" s="61"/>
      <c r="BU107" s="61"/>
      <c r="BV107" s="61"/>
      <c r="BW107" s="61"/>
      <c r="BX107" s="61"/>
      <c r="BY107" s="61"/>
      <c r="BZ107" s="61"/>
      <c r="CA107" s="61"/>
      <c r="CB107" s="61"/>
      <c r="CC107" s="61"/>
      <c r="CD107" s="61"/>
      <c r="CE107" s="61"/>
      <c r="CF107" s="61"/>
      <c r="CG107" s="61"/>
      <c r="CH107" s="61"/>
      <c r="CI107" s="61"/>
      <c r="CJ107" s="61"/>
      <c r="CK107" s="61"/>
      <c r="CL107" s="61"/>
      <c r="CM107" s="61"/>
      <c r="CN107" s="61"/>
      <c r="CO107" s="61"/>
      <c r="CP107" s="61"/>
      <c r="CQ107" s="61"/>
      <c r="CR107" s="61"/>
      <c r="CS107" s="61"/>
      <c r="CT107" s="61"/>
      <c r="CU107" s="61"/>
      <c r="CV107" s="61"/>
      <c r="CW107" s="61"/>
      <c r="CX107" s="61"/>
      <c r="CY107" s="35"/>
    </row>
    <row r="108" spans="1:103" x14ac:dyDescent="0.25">
      <c r="A108" s="72"/>
      <c r="B108" s="70"/>
      <c r="C108" s="40"/>
      <c r="D108" s="62" t="str">
        <f>IF(D107="","",VLOOKUP(D107,'Tech Tree Node Parameters'!$A$3:$B$218,2,FALSE))</f>
        <v/>
      </c>
      <c r="E108" s="62" t="str">
        <f>IF(E107="","",VLOOKUP(E107,'Tech Tree Node Parameters'!$A$3:$B$218,2,FALSE))</f>
        <v/>
      </c>
      <c r="F108" s="62" t="str">
        <f>IF(F107="","",VLOOKUP(F107,'Tech Tree Node Parameters'!$A$3:$B$218,2,FALSE))</f>
        <v/>
      </c>
      <c r="G108" s="62" t="str">
        <f>IF(G107="","",VLOOKUP(G107,'Tech Tree Node Parameters'!$A$3:$B$218,2,FALSE))</f>
        <v/>
      </c>
      <c r="H108" s="62" t="str">
        <f>IF(H107="","",VLOOKUP(H107,'Tech Tree Node Parameters'!$A$3:$B$218,2,FALSE))</f>
        <v/>
      </c>
      <c r="I108" s="62" t="str">
        <f>IF(I107="","",VLOOKUP(I107,'Tech Tree Node Parameters'!$A$3:$B$218,2,FALSE))</f>
        <v/>
      </c>
      <c r="J108" s="62" t="str">
        <f>IF(J107="","",VLOOKUP(J107,'Tech Tree Node Parameters'!$A$3:$B$218,2,FALSE))</f>
        <v/>
      </c>
      <c r="K108" s="62" t="str">
        <f>IF(K107="","",VLOOKUP(K107,'Tech Tree Node Parameters'!$A$3:$B$218,2,FALSE))</f>
        <v/>
      </c>
      <c r="L108" s="62" t="str">
        <f>IF(L107="","",VLOOKUP(L107,'Tech Tree Node Parameters'!$A$3:$B$218,2,FALSE))</f>
        <v/>
      </c>
      <c r="M108" s="62" t="str">
        <f>IF(M107="","",VLOOKUP(M107,'Tech Tree Node Parameters'!$A$3:$B$218,2,FALSE))</f>
        <v/>
      </c>
      <c r="N108" s="62" t="str">
        <f>IF(N107="","",VLOOKUP(N107,'Tech Tree Node Parameters'!$A$3:$B$218,2,FALSE))</f>
        <v/>
      </c>
      <c r="O108" s="62" t="str">
        <f>IF(O107="","",VLOOKUP(O107,'Tech Tree Node Parameters'!$A$3:$B$218,2,FALSE))</f>
        <v/>
      </c>
      <c r="P108" s="62" t="str">
        <f>IF(P107="","",VLOOKUP(P107,'Tech Tree Node Parameters'!$A$3:$B$218,2,FALSE))</f>
        <v/>
      </c>
      <c r="Q108" s="62" t="str">
        <f>IF(Q107="","",VLOOKUP(Q107,'Tech Tree Node Parameters'!$A$3:$B$218,2,FALSE))</f>
        <v/>
      </c>
      <c r="R108" s="62" t="str">
        <f>IF(R107="","",VLOOKUP(R107,'Tech Tree Node Parameters'!$A$3:$B$218,2,FALSE))</f>
        <v/>
      </c>
      <c r="S108" s="62" t="str">
        <f>IF(S107="","",VLOOKUP(S107,'Tech Tree Node Parameters'!$A$3:$B$218,2,FALSE))</f>
        <v/>
      </c>
      <c r="T108" s="62" t="str">
        <f>IF(T107="","",VLOOKUP(T107,'Tech Tree Node Parameters'!$A$3:$B$218,2,FALSE))</f>
        <v/>
      </c>
      <c r="U108" s="62" t="str">
        <f>IF(U107="","",VLOOKUP(U107,'Tech Tree Node Parameters'!$A$3:$B$218,2,FALSE))</f>
        <v/>
      </c>
      <c r="V108" s="62" t="str">
        <f>IF(V107="","",VLOOKUP(V107,'Tech Tree Node Parameters'!$A$3:$B$218,2,FALSE))</f>
        <v/>
      </c>
      <c r="W108" s="62" t="str">
        <f>IF(W107="","",VLOOKUP(W107,'Tech Tree Node Parameters'!$A$3:$B$218,2,FALSE))</f>
        <v/>
      </c>
      <c r="X108" s="62" t="str">
        <f>IF(X107="","",VLOOKUP(X107,'Tech Tree Node Parameters'!$A$3:$B$218,2,FALSE))</f>
        <v/>
      </c>
      <c r="Y108" s="62" t="str">
        <f>IF(Y107="","",VLOOKUP(Y107,'Tech Tree Node Parameters'!$A$3:$B$218,2,FALSE))</f>
        <v/>
      </c>
      <c r="Z108" s="62" t="str">
        <f>IF(Z107="","",VLOOKUP(Z107,'Tech Tree Node Parameters'!$A$3:$B$218,2,FALSE))</f>
        <v/>
      </c>
      <c r="AA108" s="62" t="str">
        <f>IF(AA107="","",VLOOKUP(AA107,'Tech Tree Node Parameters'!$A$3:$B$218,2,FALSE))</f>
        <v/>
      </c>
      <c r="AB108" s="62" t="str">
        <f>IF(AB107="","",VLOOKUP(AB107,'Tech Tree Node Parameters'!$A$3:$B$218,2,FALSE))</f>
        <v/>
      </c>
      <c r="AC108" s="62" t="str">
        <f>IF(AC107="","",VLOOKUP(AC107,'Tech Tree Node Parameters'!$A$3:$B$218,2,FALSE))</f>
        <v/>
      </c>
      <c r="AD108" s="62" t="str">
        <f>IF(AD107="","",VLOOKUP(AD107,'Tech Tree Node Parameters'!$A$3:$B$218,2,FALSE))</f>
        <v/>
      </c>
      <c r="AE108" s="62" t="str">
        <f>IF(AE107="","",VLOOKUP(AE107,'Tech Tree Node Parameters'!$A$3:$B$218,2,FALSE))</f>
        <v/>
      </c>
      <c r="AF108" s="62" t="str">
        <f>IF(AF107="","",VLOOKUP(AF107,'Tech Tree Node Parameters'!$A$3:$B$218,2,FALSE))</f>
        <v/>
      </c>
      <c r="AG108" s="62" t="str">
        <f>IF(AG107="","",VLOOKUP(AG107,'Tech Tree Node Parameters'!$A$3:$B$218,2,FALSE))</f>
        <v/>
      </c>
      <c r="AH108" s="62" t="str">
        <f>IF(AH107="","",VLOOKUP(AH107,'Tech Tree Node Parameters'!$A$3:$B$218,2,FALSE))</f>
        <v/>
      </c>
      <c r="AI108" s="62" t="str">
        <f>IF(AI107="","",VLOOKUP(AI107,'Tech Tree Node Parameters'!$A$3:$B$218,2,FALSE))</f>
        <v/>
      </c>
      <c r="AJ108" s="62" t="str">
        <f>IF(AJ107="","",VLOOKUP(AJ107,'Tech Tree Node Parameters'!$A$3:$B$218,2,FALSE))</f>
        <v/>
      </c>
      <c r="AK108" s="62" t="str">
        <f>IF(AK107="","",VLOOKUP(AK107,'Tech Tree Node Parameters'!$A$3:$B$218,2,FALSE))</f>
        <v/>
      </c>
      <c r="AL108" s="62" t="str">
        <f>IF(AL107="","",VLOOKUP(AL107,'Tech Tree Node Parameters'!$A$3:$B$218,2,FALSE))</f>
        <v/>
      </c>
      <c r="AM108" s="62" t="str">
        <f>IF(AM107="","",VLOOKUP(AM107,'Tech Tree Node Parameters'!$A$3:$B$218,2,FALSE))</f>
        <v/>
      </c>
      <c r="AN108" s="62" t="str">
        <f>IF(AN107="","",VLOOKUP(AN107,'Tech Tree Node Parameters'!$A$3:$B$218,2,FALSE))</f>
        <v/>
      </c>
      <c r="AO108" s="62" t="str">
        <f>IF(AO107="","",VLOOKUP(AO107,'Tech Tree Node Parameters'!$A$3:$B$218,2,FALSE))</f>
        <v/>
      </c>
      <c r="AP108" s="62" t="str">
        <f>IF(AP107="","",VLOOKUP(AP107,'Tech Tree Node Parameters'!$A$3:$B$218,2,FALSE))</f>
        <v/>
      </c>
      <c r="AQ108" s="62" t="str">
        <f>IF(AQ107="","",VLOOKUP(AQ107,'Tech Tree Node Parameters'!$A$3:$B$218,2,FALSE))</f>
        <v>Quantum Computing</v>
      </c>
      <c r="AR108" s="62" t="str">
        <f>IF(AR107="","",VLOOKUP(AR107,'Tech Tree Node Parameters'!$A$3:$B$218,2,FALSE))</f>
        <v/>
      </c>
      <c r="AS108" s="62" t="str">
        <f>IF(AS107="","",VLOOKUP(AS107,'Tech Tree Node Parameters'!$A$3:$B$218,2,FALSE))</f>
        <v/>
      </c>
      <c r="AT108" s="62" t="str">
        <f>IF(AT107="","",VLOOKUP(AT107,'Tech Tree Node Parameters'!$A$3:$B$218,2,FALSE))</f>
        <v/>
      </c>
      <c r="AU108" s="62" t="str">
        <f>IF(AU107="","",VLOOKUP(AU107,'Tech Tree Node Parameters'!$A$3:$B$218,2,FALSE))</f>
        <v>Experimental Renewable Energy</v>
      </c>
      <c r="AV108" s="62" t="str">
        <f>IF(AV107="","",VLOOKUP(AV107,'Tech Tree Node Parameters'!$A$3:$B$218,2,FALSE))</f>
        <v/>
      </c>
      <c r="AW108" s="62" t="str">
        <f>IF(AW107="","",VLOOKUP(AW107,'Tech Tree Node Parameters'!$A$3:$B$218,2,FALSE))</f>
        <v>High Power Electrical Systems</v>
      </c>
      <c r="AX108" s="62" t="str">
        <f>IF(AX107="","",VLOOKUP(AX107,'Tech Tree Node Parameters'!$A$3:$B$218,2,FALSE))</f>
        <v/>
      </c>
      <c r="AY108" s="62" t="str">
        <f>IF(AY107="","",VLOOKUP(AY107,'Tech Tree Node Parameters'!$A$3:$B$218,2,FALSE))</f>
        <v>Advanced Ion Propulsion</v>
      </c>
      <c r="AZ108" s="62" t="str">
        <f>IF(AZ107="","",VLOOKUP(AZ107,'Tech Tree Node Parameters'!$A$3:$B$218,2,FALSE))</f>
        <v/>
      </c>
      <c r="BA108" s="62" t="str">
        <f>IF(BA107="","",VLOOKUP(BA107,'Tech Tree Node Parameters'!$A$3:$B$218,2,FALSE))</f>
        <v>Plasma Propulsion</v>
      </c>
      <c r="BB108" s="62" t="str">
        <f>IF(BB107="","",VLOOKUP(BB107,'Tech Tree Node Parameters'!$A$3:$B$218,2,FALSE))</f>
        <v/>
      </c>
      <c r="BC108" s="62" t="str">
        <f>IF(BC107="","",VLOOKUP(BC107,'Tech Tree Node Parameters'!$A$3:$B$218,2,FALSE))</f>
        <v/>
      </c>
      <c r="BD108" s="62" t="str">
        <f>IF(BD107="","",VLOOKUP(BD107,'Tech Tree Node Parameters'!$A$3:$B$218,2,FALSE))</f>
        <v/>
      </c>
      <c r="BE108" s="62" t="str">
        <f>IF(BE107="","",VLOOKUP(BE107,'Tech Tree Node Parameters'!$A$3:$B$218,2,FALSE))</f>
        <v>Advanced Detection</v>
      </c>
      <c r="BF108" s="62" t="str">
        <f>IF(BF107="","",VLOOKUP(BF107,'Tech Tree Node Parameters'!$A$3:$B$218,2,FALSE))</f>
        <v/>
      </c>
      <c r="BG108" s="62" t="str">
        <f>IF(BG107="","",VLOOKUP(BG107,'Tech Tree Node Parameters'!$A$3:$B$218,2,FALSE))</f>
        <v/>
      </c>
      <c r="BH108" s="62" t="str">
        <f>IF(BH107="","",VLOOKUP(BH107,'Tech Tree Node Parameters'!$A$3:$B$218,2,FALSE))</f>
        <v/>
      </c>
      <c r="BI108" s="62" t="str">
        <f>IF(BI107="","",VLOOKUP(BI107,'Tech Tree Node Parameters'!$A$3:$B$218,2,FALSE))</f>
        <v/>
      </c>
      <c r="BJ108" s="62" t="str">
        <f>IF(BJ107="","",VLOOKUP(BJ107,'Tech Tree Node Parameters'!$A$3:$B$218,2,FALSE))</f>
        <v/>
      </c>
      <c r="BK108" s="62" t="str">
        <f>IF(BK107="","",VLOOKUP(BK107,'Tech Tree Node Parameters'!$A$3:$B$218,2,FALSE))</f>
        <v/>
      </c>
      <c r="BL108" s="62" t="str">
        <f>IF(BL107="","",VLOOKUP(BL107,'Tech Tree Node Parameters'!$A$3:$B$218,2,FALSE))</f>
        <v/>
      </c>
      <c r="BM108" s="62" t="str">
        <f>IF(BM107="","",VLOOKUP(BM107,'Tech Tree Node Parameters'!$A$3:$B$218,2,FALSE))</f>
        <v/>
      </c>
      <c r="BN108" s="62" t="str">
        <f>IF(BN107="","",VLOOKUP(BN107,'Tech Tree Node Parameters'!$A$3:$B$218,2,FALSE))</f>
        <v/>
      </c>
      <c r="BO108" s="62" t="str">
        <f>IF(BO107="","",VLOOKUP(BO107,'Tech Tree Node Parameters'!$A$3:$B$218,2,FALSE))</f>
        <v/>
      </c>
      <c r="BP108" s="62" t="str">
        <f>IF(BP107="","",VLOOKUP(BP107,'Tech Tree Node Parameters'!$A$3:$B$218,2,FALSE))</f>
        <v/>
      </c>
      <c r="BQ108" s="62" t="str">
        <f>IF(BQ107="","",VLOOKUP(BQ107,'Tech Tree Node Parameters'!$A$3:$B$218,2,FALSE))</f>
        <v/>
      </c>
      <c r="BR108" s="62" t="str">
        <f>IF(BR107="","",VLOOKUP(BR107,'Tech Tree Node Parameters'!$A$3:$B$218,2,FALSE))</f>
        <v/>
      </c>
      <c r="BS108" s="62" t="str">
        <f>IF(BS107="","",VLOOKUP(BS107,'Tech Tree Node Parameters'!$A$3:$B$218,2,FALSE))</f>
        <v/>
      </c>
      <c r="BT108" s="62" t="str">
        <f>IF(BT107="","",VLOOKUP(BT107,'Tech Tree Node Parameters'!$A$3:$B$218,2,FALSE))</f>
        <v/>
      </c>
      <c r="BU108" s="62" t="str">
        <f>IF(BU107="","",VLOOKUP(BU107,'Tech Tree Node Parameters'!$A$3:$B$218,2,FALSE))</f>
        <v/>
      </c>
      <c r="BV108" s="62"/>
      <c r="BW108" s="62"/>
      <c r="BX108" s="62"/>
      <c r="BY108" s="62"/>
      <c r="BZ108" s="62"/>
      <c r="CA108" s="62"/>
      <c r="CB108" s="62"/>
      <c r="CC108" s="62"/>
      <c r="CD108" s="62"/>
      <c r="CE108" s="62"/>
      <c r="CF108" s="62"/>
      <c r="CG108" s="62"/>
      <c r="CH108" s="62"/>
      <c r="CI108" s="62"/>
      <c r="CJ108" s="62" t="str">
        <f>IF(CJ107="","",VLOOKUP(CJ107,'Tech Tree Node Parameters'!$A$3:$B$218,2,FALSE))</f>
        <v/>
      </c>
      <c r="CK108" s="62" t="str">
        <f>IF(CK107="","",VLOOKUP(CK107,'Tech Tree Node Parameters'!$A$3:$B$218,2,FALSE))</f>
        <v/>
      </c>
      <c r="CL108" s="62" t="str">
        <f>IF(CL107="","",VLOOKUP(CL107,'Tech Tree Node Parameters'!$A$3:$B$218,2,FALSE))</f>
        <v/>
      </c>
      <c r="CM108" s="62" t="str">
        <f>IF(CM107="","",VLOOKUP(CM107,'Tech Tree Node Parameters'!$A$3:$B$218,2,FALSE))</f>
        <v/>
      </c>
      <c r="CN108" s="62" t="str">
        <f>IF(CN107="","",VLOOKUP(CN107,'Tech Tree Node Parameters'!$A$3:$B$218,2,FALSE))</f>
        <v/>
      </c>
      <c r="CO108" s="62" t="str">
        <f>IF(CO107="","",VLOOKUP(CO107,'Tech Tree Node Parameters'!$A$3:$B$218,2,FALSE))</f>
        <v/>
      </c>
      <c r="CP108" s="62" t="str">
        <f>IF(CP107="","",VLOOKUP(CP107,'Tech Tree Node Parameters'!$A$3:$B$218,2,FALSE))</f>
        <v/>
      </c>
      <c r="CQ108" s="62" t="str">
        <f>IF(CQ107="","",VLOOKUP(CQ107,'Tech Tree Node Parameters'!$A$3:$B$218,2,FALSE))</f>
        <v/>
      </c>
      <c r="CR108" s="62" t="str">
        <f>IF(CR107="","",VLOOKUP(CR107,'Tech Tree Node Parameters'!$A$3:$B$218,2,FALSE))</f>
        <v/>
      </c>
      <c r="CS108" s="62" t="str">
        <f>IF(CS107="","",VLOOKUP(CS107,'Tech Tree Node Parameters'!$A$3:$B$218,2,FALSE))</f>
        <v/>
      </c>
      <c r="CT108" s="62" t="str">
        <f>IF(CT107="","",VLOOKUP(CT107,'Tech Tree Node Parameters'!$A$3:$B$218,2,FALSE))</f>
        <v/>
      </c>
      <c r="CU108" s="62" t="str">
        <f>IF(CU107="","",VLOOKUP(CU107,'Tech Tree Node Parameters'!$A$3:$B$218,2,FALSE))</f>
        <v/>
      </c>
      <c r="CV108" s="62" t="str">
        <f>IF(CV107="","",VLOOKUP(CV107,'Tech Tree Node Parameters'!$A$3:$B$218,2,FALSE))</f>
        <v/>
      </c>
      <c r="CW108" s="62" t="str">
        <f>IF(CW107="","",VLOOKUP(CW107,'Tech Tree Node Parameters'!$A$3:$B$218,2,FALSE))</f>
        <v/>
      </c>
      <c r="CX108" s="62" t="str">
        <f>IF(CX107="","",VLOOKUP(CX107,'Tech Tree Node Parameters'!$A$3:$B$218,2,FALSE))</f>
        <v/>
      </c>
      <c r="CY108" s="36" t="str">
        <f>IF(CY107="","",VLOOKUP(CY107,'Tech Tree Node Parameters'!$A$3:$B$218,2,FALSE))</f>
        <v/>
      </c>
    </row>
    <row r="109" spans="1:103" x14ac:dyDescent="0.25">
      <c r="A109" s="72">
        <f t="shared" ref="A109" si="33">A111+1</f>
        <v>9</v>
      </c>
      <c r="B109" s="69">
        <f>B111+$D$6</f>
        <v>379</v>
      </c>
      <c r="C109" s="39"/>
      <c r="D109" s="61"/>
      <c r="E109" s="61"/>
      <c r="F109" s="61"/>
      <c r="G109" s="61"/>
      <c r="H109" s="61"/>
      <c r="I109" s="61"/>
      <c r="J109" s="61"/>
      <c r="K109" s="61"/>
      <c r="L109" s="61"/>
      <c r="M109" s="61"/>
      <c r="N109" s="61"/>
      <c r="O109" s="61"/>
      <c r="P109" s="61"/>
      <c r="Q109" s="61"/>
      <c r="R109" s="61"/>
      <c r="S109" s="61"/>
      <c r="T109" s="61"/>
      <c r="U109" s="61"/>
      <c r="V109" s="61"/>
      <c r="W109" s="61"/>
      <c r="X109" s="61"/>
      <c r="Y109" s="61"/>
      <c r="Z109" s="61"/>
      <c r="AA109" s="61"/>
      <c r="AB109" s="61"/>
      <c r="AC109" s="61"/>
      <c r="AD109" s="61"/>
      <c r="AE109" s="61"/>
      <c r="AF109" s="61"/>
      <c r="AG109" s="61"/>
      <c r="AH109" s="61"/>
      <c r="AI109" s="61"/>
      <c r="AJ109" s="61"/>
      <c r="AK109" s="61"/>
      <c r="AL109" s="61"/>
      <c r="AM109" s="61"/>
      <c r="AN109" s="61"/>
      <c r="AO109" s="61"/>
      <c r="AP109" s="61"/>
      <c r="AQ109" s="61"/>
      <c r="AR109" s="61"/>
      <c r="AS109" s="61"/>
      <c r="AT109" s="61"/>
      <c r="AU109" s="61"/>
      <c r="AV109" s="61"/>
      <c r="AW109" s="61"/>
      <c r="AX109" s="61"/>
      <c r="AY109" s="61"/>
      <c r="AZ109" s="61"/>
      <c r="BA109" s="61"/>
      <c r="BB109" s="61"/>
      <c r="BC109" s="61"/>
      <c r="BD109" s="61"/>
      <c r="BE109" s="61"/>
      <c r="BF109" s="61"/>
      <c r="BG109" s="61"/>
      <c r="BH109" s="61"/>
      <c r="BI109" s="61"/>
      <c r="BJ109" s="61"/>
      <c r="BK109" s="61"/>
      <c r="BL109" s="61"/>
      <c r="BM109" s="61"/>
      <c r="BN109" s="61"/>
      <c r="BO109" s="61"/>
      <c r="BP109" s="61"/>
      <c r="BQ109" s="61"/>
      <c r="BR109" s="61"/>
      <c r="BS109" s="61"/>
      <c r="BT109" s="61"/>
      <c r="BU109" s="61"/>
      <c r="BV109" s="61"/>
      <c r="BW109" s="61"/>
      <c r="BX109" s="61"/>
      <c r="BY109" s="61"/>
      <c r="BZ109" s="61"/>
      <c r="CA109" s="61"/>
      <c r="CB109" s="61"/>
      <c r="CC109" s="61"/>
      <c r="CD109" s="61"/>
      <c r="CE109" s="61"/>
      <c r="CF109" s="61"/>
      <c r="CG109" s="61"/>
      <c r="CH109" s="61"/>
      <c r="CI109" s="61"/>
      <c r="CJ109" s="61"/>
      <c r="CK109" s="61"/>
      <c r="CL109" s="61"/>
      <c r="CM109" s="61"/>
      <c r="CN109" s="61"/>
      <c r="CO109" s="61"/>
      <c r="CP109" s="61"/>
      <c r="CQ109" s="61"/>
      <c r="CR109" s="61"/>
      <c r="CS109" s="61"/>
      <c r="CT109" s="61"/>
      <c r="CU109" s="61"/>
      <c r="CV109" s="61"/>
      <c r="CW109" s="61"/>
      <c r="CX109" s="61"/>
      <c r="CY109" s="35"/>
    </row>
    <row r="110" spans="1:103" x14ac:dyDescent="0.25">
      <c r="A110" s="72"/>
      <c r="B110" s="70"/>
      <c r="C110" s="40"/>
      <c r="D110" s="62" t="str">
        <f>IF(D109="","",VLOOKUP(D109,'Tech Tree Node Parameters'!$A$3:$B$218,2,FALSE))</f>
        <v/>
      </c>
      <c r="E110" s="62" t="str">
        <f>IF(E109="","",VLOOKUP(E109,'Tech Tree Node Parameters'!$A$3:$B$218,2,FALSE))</f>
        <v/>
      </c>
      <c r="F110" s="62" t="str">
        <f>IF(F109="","",VLOOKUP(F109,'Tech Tree Node Parameters'!$A$3:$B$218,2,FALSE))</f>
        <v/>
      </c>
      <c r="G110" s="62" t="str">
        <f>IF(G109="","",VLOOKUP(G109,'Tech Tree Node Parameters'!$A$3:$B$218,2,FALSE))</f>
        <v/>
      </c>
      <c r="H110" s="62" t="str">
        <f>IF(H109="","",VLOOKUP(H109,'Tech Tree Node Parameters'!$A$3:$B$218,2,FALSE))</f>
        <v/>
      </c>
      <c r="I110" s="62" t="str">
        <f>IF(I109="","",VLOOKUP(I109,'Tech Tree Node Parameters'!$A$3:$B$218,2,FALSE))</f>
        <v/>
      </c>
      <c r="J110" s="62" t="str">
        <f>IF(J109="","",VLOOKUP(J109,'Tech Tree Node Parameters'!$A$3:$B$218,2,FALSE))</f>
        <v/>
      </c>
      <c r="K110" s="62" t="str">
        <f>IF(K109="","",VLOOKUP(K109,'Tech Tree Node Parameters'!$A$3:$B$218,2,FALSE))</f>
        <v/>
      </c>
      <c r="L110" s="62" t="str">
        <f>IF(L109="","",VLOOKUP(L109,'Tech Tree Node Parameters'!$A$3:$B$218,2,FALSE))</f>
        <v/>
      </c>
      <c r="M110" s="62" t="str">
        <f>IF(M109="","",VLOOKUP(M109,'Tech Tree Node Parameters'!$A$3:$B$218,2,FALSE))</f>
        <v/>
      </c>
      <c r="N110" s="62" t="str">
        <f>IF(N109="","",VLOOKUP(N109,'Tech Tree Node Parameters'!$A$3:$B$218,2,FALSE))</f>
        <v/>
      </c>
      <c r="O110" s="62" t="str">
        <f>IF(O109="","",VLOOKUP(O109,'Tech Tree Node Parameters'!$A$3:$B$218,2,FALSE))</f>
        <v/>
      </c>
      <c r="P110" s="62" t="str">
        <f>IF(P109="","",VLOOKUP(P109,'Tech Tree Node Parameters'!$A$3:$B$218,2,FALSE))</f>
        <v/>
      </c>
      <c r="Q110" s="62" t="str">
        <f>IF(Q109="","",VLOOKUP(Q109,'Tech Tree Node Parameters'!$A$3:$B$218,2,FALSE))</f>
        <v/>
      </c>
      <c r="R110" s="62" t="str">
        <f>IF(R109="","",VLOOKUP(R109,'Tech Tree Node Parameters'!$A$3:$B$218,2,FALSE))</f>
        <v/>
      </c>
      <c r="S110" s="62" t="str">
        <f>IF(S109="","",VLOOKUP(S109,'Tech Tree Node Parameters'!$A$3:$B$218,2,FALSE))</f>
        <v/>
      </c>
      <c r="T110" s="62" t="str">
        <f>IF(T109="","",VLOOKUP(T109,'Tech Tree Node Parameters'!$A$3:$B$218,2,FALSE))</f>
        <v/>
      </c>
      <c r="U110" s="62" t="str">
        <f>IF(U109="","",VLOOKUP(U109,'Tech Tree Node Parameters'!$A$3:$B$218,2,FALSE))</f>
        <v/>
      </c>
      <c r="V110" s="62" t="str">
        <f>IF(V109="","",VLOOKUP(V109,'Tech Tree Node Parameters'!$A$3:$B$218,2,FALSE))</f>
        <v/>
      </c>
      <c r="W110" s="62" t="str">
        <f>IF(W109="","",VLOOKUP(W109,'Tech Tree Node Parameters'!$A$3:$B$218,2,FALSE))</f>
        <v/>
      </c>
      <c r="X110" s="62" t="str">
        <f>IF(X109="","",VLOOKUP(X109,'Tech Tree Node Parameters'!$A$3:$B$218,2,FALSE))</f>
        <v/>
      </c>
      <c r="Y110" s="62" t="str">
        <f>IF(Y109="","",VLOOKUP(Y109,'Tech Tree Node Parameters'!$A$3:$B$218,2,FALSE))</f>
        <v/>
      </c>
      <c r="Z110" s="62" t="str">
        <f>IF(Z109="","",VLOOKUP(Z109,'Tech Tree Node Parameters'!$A$3:$B$218,2,FALSE))</f>
        <v/>
      </c>
      <c r="AA110" s="62" t="str">
        <f>IF(AA109="","",VLOOKUP(AA109,'Tech Tree Node Parameters'!$A$3:$B$218,2,FALSE))</f>
        <v/>
      </c>
      <c r="AB110" s="62" t="str">
        <f>IF(AB109="","",VLOOKUP(AB109,'Tech Tree Node Parameters'!$A$3:$B$218,2,FALSE))</f>
        <v/>
      </c>
      <c r="AC110" s="62" t="str">
        <f>IF(AC109="","",VLOOKUP(AC109,'Tech Tree Node Parameters'!$A$3:$B$218,2,FALSE))</f>
        <v/>
      </c>
      <c r="AD110" s="62" t="str">
        <f>IF(AD109="","",VLOOKUP(AD109,'Tech Tree Node Parameters'!$A$3:$B$218,2,FALSE))</f>
        <v/>
      </c>
      <c r="AE110" s="62" t="str">
        <f>IF(AE109="","",VLOOKUP(AE109,'Tech Tree Node Parameters'!$A$3:$B$218,2,FALSE))</f>
        <v/>
      </c>
      <c r="AF110" s="62" t="str">
        <f>IF(AF109="","",VLOOKUP(AF109,'Tech Tree Node Parameters'!$A$3:$B$218,2,FALSE))</f>
        <v/>
      </c>
      <c r="AG110" s="62" t="str">
        <f>IF(AG109="","",VLOOKUP(AG109,'Tech Tree Node Parameters'!$A$3:$B$218,2,FALSE))</f>
        <v/>
      </c>
      <c r="AH110" s="62" t="str">
        <f>IF(AH109="","",VLOOKUP(AH109,'Tech Tree Node Parameters'!$A$3:$B$218,2,FALSE))</f>
        <v/>
      </c>
      <c r="AI110" s="62" t="str">
        <f>IF(AI109="","",VLOOKUP(AI109,'Tech Tree Node Parameters'!$A$3:$B$218,2,FALSE))</f>
        <v/>
      </c>
      <c r="AJ110" s="62" t="str">
        <f>IF(AJ109="","",VLOOKUP(AJ109,'Tech Tree Node Parameters'!$A$3:$B$218,2,FALSE))</f>
        <v/>
      </c>
      <c r="AK110" s="62" t="str">
        <f>IF(AK109="","",VLOOKUP(AK109,'Tech Tree Node Parameters'!$A$3:$B$218,2,FALSE))</f>
        <v/>
      </c>
      <c r="AL110" s="62" t="str">
        <f>IF(AL109="","",VLOOKUP(AL109,'Tech Tree Node Parameters'!$A$3:$B$218,2,FALSE))</f>
        <v/>
      </c>
      <c r="AM110" s="62" t="str">
        <f>IF(AM109="","",VLOOKUP(AM109,'Tech Tree Node Parameters'!$A$3:$B$218,2,FALSE))</f>
        <v/>
      </c>
      <c r="AN110" s="62" t="str">
        <f>IF(AN109="","",VLOOKUP(AN109,'Tech Tree Node Parameters'!$A$3:$B$218,2,FALSE))</f>
        <v/>
      </c>
      <c r="AO110" s="62" t="str">
        <f>IF(AO109="","",VLOOKUP(AO109,'Tech Tree Node Parameters'!$A$3:$B$218,2,FALSE))</f>
        <v/>
      </c>
      <c r="AP110" s="62" t="str">
        <f>IF(AP109="","",VLOOKUP(AP109,'Tech Tree Node Parameters'!$A$3:$B$218,2,FALSE))</f>
        <v/>
      </c>
      <c r="AQ110" s="62" t="str">
        <f>IF(AQ109="","",VLOOKUP(AQ109,'Tech Tree Node Parameters'!$A$3:$B$218,2,FALSE))</f>
        <v/>
      </c>
      <c r="AR110" s="62" t="str">
        <f>IF(AR109="","",VLOOKUP(AR109,'Tech Tree Node Parameters'!$A$3:$B$218,2,FALSE))</f>
        <v/>
      </c>
      <c r="AS110" s="62" t="str">
        <f>IF(AS109="","",VLOOKUP(AS109,'Tech Tree Node Parameters'!$A$3:$B$218,2,FALSE))</f>
        <v/>
      </c>
      <c r="AT110" s="62" t="str">
        <f>IF(AT109="","",VLOOKUP(AT109,'Tech Tree Node Parameters'!$A$3:$B$218,2,FALSE))</f>
        <v/>
      </c>
      <c r="AU110" s="62" t="str">
        <f>IF(AU109="","",VLOOKUP(AU109,'Tech Tree Node Parameters'!$A$3:$B$218,2,FALSE))</f>
        <v/>
      </c>
      <c r="AV110" s="62" t="str">
        <f>IF(AV109="","",VLOOKUP(AV109,'Tech Tree Node Parameters'!$A$3:$B$218,2,FALSE))</f>
        <v/>
      </c>
      <c r="AW110" s="62" t="str">
        <f>IF(AW109="","",VLOOKUP(AW109,'Tech Tree Node Parameters'!$A$3:$B$218,2,FALSE))</f>
        <v/>
      </c>
      <c r="AX110" s="62" t="str">
        <f>IF(AX109="","",VLOOKUP(AX109,'Tech Tree Node Parameters'!$A$3:$B$218,2,FALSE))</f>
        <v/>
      </c>
      <c r="AY110" s="62" t="str">
        <f>IF(AY109="","",VLOOKUP(AY109,'Tech Tree Node Parameters'!$A$3:$B$218,2,FALSE))</f>
        <v/>
      </c>
      <c r="AZ110" s="62" t="str">
        <f>IF(AZ109="","",VLOOKUP(AZ109,'Tech Tree Node Parameters'!$A$3:$B$218,2,FALSE))</f>
        <v/>
      </c>
      <c r="BA110" s="62" t="str">
        <f>IF(BA109="","",VLOOKUP(BA109,'Tech Tree Node Parameters'!$A$3:$B$218,2,FALSE))</f>
        <v/>
      </c>
      <c r="BB110" s="62" t="str">
        <f>IF(BB109="","",VLOOKUP(BB109,'Tech Tree Node Parameters'!$A$3:$B$218,2,FALSE))</f>
        <v/>
      </c>
      <c r="BC110" s="62" t="str">
        <f>IF(BC109="","",VLOOKUP(BC109,'Tech Tree Node Parameters'!$A$3:$B$218,2,FALSE))</f>
        <v/>
      </c>
      <c r="BD110" s="62" t="str">
        <f>IF(BD109="","",VLOOKUP(BD109,'Tech Tree Node Parameters'!$A$3:$B$218,2,FALSE))</f>
        <v/>
      </c>
      <c r="BE110" s="62" t="str">
        <f>IF(BE109="","",VLOOKUP(BE109,'Tech Tree Node Parameters'!$A$3:$B$218,2,FALSE))</f>
        <v/>
      </c>
      <c r="BF110" s="62" t="str">
        <f>IF(BF109="","",VLOOKUP(BF109,'Tech Tree Node Parameters'!$A$3:$B$218,2,FALSE))</f>
        <v/>
      </c>
      <c r="BG110" s="62" t="str">
        <f>IF(BG109="","",VLOOKUP(BG109,'Tech Tree Node Parameters'!$A$3:$B$218,2,FALSE))</f>
        <v/>
      </c>
      <c r="BH110" s="62" t="str">
        <f>IF(BH109="","",VLOOKUP(BH109,'Tech Tree Node Parameters'!$A$3:$B$218,2,FALSE))</f>
        <v/>
      </c>
      <c r="BI110" s="62" t="str">
        <f>IF(BI109="","",VLOOKUP(BI109,'Tech Tree Node Parameters'!$A$3:$B$218,2,FALSE))</f>
        <v/>
      </c>
      <c r="BJ110" s="62" t="str">
        <f>IF(BJ109="","",VLOOKUP(BJ109,'Tech Tree Node Parameters'!$A$3:$B$218,2,FALSE))</f>
        <v/>
      </c>
      <c r="BK110" s="62" t="str">
        <f>IF(BK109="","",VLOOKUP(BK109,'Tech Tree Node Parameters'!$A$3:$B$218,2,FALSE))</f>
        <v/>
      </c>
      <c r="BL110" s="62" t="str">
        <f>IF(BL109="","",VLOOKUP(BL109,'Tech Tree Node Parameters'!$A$3:$B$218,2,FALSE))</f>
        <v/>
      </c>
      <c r="BM110" s="62" t="str">
        <f>IF(BM109="","",VLOOKUP(BM109,'Tech Tree Node Parameters'!$A$3:$B$218,2,FALSE))</f>
        <v/>
      </c>
      <c r="BN110" s="62" t="str">
        <f>IF(BN109="","",VLOOKUP(BN109,'Tech Tree Node Parameters'!$A$3:$B$218,2,FALSE))</f>
        <v/>
      </c>
      <c r="BO110" s="62" t="str">
        <f>IF(BO109="","",VLOOKUP(BO109,'Tech Tree Node Parameters'!$A$3:$B$218,2,FALSE))</f>
        <v/>
      </c>
      <c r="BP110" s="62" t="str">
        <f>IF(BP109="","",VLOOKUP(BP109,'Tech Tree Node Parameters'!$A$3:$B$218,2,FALSE))</f>
        <v/>
      </c>
      <c r="BQ110" s="62" t="str">
        <f>IF(BQ109="","",VLOOKUP(BQ109,'Tech Tree Node Parameters'!$A$3:$B$218,2,FALSE))</f>
        <v/>
      </c>
      <c r="BR110" s="62" t="str">
        <f>IF(BR109="","",VLOOKUP(BR109,'Tech Tree Node Parameters'!$A$3:$B$218,2,FALSE))</f>
        <v/>
      </c>
      <c r="BS110" s="62" t="str">
        <f>IF(BS109="","",VLOOKUP(BS109,'Tech Tree Node Parameters'!$A$3:$B$218,2,FALSE))</f>
        <v/>
      </c>
      <c r="BT110" s="62" t="str">
        <f>IF(BT109="","",VLOOKUP(BT109,'Tech Tree Node Parameters'!$A$3:$B$218,2,FALSE))</f>
        <v/>
      </c>
      <c r="BU110" s="62" t="str">
        <f>IF(BU109="","",VLOOKUP(BU109,'Tech Tree Node Parameters'!$A$3:$B$218,2,FALSE))</f>
        <v/>
      </c>
      <c r="BV110" s="62"/>
      <c r="BW110" s="62"/>
      <c r="BX110" s="62"/>
      <c r="BY110" s="62"/>
      <c r="BZ110" s="62"/>
      <c r="CA110" s="62"/>
      <c r="CB110" s="62"/>
      <c r="CC110" s="62"/>
      <c r="CD110" s="62"/>
      <c r="CE110" s="62"/>
      <c r="CF110" s="62"/>
      <c r="CG110" s="62"/>
      <c r="CH110" s="62"/>
      <c r="CI110" s="62"/>
      <c r="CJ110" s="62" t="str">
        <f>IF(CJ109="","",VLOOKUP(CJ109,'Tech Tree Node Parameters'!$A$3:$B$218,2,FALSE))</f>
        <v/>
      </c>
      <c r="CK110" s="62" t="str">
        <f>IF(CK109="","",VLOOKUP(CK109,'Tech Tree Node Parameters'!$A$3:$B$218,2,FALSE))</f>
        <v/>
      </c>
      <c r="CL110" s="62" t="str">
        <f>IF(CL109="","",VLOOKUP(CL109,'Tech Tree Node Parameters'!$A$3:$B$218,2,FALSE))</f>
        <v/>
      </c>
      <c r="CM110" s="62" t="str">
        <f>IF(CM109="","",VLOOKUP(CM109,'Tech Tree Node Parameters'!$A$3:$B$218,2,FALSE))</f>
        <v/>
      </c>
      <c r="CN110" s="62" t="str">
        <f>IF(CN109="","",VLOOKUP(CN109,'Tech Tree Node Parameters'!$A$3:$B$218,2,FALSE))</f>
        <v/>
      </c>
      <c r="CO110" s="62" t="str">
        <f>IF(CO109="","",VLOOKUP(CO109,'Tech Tree Node Parameters'!$A$3:$B$218,2,FALSE))</f>
        <v/>
      </c>
      <c r="CP110" s="62" t="str">
        <f>IF(CP109="","",VLOOKUP(CP109,'Tech Tree Node Parameters'!$A$3:$B$218,2,FALSE))</f>
        <v/>
      </c>
      <c r="CQ110" s="62" t="str">
        <f>IF(CQ109="","",VLOOKUP(CQ109,'Tech Tree Node Parameters'!$A$3:$B$218,2,FALSE))</f>
        <v/>
      </c>
      <c r="CR110" s="62" t="str">
        <f>IF(CR109="","",VLOOKUP(CR109,'Tech Tree Node Parameters'!$A$3:$B$218,2,FALSE))</f>
        <v/>
      </c>
      <c r="CS110" s="62" t="str">
        <f>IF(CS109="","",VLOOKUP(CS109,'Tech Tree Node Parameters'!$A$3:$B$218,2,FALSE))</f>
        <v/>
      </c>
      <c r="CT110" s="62" t="str">
        <f>IF(CT109="","",VLOOKUP(CT109,'Tech Tree Node Parameters'!$A$3:$B$218,2,FALSE))</f>
        <v/>
      </c>
      <c r="CU110" s="62" t="str">
        <f>IF(CU109="","",VLOOKUP(CU109,'Tech Tree Node Parameters'!$A$3:$B$218,2,FALSE))</f>
        <v/>
      </c>
      <c r="CV110" s="62" t="str">
        <f>IF(CV109="","",VLOOKUP(CV109,'Tech Tree Node Parameters'!$A$3:$B$218,2,FALSE))</f>
        <v/>
      </c>
      <c r="CW110" s="62" t="str">
        <f>IF(CW109="","",VLOOKUP(CW109,'Tech Tree Node Parameters'!$A$3:$B$218,2,FALSE))</f>
        <v/>
      </c>
      <c r="CX110" s="62" t="str">
        <f>IF(CX109="","",VLOOKUP(CX109,'Tech Tree Node Parameters'!$A$3:$B$218,2,FALSE))</f>
        <v/>
      </c>
      <c r="CY110" s="36" t="str">
        <f>IF(CY109="","",VLOOKUP(CY109,'Tech Tree Node Parameters'!$A$3:$B$218,2,FALSE))</f>
        <v/>
      </c>
    </row>
    <row r="111" spans="1:103" x14ac:dyDescent="0.25">
      <c r="A111" s="72">
        <f t="shared" ref="A111" si="34">A113+1</f>
        <v>8</v>
      </c>
      <c r="B111" s="69">
        <f>B113+$D$6</f>
        <v>341</v>
      </c>
      <c r="C111" s="39"/>
      <c r="D111" s="61"/>
      <c r="E111" s="61"/>
      <c r="F111" s="61"/>
      <c r="G111" s="61"/>
      <c r="H111" s="61"/>
      <c r="I111" s="61"/>
      <c r="J111" s="61"/>
      <c r="K111" s="61"/>
      <c r="L111" s="61"/>
      <c r="M111" s="61"/>
      <c r="N111" s="61"/>
      <c r="O111" s="61"/>
      <c r="P111" s="61"/>
      <c r="Q111" s="61"/>
      <c r="R111" s="61"/>
      <c r="S111" s="61"/>
      <c r="T111" s="61"/>
      <c r="U111" s="61"/>
      <c r="V111" s="61"/>
      <c r="W111" s="61"/>
      <c r="X111" s="61"/>
      <c r="Y111" s="61"/>
      <c r="Z111" s="61"/>
      <c r="AA111" s="61"/>
      <c r="AB111" s="61"/>
      <c r="AC111" s="61"/>
      <c r="AD111" s="61"/>
      <c r="AE111" s="61"/>
      <c r="AF111" s="61"/>
      <c r="AG111" s="61"/>
      <c r="AH111" s="61"/>
      <c r="AI111" s="61"/>
      <c r="AJ111" s="61"/>
      <c r="AK111" s="61"/>
      <c r="AL111" s="61"/>
      <c r="AM111" s="61"/>
      <c r="AN111" s="61"/>
      <c r="AO111" s="61"/>
      <c r="AP111" s="61"/>
      <c r="AQ111" s="61"/>
      <c r="AR111" s="61"/>
      <c r="AS111" s="61"/>
      <c r="AT111" s="61"/>
      <c r="AU111" s="61" t="s">
        <v>431</v>
      </c>
      <c r="AV111" s="61"/>
      <c r="AW111" s="61" t="s">
        <v>220</v>
      </c>
      <c r="AX111" s="61"/>
      <c r="AY111" s="61" t="s">
        <v>186</v>
      </c>
      <c r="AZ111" s="61"/>
      <c r="BA111" s="61" t="s">
        <v>191</v>
      </c>
      <c r="BB111" s="61"/>
      <c r="BC111" s="61"/>
      <c r="BD111" s="61"/>
      <c r="BE111" s="61"/>
      <c r="BF111" s="61"/>
      <c r="BG111" s="61" t="s">
        <v>203</v>
      </c>
      <c r="BH111" s="61"/>
      <c r="BI111" s="61"/>
      <c r="BJ111" s="61"/>
      <c r="BK111" s="61"/>
      <c r="BL111" s="61"/>
      <c r="BM111" s="61"/>
      <c r="BN111" s="61"/>
      <c r="BO111" s="61"/>
      <c r="BP111" s="61"/>
      <c r="BQ111" s="61"/>
      <c r="BR111" s="61"/>
      <c r="BS111" s="61"/>
      <c r="BT111" s="61"/>
      <c r="BU111" s="61"/>
      <c r="BV111" s="61"/>
      <c r="BW111" s="61"/>
      <c r="BX111" s="61"/>
      <c r="BY111" s="61"/>
      <c r="BZ111" s="61"/>
      <c r="CA111" s="61"/>
      <c r="CB111" s="61"/>
      <c r="CC111" s="61"/>
      <c r="CD111" s="61"/>
      <c r="CE111" s="61"/>
      <c r="CF111" s="61"/>
      <c r="CG111" s="61"/>
      <c r="CH111" s="61"/>
      <c r="CI111" s="61"/>
      <c r="CJ111" s="61"/>
      <c r="CK111" s="61"/>
      <c r="CL111" s="61"/>
      <c r="CM111" s="61"/>
      <c r="CN111" s="61"/>
      <c r="CO111" s="61"/>
      <c r="CP111" s="61"/>
      <c r="CQ111" s="61"/>
      <c r="CR111" s="61"/>
      <c r="CS111" s="61"/>
      <c r="CT111" s="61"/>
      <c r="CU111" s="61"/>
      <c r="CV111" s="61"/>
      <c r="CW111" s="61"/>
      <c r="CX111" s="61"/>
      <c r="CY111" s="35"/>
    </row>
    <row r="112" spans="1:103" x14ac:dyDescent="0.25">
      <c r="A112" s="72"/>
      <c r="B112" s="70"/>
      <c r="C112" s="40"/>
      <c r="D112" s="62" t="str">
        <f>IF(D111="","",VLOOKUP(D111,'Tech Tree Node Parameters'!$A$3:$B$218,2,FALSE))</f>
        <v/>
      </c>
      <c r="E112" s="62" t="str">
        <f>IF(E111="","",VLOOKUP(E111,'Tech Tree Node Parameters'!$A$3:$B$218,2,FALSE))</f>
        <v/>
      </c>
      <c r="F112" s="62" t="str">
        <f>IF(F111="","",VLOOKUP(F111,'Tech Tree Node Parameters'!$A$3:$B$218,2,FALSE))</f>
        <v/>
      </c>
      <c r="G112" s="62" t="str">
        <f>IF(G111="","",VLOOKUP(G111,'Tech Tree Node Parameters'!$A$3:$B$218,2,FALSE))</f>
        <v/>
      </c>
      <c r="H112" s="62" t="str">
        <f>IF(H111="","",VLOOKUP(H111,'Tech Tree Node Parameters'!$A$3:$B$218,2,FALSE))</f>
        <v/>
      </c>
      <c r="I112" s="62" t="str">
        <f>IF(I111="","",VLOOKUP(I111,'Tech Tree Node Parameters'!$A$3:$B$218,2,FALSE))</f>
        <v/>
      </c>
      <c r="J112" s="62" t="str">
        <f>IF(J111="","",VLOOKUP(J111,'Tech Tree Node Parameters'!$A$3:$B$218,2,FALSE))</f>
        <v/>
      </c>
      <c r="K112" s="62" t="str">
        <f>IF(K111="","",VLOOKUP(K111,'Tech Tree Node Parameters'!$A$3:$B$218,2,FALSE))</f>
        <v/>
      </c>
      <c r="L112" s="62" t="str">
        <f>IF(L111="","",VLOOKUP(L111,'Tech Tree Node Parameters'!$A$3:$B$218,2,FALSE))</f>
        <v/>
      </c>
      <c r="M112" s="62" t="str">
        <f>IF(M111="","",VLOOKUP(M111,'Tech Tree Node Parameters'!$A$3:$B$218,2,FALSE))</f>
        <v/>
      </c>
      <c r="N112" s="62" t="str">
        <f>IF(N111="","",VLOOKUP(N111,'Tech Tree Node Parameters'!$A$3:$B$218,2,FALSE))</f>
        <v/>
      </c>
      <c r="O112" s="62" t="str">
        <f>IF(O111="","",VLOOKUP(O111,'Tech Tree Node Parameters'!$A$3:$B$218,2,FALSE))</f>
        <v/>
      </c>
      <c r="P112" s="62" t="str">
        <f>IF(P111="","",VLOOKUP(P111,'Tech Tree Node Parameters'!$A$3:$B$218,2,FALSE))</f>
        <v/>
      </c>
      <c r="Q112" s="62" t="str">
        <f>IF(Q111="","",VLOOKUP(Q111,'Tech Tree Node Parameters'!$A$3:$B$218,2,FALSE))</f>
        <v/>
      </c>
      <c r="R112" s="62" t="str">
        <f>IF(R111="","",VLOOKUP(R111,'Tech Tree Node Parameters'!$A$3:$B$218,2,FALSE))</f>
        <v/>
      </c>
      <c r="S112" s="62" t="str">
        <f>IF(S111="","",VLOOKUP(S111,'Tech Tree Node Parameters'!$A$3:$B$218,2,FALSE))</f>
        <v/>
      </c>
      <c r="T112" s="62" t="str">
        <f>IF(T111="","",VLOOKUP(T111,'Tech Tree Node Parameters'!$A$3:$B$218,2,FALSE))</f>
        <v/>
      </c>
      <c r="U112" s="62" t="str">
        <f>IF(U111="","",VLOOKUP(U111,'Tech Tree Node Parameters'!$A$3:$B$218,2,FALSE))</f>
        <v/>
      </c>
      <c r="V112" s="62" t="str">
        <f>IF(V111="","",VLOOKUP(V111,'Tech Tree Node Parameters'!$A$3:$B$218,2,FALSE))</f>
        <v/>
      </c>
      <c r="W112" s="62" t="str">
        <f>IF(W111="","",VLOOKUP(W111,'Tech Tree Node Parameters'!$A$3:$B$218,2,FALSE))</f>
        <v/>
      </c>
      <c r="X112" s="62" t="str">
        <f>IF(X111="","",VLOOKUP(X111,'Tech Tree Node Parameters'!$A$3:$B$218,2,FALSE))</f>
        <v/>
      </c>
      <c r="Y112" s="62" t="str">
        <f>IF(Y111="","",VLOOKUP(Y111,'Tech Tree Node Parameters'!$A$3:$B$218,2,FALSE))</f>
        <v/>
      </c>
      <c r="Z112" s="62" t="str">
        <f>IF(Z111="","",VLOOKUP(Z111,'Tech Tree Node Parameters'!$A$3:$B$218,2,FALSE))</f>
        <v/>
      </c>
      <c r="AA112" s="62" t="str">
        <f>IF(AA111="","",VLOOKUP(AA111,'Tech Tree Node Parameters'!$A$3:$B$218,2,FALSE))</f>
        <v/>
      </c>
      <c r="AB112" s="62" t="str">
        <f>IF(AB111="","",VLOOKUP(AB111,'Tech Tree Node Parameters'!$A$3:$B$218,2,FALSE))</f>
        <v/>
      </c>
      <c r="AC112" s="62" t="str">
        <f>IF(AC111="","",VLOOKUP(AC111,'Tech Tree Node Parameters'!$A$3:$B$218,2,FALSE))</f>
        <v/>
      </c>
      <c r="AD112" s="62" t="str">
        <f>IF(AD111="","",VLOOKUP(AD111,'Tech Tree Node Parameters'!$A$3:$B$218,2,FALSE))</f>
        <v/>
      </c>
      <c r="AE112" s="62" t="str">
        <f>IF(AE111="","",VLOOKUP(AE111,'Tech Tree Node Parameters'!$A$3:$B$218,2,FALSE))</f>
        <v/>
      </c>
      <c r="AF112" s="62" t="str">
        <f>IF(AF111="","",VLOOKUP(AF111,'Tech Tree Node Parameters'!$A$3:$B$218,2,FALSE))</f>
        <v/>
      </c>
      <c r="AG112" s="62" t="str">
        <f>IF(AG111="","",VLOOKUP(AG111,'Tech Tree Node Parameters'!$A$3:$B$218,2,FALSE))</f>
        <v/>
      </c>
      <c r="AH112" s="62" t="str">
        <f>IF(AH111="","",VLOOKUP(AH111,'Tech Tree Node Parameters'!$A$3:$B$218,2,FALSE))</f>
        <v/>
      </c>
      <c r="AI112" s="62" t="str">
        <f>IF(AI111="","",VLOOKUP(AI111,'Tech Tree Node Parameters'!$A$3:$B$218,2,FALSE))</f>
        <v/>
      </c>
      <c r="AJ112" s="62" t="str">
        <f>IF(AJ111="","",VLOOKUP(AJ111,'Tech Tree Node Parameters'!$A$3:$B$218,2,FALSE))</f>
        <v/>
      </c>
      <c r="AK112" s="62" t="str">
        <f>IF(AK111="","",VLOOKUP(AK111,'Tech Tree Node Parameters'!$A$3:$B$218,2,FALSE))</f>
        <v/>
      </c>
      <c r="AL112" s="62" t="str">
        <f>IF(AL111="","",VLOOKUP(AL111,'Tech Tree Node Parameters'!$A$3:$B$218,2,FALSE))</f>
        <v/>
      </c>
      <c r="AM112" s="62" t="str">
        <f>IF(AM111="","",VLOOKUP(AM111,'Tech Tree Node Parameters'!$A$3:$B$218,2,FALSE))</f>
        <v/>
      </c>
      <c r="AN112" s="62" t="str">
        <f>IF(AN111="","",VLOOKUP(AN111,'Tech Tree Node Parameters'!$A$3:$B$218,2,FALSE))</f>
        <v/>
      </c>
      <c r="AO112" s="62" t="str">
        <f>IF(AO111="","",VLOOKUP(AO111,'Tech Tree Node Parameters'!$A$3:$B$218,2,FALSE))</f>
        <v/>
      </c>
      <c r="AP112" s="62" t="str">
        <f>IF(AP111="","",VLOOKUP(AP111,'Tech Tree Node Parameters'!$A$3:$B$218,2,FALSE))</f>
        <v/>
      </c>
      <c r="AQ112" s="62" t="str">
        <f>IF(AQ111="","",VLOOKUP(AQ111,'Tech Tree Node Parameters'!$A$3:$B$218,2,FALSE))</f>
        <v/>
      </c>
      <c r="AR112" s="62" t="str">
        <f>IF(AR111="","",VLOOKUP(AR111,'Tech Tree Node Parameters'!$A$3:$B$218,2,FALSE))</f>
        <v/>
      </c>
      <c r="AS112" s="62" t="str">
        <f>IF(AS111="","",VLOOKUP(AS111,'Tech Tree Node Parameters'!$A$3:$B$218,2,FALSE))</f>
        <v/>
      </c>
      <c r="AT112" s="62" t="str">
        <f>IF(AT111="","",VLOOKUP(AT111,'Tech Tree Node Parameters'!$A$3:$B$218,2,FALSE))</f>
        <v/>
      </c>
      <c r="AU112" s="62" t="str">
        <f>IF(AU111="","",VLOOKUP(AU111,'Tech Tree Node Parameters'!$A$3:$B$218,2,FALSE))</f>
        <v>Experimental Renewables Technology</v>
      </c>
      <c r="AV112" s="62" t="str">
        <f>IF(AV111="","",VLOOKUP(AV111,'Tech Tree Node Parameters'!$A$3:$B$218,2,FALSE))</f>
        <v/>
      </c>
      <c r="AW112" s="62" t="str">
        <f>IF(AW111="","",VLOOKUP(AW111,'Tech Tree Node Parameters'!$A$3:$B$218,2,FALSE))</f>
        <v>Experimental Electrical Systems</v>
      </c>
      <c r="AX112" s="62" t="str">
        <f>IF(AX111="","",VLOOKUP(AX111,'Tech Tree Node Parameters'!$A$3:$B$218,2,FALSE))</f>
        <v/>
      </c>
      <c r="AY112" s="62" t="str">
        <f>IF(AY111="","",VLOOKUP(AY111,'Tech Tree Node Parameters'!$A$3:$B$218,2,FALSE))</f>
        <v>Advanced Electrostatic Thrusters</v>
      </c>
      <c r="AZ112" s="62" t="str">
        <f>IF(AZ111="","",VLOOKUP(AZ111,'Tech Tree Node Parameters'!$A$3:$B$218,2,FALSE))</f>
        <v/>
      </c>
      <c r="BA112" s="62" t="str">
        <f>IF(BA111="","",VLOOKUP(BA111,'Tech Tree Node Parameters'!$A$3:$B$218,2,FALSE))</f>
        <v>Advanced Plasma Propulsion</v>
      </c>
      <c r="BB112" s="62" t="str">
        <f>IF(BB111="","",VLOOKUP(BB111,'Tech Tree Node Parameters'!$A$3:$B$218,2,FALSE))</f>
        <v/>
      </c>
      <c r="BC112" s="62" t="str">
        <f>IF(BC111="","",VLOOKUP(BC111,'Tech Tree Node Parameters'!$A$3:$B$218,2,FALSE))</f>
        <v/>
      </c>
      <c r="BD112" s="62" t="str">
        <f>IF(BD111="","",VLOOKUP(BD111,'Tech Tree Node Parameters'!$A$3:$B$218,2,FALSE))</f>
        <v/>
      </c>
      <c r="BE112" s="62" t="str">
        <f>IF(BE111="","",VLOOKUP(BE111,'Tech Tree Node Parameters'!$A$3:$B$218,2,FALSE))</f>
        <v/>
      </c>
      <c r="BF112" s="62" t="str">
        <f>IF(BF111="","",VLOOKUP(BF111,'Tech Tree Node Parameters'!$A$3:$B$218,2,FALSE))</f>
        <v/>
      </c>
      <c r="BG112" s="62" t="str">
        <f>IF(BG111="","",VLOOKUP(BG111,'Tech Tree Node Parameters'!$A$3:$B$218,2,FALSE))</f>
        <v>Particle Physics</v>
      </c>
      <c r="BH112" s="62" t="str">
        <f>IF(BH111="","",VLOOKUP(BH111,'Tech Tree Node Parameters'!$A$3:$B$218,2,FALSE))</f>
        <v/>
      </c>
      <c r="BI112" s="62" t="str">
        <f>IF(BI111="","",VLOOKUP(BI111,'Tech Tree Node Parameters'!$A$3:$B$218,2,FALSE))</f>
        <v/>
      </c>
      <c r="BJ112" s="62" t="str">
        <f>IF(BJ111="","",VLOOKUP(BJ111,'Tech Tree Node Parameters'!$A$3:$B$218,2,FALSE))</f>
        <v/>
      </c>
      <c r="BK112" s="62" t="str">
        <f>IF(BK111="","",VLOOKUP(BK111,'Tech Tree Node Parameters'!$A$3:$B$218,2,FALSE))</f>
        <v/>
      </c>
      <c r="BL112" s="62" t="str">
        <f>IF(BL111="","",VLOOKUP(BL111,'Tech Tree Node Parameters'!$A$3:$B$218,2,FALSE))</f>
        <v/>
      </c>
      <c r="BM112" s="62" t="str">
        <f>IF(BM111="","",VLOOKUP(BM111,'Tech Tree Node Parameters'!$A$3:$B$218,2,FALSE))</f>
        <v/>
      </c>
      <c r="BN112" s="62" t="str">
        <f>IF(BN111="","",VLOOKUP(BN111,'Tech Tree Node Parameters'!$A$3:$B$218,2,FALSE))</f>
        <v/>
      </c>
      <c r="BO112" s="62" t="str">
        <f>IF(BO111="","",VLOOKUP(BO111,'Tech Tree Node Parameters'!$A$3:$B$218,2,FALSE))</f>
        <v/>
      </c>
      <c r="BP112" s="62" t="str">
        <f>IF(BP111="","",VLOOKUP(BP111,'Tech Tree Node Parameters'!$A$3:$B$218,2,FALSE))</f>
        <v/>
      </c>
      <c r="BQ112" s="62" t="str">
        <f>IF(BQ111="","",VLOOKUP(BQ111,'Tech Tree Node Parameters'!$A$3:$B$218,2,FALSE))</f>
        <v/>
      </c>
      <c r="BR112" s="62" t="str">
        <f>IF(BR111="","",VLOOKUP(BR111,'Tech Tree Node Parameters'!$A$3:$B$218,2,FALSE))</f>
        <v/>
      </c>
      <c r="BS112" s="62" t="str">
        <f>IF(BS111="","",VLOOKUP(BS111,'Tech Tree Node Parameters'!$A$3:$B$218,2,FALSE))</f>
        <v/>
      </c>
      <c r="BT112" s="62" t="str">
        <f>IF(BT111="","",VLOOKUP(BT111,'Tech Tree Node Parameters'!$A$3:$B$218,2,FALSE))</f>
        <v/>
      </c>
      <c r="BU112" s="62" t="str">
        <f>IF(BU111="","",VLOOKUP(BU111,'Tech Tree Node Parameters'!$A$3:$B$218,2,FALSE))</f>
        <v/>
      </c>
      <c r="BV112" s="62"/>
      <c r="BW112" s="62"/>
      <c r="BX112" s="62"/>
      <c r="BY112" s="62"/>
      <c r="BZ112" s="62"/>
      <c r="CA112" s="62"/>
      <c r="CB112" s="62"/>
      <c r="CC112" s="62"/>
      <c r="CD112" s="62"/>
      <c r="CE112" s="62"/>
      <c r="CF112" s="62"/>
      <c r="CG112" s="62"/>
      <c r="CH112" s="62"/>
      <c r="CI112" s="62"/>
      <c r="CJ112" s="62" t="str">
        <f>IF(CJ111="","",VLOOKUP(CJ111,'Tech Tree Node Parameters'!$A$3:$B$218,2,FALSE))</f>
        <v/>
      </c>
      <c r="CK112" s="62" t="str">
        <f>IF(CK111="","",VLOOKUP(CK111,'Tech Tree Node Parameters'!$A$3:$B$218,2,FALSE))</f>
        <v/>
      </c>
      <c r="CL112" s="62" t="str">
        <f>IF(CL111="","",VLOOKUP(CL111,'Tech Tree Node Parameters'!$A$3:$B$218,2,FALSE))</f>
        <v/>
      </c>
      <c r="CM112" s="62" t="str">
        <f>IF(CM111="","",VLOOKUP(CM111,'Tech Tree Node Parameters'!$A$3:$B$218,2,FALSE))</f>
        <v/>
      </c>
      <c r="CN112" s="62" t="str">
        <f>IF(CN111="","",VLOOKUP(CN111,'Tech Tree Node Parameters'!$A$3:$B$218,2,FALSE))</f>
        <v/>
      </c>
      <c r="CO112" s="62" t="str">
        <f>IF(CO111="","",VLOOKUP(CO111,'Tech Tree Node Parameters'!$A$3:$B$218,2,FALSE))</f>
        <v/>
      </c>
      <c r="CP112" s="62" t="str">
        <f>IF(CP111="","",VLOOKUP(CP111,'Tech Tree Node Parameters'!$A$3:$B$218,2,FALSE))</f>
        <v/>
      </c>
      <c r="CQ112" s="62" t="str">
        <f>IF(CQ111="","",VLOOKUP(CQ111,'Tech Tree Node Parameters'!$A$3:$B$218,2,FALSE))</f>
        <v/>
      </c>
      <c r="CR112" s="62" t="str">
        <f>IF(CR111="","",VLOOKUP(CR111,'Tech Tree Node Parameters'!$A$3:$B$218,2,FALSE))</f>
        <v/>
      </c>
      <c r="CS112" s="62" t="str">
        <f>IF(CS111="","",VLOOKUP(CS111,'Tech Tree Node Parameters'!$A$3:$B$218,2,FALSE))</f>
        <v/>
      </c>
      <c r="CT112" s="62" t="str">
        <f>IF(CT111="","",VLOOKUP(CT111,'Tech Tree Node Parameters'!$A$3:$B$218,2,FALSE))</f>
        <v/>
      </c>
      <c r="CU112" s="62" t="str">
        <f>IF(CU111="","",VLOOKUP(CU111,'Tech Tree Node Parameters'!$A$3:$B$218,2,FALSE))</f>
        <v/>
      </c>
      <c r="CV112" s="62" t="str">
        <f>IF(CV111="","",VLOOKUP(CV111,'Tech Tree Node Parameters'!$A$3:$B$218,2,FALSE))</f>
        <v/>
      </c>
      <c r="CW112" s="62" t="str">
        <f>IF(CW111="","",VLOOKUP(CW111,'Tech Tree Node Parameters'!$A$3:$B$218,2,FALSE))</f>
        <v/>
      </c>
      <c r="CX112" s="62" t="str">
        <f>IF(CX111="","",VLOOKUP(CX111,'Tech Tree Node Parameters'!$A$3:$B$218,2,FALSE))</f>
        <v/>
      </c>
      <c r="CY112" s="36" t="str">
        <f>IF(CY111="","",VLOOKUP(CY111,'Tech Tree Node Parameters'!$A$3:$B$218,2,FALSE))</f>
        <v/>
      </c>
    </row>
    <row r="113" spans="1:103" x14ac:dyDescent="0.25">
      <c r="A113" s="72">
        <f t="shared" ref="A113" si="35">A115+1</f>
        <v>7</v>
      </c>
      <c r="B113" s="69">
        <f>B115+$D$6</f>
        <v>303</v>
      </c>
      <c r="C113" s="39"/>
      <c r="D113" s="61"/>
      <c r="E113" s="61"/>
      <c r="F113" s="61"/>
      <c r="G113" s="61"/>
      <c r="H113" s="61"/>
      <c r="I113" s="61"/>
      <c r="J113" s="61"/>
      <c r="K113" s="61"/>
      <c r="L113" s="61"/>
      <c r="M113" s="61"/>
      <c r="N113" s="61"/>
      <c r="O113" s="61"/>
      <c r="P113" s="61"/>
      <c r="Q113" s="61"/>
      <c r="R113" s="61"/>
      <c r="S113" s="61"/>
      <c r="T113" s="61"/>
      <c r="U113" s="61"/>
      <c r="V113" s="61"/>
      <c r="W113" s="61"/>
      <c r="X113" s="61"/>
      <c r="Y113" s="61"/>
      <c r="Z113" s="61"/>
      <c r="AA113" s="61"/>
      <c r="AB113" s="61"/>
      <c r="AC113" s="61"/>
      <c r="AD113" s="61"/>
      <c r="AE113" s="61"/>
      <c r="AF113" s="61"/>
      <c r="AG113" s="61"/>
      <c r="AH113" s="61"/>
      <c r="AI113" s="61"/>
      <c r="AJ113" s="61"/>
      <c r="AK113" s="61"/>
      <c r="AL113" s="61"/>
      <c r="AM113" s="61"/>
      <c r="AN113" s="61"/>
      <c r="AO113" s="61"/>
      <c r="AP113" s="61"/>
      <c r="AQ113" s="61"/>
      <c r="AR113" s="61"/>
      <c r="AS113" s="61"/>
      <c r="AT113" s="61"/>
      <c r="AU113" s="61"/>
      <c r="AV113" s="61"/>
      <c r="AW113" s="61"/>
      <c r="AX113" s="61"/>
      <c r="AY113" s="61"/>
      <c r="AZ113" s="61"/>
      <c r="BA113" s="61"/>
      <c r="BB113" s="61"/>
      <c r="BC113" s="61"/>
      <c r="BD113" s="61"/>
      <c r="BE113" s="61"/>
      <c r="BF113" s="61"/>
      <c r="BG113" s="61"/>
      <c r="BH113" s="61"/>
      <c r="BI113" s="61"/>
      <c r="BJ113" s="61"/>
      <c r="BK113" s="61"/>
      <c r="BL113" s="61"/>
      <c r="BM113" s="61"/>
      <c r="BN113" s="61"/>
      <c r="BO113" s="61"/>
      <c r="BP113" s="61"/>
      <c r="BQ113" s="61"/>
      <c r="BR113" s="61"/>
      <c r="BS113" s="61"/>
      <c r="BT113" s="61"/>
      <c r="BU113" s="61"/>
      <c r="BV113" s="61"/>
      <c r="BW113" s="61"/>
      <c r="BX113" s="61"/>
      <c r="BY113" s="61"/>
      <c r="BZ113" s="61"/>
      <c r="CA113" s="61"/>
      <c r="CB113" s="61"/>
      <c r="CC113" s="61"/>
      <c r="CD113" s="61"/>
      <c r="CE113" s="61"/>
      <c r="CF113" s="61"/>
      <c r="CG113" s="61"/>
      <c r="CH113" s="61"/>
      <c r="CI113" s="61"/>
      <c r="CJ113" s="61"/>
      <c r="CK113" s="61"/>
      <c r="CL113" s="61"/>
      <c r="CM113" s="61"/>
      <c r="CN113" s="61"/>
      <c r="CO113" s="61"/>
      <c r="CP113" s="61"/>
      <c r="CQ113" s="61"/>
      <c r="CR113" s="61"/>
      <c r="CS113" s="61"/>
      <c r="CT113" s="61"/>
      <c r="CU113" s="61"/>
      <c r="CV113" s="61"/>
      <c r="CW113" s="61"/>
      <c r="CX113" s="61"/>
      <c r="CY113" s="35"/>
    </row>
    <row r="114" spans="1:103" x14ac:dyDescent="0.25">
      <c r="A114" s="72"/>
      <c r="B114" s="70"/>
      <c r="C114" s="40"/>
      <c r="D114" s="62" t="str">
        <f>IF(D113="","",VLOOKUP(D113,'Tech Tree Node Parameters'!$A$3:$B$218,2,FALSE))</f>
        <v/>
      </c>
      <c r="E114" s="62" t="str">
        <f>IF(E113="","",VLOOKUP(E113,'Tech Tree Node Parameters'!$A$3:$B$218,2,FALSE))</f>
        <v/>
      </c>
      <c r="F114" s="62" t="str">
        <f>IF(F113="","",VLOOKUP(F113,'Tech Tree Node Parameters'!$A$3:$B$218,2,FALSE))</f>
        <v/>
      </c>
      <c r="G114" s="62" t="str">
        <f>IF(G113="","",VLOOKUP(G113,'Tech Tree Node Parameters'!$A$3:$B$218,2,FALSE))</f>
        <v/>
      </c>
      <c r="H114" s="62" t="str">
        <f>IF(H113="","",VLOOKUP(H113,'Tech Tree Node Parameters'!$A$3:$B$218,2,FALSE))</f>
        <v/>
      </c>
      <c r="I114" s="62" t="str">
        <f>IF(I113="","",VLOOKUP(I113,'Tech Tree Node Parameters'!$A$3:$B$218,2,FALSE))</f>
        <v/>
      </c>
      <c r="J114" s="62" t="str">
        <f>IF(J113="","",VLOOKUP(J113,'Tech Tree Node Parameters'!$A$3:$B$218,2,FALSE))</f>
        <v/>
      </c>
      <c r="K114" s="62" t="str">
        <f>IF(K113="","",VLOOKUP(K113,'Tech Tree Node Parameters'!$A$3:$B$218,2,FALSE))</f>
        <v/>
      </c>
      <c r="L114" s="62" t="str">
        <f>IF(L113="","",VLOOKUP(L113,'Tech Tree Node Parameters'!$A$3:$B$218,2,FALSE))</f>
        <v/>
      </c>
      <c r="M114" s="62" t="str">
        <f>IF(M113="","",VLOOKUP(M113,'Tech Tree Node Parameters'!$A$3:$B$218,2,FALSE))</f>
        <v/>
      </c>
      <c r="N114" s="62" t="str">
        <f>IF(N113="","",VLOOKUP(N113,'Tech Tree Node Parameters'!$A$3:$B$218,2,FALSE))</f>
        <v/>
      </c>
      <c r="O114" s="62" t="str">
        <f>IF(O113="","",VLOOKUP(O113,'Tech Tree Node Parameters'!$A$3:$B$218,2,FALSE))</f>
        <v/>
      </c>
      <c r="P114" s="62" t="str">
        <f>IF(P113="","",VLOOKUP(P113,'Tech Tree Node Parameters'!$A$3:$B$218,2,FALSE))</f>
        <v/>
      </c>
      <c r="Q114" s="62" t="str">
        <f>IF(Q113="","",VLOOKUP(Q113,'Tech Tree Node Parameters'!$A$3:$B$218,2,FALSE))</f>
        <v/>
      </c>
      <c r="R114" s="62" t="str">
        <f>IF(R113="","",VLOOKUP(R113,'Tech Tree Node Parameters'!$A$3:$B$218,2,FALSE))</f>
        <v/>
      </c>
      <c r="S114" s="62" t="str">
        <f>IF(S113="","",VLOOKUP(S113,'Tech Tree Node Parameters'!$A$3:$B$218,2,FALSE))</f>
        <v/>
      </c>
      <c r="T114" s="62" t="str">
        <f>IF(T113="","",VLOOKUP(T113,'Tech Tree Node Parameters'!$A$3:$B$218,2,FALSE))</f>
        <v/>
      </c>
      <c r="U114" s="62" t="str">
        <f>IF(U113="","",VLOOKUP(U113,'Tech Tree Node Parameters'!$A$3:$B$218,2,FALSE))</f>
        <v/>
      </c>
      <c r="V114" s="62" t="str">
        <f>IF(V113="","",VLOOKUP(V113,'Tech Tree Node Parameters'!$A$3:$B$218,2,FALSE))</f>
        <v/>
      </c>
      <c r="W114" s="62" t="str">
        <f>IF(W113="","",VLOOKUP(W113,'Tech Tree Node Parameters'!$A$3:$B$218,2,FALSE))</f>
        <v/>
      </c>
      <c r="X114" s="62" t="str">
        <f>IF(X113="","",VLOOKUP(X113,'Tech Tree Node Parameters'!$A$3:$B$218,2,FALSE))</f>
        <v/>
      </c>
      <c r="Y114" s="62" t="str">
        <f>IF(Y113="","",VLOOKUP(Y113,'Tech Tree Node Parameters'!$A$3:$B$218,2,FALSE))</f>
        <v/>
      </c>
      <c r="Z114" s="62" t="str">
        <f>IF(Z113="","",VLOOKUP(Z113,'Tech Tree Node Parameters'!$A$3:$B$218,2,FALSE))</f>
        <v/>
      </c>
      <c r="AA114" s="62" t="str">
        <f>IF(AA113="","",VLOOKUP(AA113,'Tech Tree Node Parameters'!$A$3:$B$218,2,FALSE))</f>
        <v/>
      </c>
      <c r="AB114" s="62" t="str">
        <f>IF(AB113="","",VLOOKUP(AB113,'Tech Tree Node Parameters'!$A$3:$B$218,2,FALSE))</f>
        <v/>
      </c>
      <c r="AC114" s="62" t="str">
        <f>IF(AC113="","",VLOOKUP(AC113,'Tech Tree Node Parameters'!$A$3:$B$218,2,FALSE))</f>
        <v/>
      </c>
      <c r="AD114" s="62" t="str">
        <f>IF(AD113="","",VLOOKUP(AD113,'Tech Tree Node Parameters'!$A$3:$B$218,2,FALSE))</f>
        <v/>
      </c>
      <c r="AE114" s="62" t="str">
        <f>IF(AE113="","",VLOOKUP(AE113,'Tech Tree Node Parameters'!$A$3:$B$218,2,FALSE))</f>
        <v/>
      </c>
      <c r="AF114" s="62" t="str">
        <f>IF(AF113="","",VLOOKUP(AF113,'Tech Tree Node Parameters'!$A$3:$B$218,2,FALSE))</f>
        <v/>
      </c>
      <c r="AG114" s="62" t="str">
        <f>IF(AG113="","",VLOOKUP(AG113,'Tech Tree Node Parameters'!$A$3:$B$218,2,FALSE))</f>
        <v/>
      </c>
      <c r="AH114" s="62" t="str">
        <f>IF(AH113="","",VLOOKUP(AH113,'Tech Tree Node Parameters'!$A$3:$B$218,2,FALSE))</f>
        <v/>
      </c>
      <c r="AI114" s="62" t="str">
        <f>IF(AI113="","",VLOOKUP(AI113,'Tech Tree Node Parameters'!$A$3:$B$218,2,FALSE))</f>
        <v/>
      </c>
      <c r="AJ114" s="62" t="str">
        <f>IF(AJ113="","",VLOOKUP(AJ113,'Tech Tree Node Parameters'!$A$3:$B$218,2,FALSE))</f>
        <v/>
      </c>
      <c r="AK114" s="62" t="str">
        <f>IF(AK113="","",VLOOKUP(AK113,'Tech Tree Node Parameters'!$A$3:$B$218,2,FALSE))</f>
        <v/>
      </c>
      <c r="AL114" s="62" t="str">
        <f>IF(AL113="","",VLOOKUP(AL113,'Tech Tree Node Parameters'!$A$3:$B$218,2,FALSE))</f>
        <v/>
      </c>
      <c r="AM114" s="62" t="str">
        <f>IF(AM113="","",VLOOKUP(AM113,'Tech Tree Node Parameters'!$A$3:$B$218,2,FALSE))</f>
        <v/>
      </c>
      <c r="AN114" s="62" t="str">
        <f>IF(AN113="","",VLOOKUP(AN113,'Tech Tree Node Parameters'!$A$3:$B$218,2,FALSE))</f>
        <v/>
      </c>
      <c r="AO114" s="62" t="str">
        <f>IF(AO113="","",VLOOKUP(AO113,'Tech Tree Node Parameters'!$A$3:$B$218,2,FALSE))</f>
        <v/>
      </c>
      <c r="AP114" s="62" t="str">
        <f>IF(AP113="","",VLOOKUP(AP113,'Tech Tree Node Parameters'!$A$3:$B$218,2,FALSE))</f>
        <v/>
      </c>
      <c r="AQ114" s="62" t="str">
        <f>IF(AQ113="","",VLOOKUP(AQ113,'Tech Tree Node Parameters'!$A$3:$B$218,2,FALSE))</f>
        <v/>
      </c>
      <c r="AR114" s="62" t="str">
        <f>IF(AR113="","",VLOOKUP(AR113,'Tech Tree Node Parameters'!$A$3:$B$218,2,FALSE))</f>
        <v/>
      </c>
      <c r="AS114" s="62" t="str">
        <f>IF(AS113="","",VLOOKUP(AS113,'Tech Tree Node Parameters'!$A$3:$B$218,2,FALSE))</f>
        <v/>
      </c>
      <c r="AT114" s="62" t="str">
        <f>IF(AT113="","",VLOOKUP(AT113,'Tech Tree Node Parameters'!$A$3:$B$218,2,FALSE))</f>
        <v/>
      </c>
      <c r="AU114" s="62" t="str">
        <f>IF(AU113="","",VLOOKUP(AU113,'Tech Tree Node Parameters'!$A$3:$B$218,2,FALSE))</f>
        <v/>
      </c>
      <c r="AV114" s="62" t="str">
        <f>IF(AV113="","",VLOOKUP(AV113,'Tech Tree Node Parameters'!$A$3:$B$218,2,FALSE))</f>
        <v/>
      </c>
      <c r="AW114" s="62" t="str">
        <f>IF(AW113="","",VLOOKUP(AW113,'Tech Tree Node Parameters'!$A$3:$B$218,2,FALSE))</f>
        <v/>
      </c>
      <c r="AX114" s="62" t="str">
        <f>IF(AX113="","",VLOOKUP(AX113,'Tech Tree Node Parameters'!$A$3:$B$218,2,FALSE))</f>
        <v/>
      </c>
      <c r="AY114" s="62" t="str">
        <f>IF(AY113="","",VLOOKUP(AY113,'Tech Tree Node Parameters'!$A$3:$B$218,2,FALSE))</f>
        <v/>
      </c>
      <c r="AZ114" s="62" t="str">
        <f>IF(AZ113="","",VLOOKUP(AZ113,'Tech Tree Node Parameters'!$A$3:$B$218,2,FALSE))</f>
        <v/>
      </c>
      <c r="BA114" s="62" t="str">
        <f>IF(BA113="","",VLOOKUP(BA113,'Tech Tree Node Parameters'!$A$3:$B$218,2,FALSE))</f>
        <v/>
      </c>
      <c r="BB114" s="62" t="str">
        <f>IF(BB113="","",VLOOKUP(BB113,'Tech Tree Node Parameters'!$A$3:$B$218,2,FALSE))</f>
        <v/>
      </c>
      <c r="BC114" s="62" t="str">
        <f>IF(BC113="","",VLOOKUP(BC113,'Tech Tree Node Parameters'!$A$3:$B$218,2,FALSE))</f>
        <v/>
      </c>
      <c r="BD114" s="62" t="str">
        <f>IF(BD113="","",VLOOKUP(BD113,'Tech Tree Node Parameters'!$A$3:$B$218,2,FALSE))</f>
        <v/>
      </c>
      <c r="BE114" s="62" t="str">
        <f>IF(BE113="","",VLOOKUP(BE113,'Tech Tree Node Parameters'!$A$3:$B$218,2,FALSE))</f>
        <v/>
      </c>
      <c r="BF114" s="62" t="str">
        <f>IF(BF113="","",VLOOKUP(BF113,'Tech Tree Node Parameters'!$A$3:$B$218,2,FALSE))</f>
        <v/>
      </c>
      <c r="BG114" s="62" t="str">
        <f>IF(BG113="","",VLOOKUP(BG113,'Tech Tree Node Parameters'!$A$3:$B$218,2,FALSE))</f>
        <v/>
      </c>
      <c r="BH114" s="62" t="str">
        <f>IF(BH113="","",VLOOKUP(BH113,'Tech Tree Node Parameters'!$A$3:$B$218,2,FALSE))</f>
        <v/>
      </c>
      <c r="BI114" s="62" t="str">
        <f>IF(BI113="","",VLOOKUP(BI113,'Tech Tree Node Parameters'!$A$3:$B$218,2,FALSE))</f>
        <v/>
      </c>
      <c r="BJ114" s="62" t="str">
        <f>IF(BJ113="","",VLOOKUP(BJ113,'Tech Tree Node Parameters'!$A$3:$B$218,2,FALSE))</f>
        <v/>
      </c>
      <c r="BK114" s="62" t="str">
        <f>IF(BK113="","",VLOOKUP(BK113,'Tech Tree Node Parameters'!$A$3:$B$218,2,FALSE))</f>
        <v/>
      </c>
      <c r="BL114" s="62" t="str">
        <f>IF(BL113="","",VLOOKUP(BL113,'Tech Tree Node Parameters'!$A$3:$B$218,2,FALSE))</f>
        <v/>
      </c>
      <c r="BM114" s="62" t="str">
        <f>IF(BM113="","",VLOOKUP(BM113,'Tech Tree Node Parameters'!$A$3:$B$218,2,FALSE))</f>
        <v/>
      </c>
      <c r="BN114" s="62" t="str">
        <f>IF(BN113="","",VLOOKUP(BN113,'Tech Tree Node Parameters'!$A$3:$B$218,2,FALSE))</f>
        <v/>
      </c>
      <c r="BO114" s="62" t="str">
        <f>IF(BO113="","",VLOOKUP(BO113,'Tech Tree Node Parameters'!$A$3:$B$218,2,FALSE))</f>
        <v/>
      </c>
      <c r="BP114" s="62" t="str">
        <f>IF(BP113="","",VLOOKUP(BP113,'Tech Tree Node Parameters'!$A$3:$B$218,2,FALSE))</f>
        <v/>
      </c>
      <c r="BQ114" s="62" t="str">
        <f>IF(BQ113="","",VLOOKUP(BQ113,'Tech Tree Node Parameters'!$A$3:$B$218,2,FALSE))</f>
        <v/>
      </c>
      <c r="BR114" s="62" t="str">
        <f>IF(BR113="","",VLOOKUP(BR113,'Tech Tree Node Parameters'!$A$3:$B$218,2,FALSE))</f>
        <v/>
      </c>
      <c r="BS114" s="62" t="str">
        <f>IF(BS113="","",VLOOKUP(BS113,'Tech Tree Node Parameters'!$A$3:$B$218,2,FALSE))</f>
        <v/>
      </c>
      <c r="BT114" s="62" t="str">
        <f>IF(BT113="","",VLOOKUP(BT113,'Tech Tree Node Parameters'!$A$3:$B$218,2,FALSE))</f>
        <v/>
      </c>
      <c r="BU114" s="62"/>
      <c r="BV114" s="62"/>
      <c r="BW114" s="62"/>
      <c r="BX114" s="62"/>
      <c r="BY114" s="62"/>
      <c r="BZ114" s="62"/>
      <c r="CA114" s="62"/>
      <c r="CB114" s="62"/>
      <c r="CC114" s="62"/>
      <c r="CD114" s="62"/>
      <c r="CE114" s="62"/>
      <c r="CF114" s="62"/>
      <c r="CG114" s="62"/>
      <c r="CH114" s="62"/>
      <c r="CI114" s="62"/>
      <c r="CJ114" s="62" t="str">
        <f>IF(CJ113="","",VLOOKUP(CJ113,'Tech Tree Node Parameters'!$A$3:$B$218,2,FALSE))</f>
        <v/>
      </c>
      <c r="CK114" s="62" t="str">
        <f>IF(CK113="","",VLOOKUP(CK113,'Tech Tree Node Parameters'!$A$3:$B$218,2,FALSE))</f>
        <v/>
      </c>
      <c r="CL114" s="62" t="str">
        <f>IF(CL113="","",VLOOKUP(CL113,'Tech Tree Node Parameters'!$A$3:$B$218,2,FALSE))</f>
        <v/>
      </c>
      <c r="CM114" s="62" t="str">
        <f>IF(CM113="","",VLOOKUP(CM113,'Tech Tree Node Parameters'!$A$3:$B$218,2,FALSE))</f>
        <v/>
      </c>
      <c r="CN114" s="62" t="str">
        <f>IF(CN113="","",VLOOKUP(CN113,'Tech Tree Node Parameters'!$A$3:$B$218,2,FALSE))</f>
        <v/>
      </c>
      <c r="CO114" s="62" t="str">
        <f>IF(CO113="","",VLOOKUP(CO113,'Tech Tree Node Parameters'!$A$3:$B$218,2,FALSE))</f>
        <v/>
      </c>
      <c r="CP114" s="62" t="str">
        <f>IF(CP113="","",VLOOKUP(CP113,'Tech Tree Node Parameters'!$A$3:$B$218,2,FALSE))</f>
        <v/>
      </c>
      <c r="CQ114" s="62" t="str">
        <f>IF(CQ113="","",VLOOKUP(CQ113,'Tech Tree Node Parameters'!$A$3:$B$218,2,FALSE))</f>
        <v/>
      </c>
      <c r="CR114" s="62" t="str">
        <f>IF(CR113="","",VLOOKUP(CR113,'Tech Tree Node Parameters'!$A$3:$B$218,2,FALSE))</f>
        <v/>
      </c>
      <c r="CS114" s="62" t="str">
        <f>IF(CS113="","",VLOOKUP(CS113,'Tech Tree Node Parameters'!$A$3:$B$218,2,FALSE))</f>
        <v/>
      </c>
      <c r="CT114" s="62" t="str">
        <f>IF(CT113="","",VLOOKUP(CT113,'Tech Tree Node Parameters'!$A$3:$B$218,2,FALSE))</f>
        <v/>
      </c>
      <c r="CU114" s="62" t="str">
        <f>IF(CU113="","",VLOOKUP(CU113,'Tech Tree Node Parameters'!$A$3:$B$218,2,FALSE))</f>
        <v/>
      </c>
      <c r="CV114" s="62" t="str">
        <f>IF(CV113="","",VLOOKUP(CV113,'Tech Tree Node Parameters'!$A$3:$B$218,2,FALSE))</f>
        <v/>
      </c>
      <c r="CW114" s="62" t="str">
        <f>IF(CW113="","",VLOOKUP(CW113,'Tech Tree Node Parameters'!$A$3:$B$218,2,FALSE))</f>
        <v/>
      </c>
      <c r="CX114" s="62" t="str">
        <f>IF(CX113="","",VLOOKUP(CX113,'Tech Tree Node Parameters'!$A$3:$B$218,2,FALSE))</f>
        <v/>
      </c>
      <c r="CY114" s="36" t="str">
        <f>IF(CY113="","",VLOOKUP(CY113,'Tech Tree Node Parameters'!$A$3:$B$218,2,FALSE))</f>
        <v/>
      </c>
    </row>
    <row r="115" spans="1:103" x14ac:dyDescent="0.25">
      <c r="A115" s="72">
        <f t="shared" ref="A115" si="36">A117+1</f>
        <v>6</v>
      </c>
      <c r="B115" s="69">
        <f>B117+$D$6</f>
        <v>265</v>
      </c>
      <c r="C115" s="39"/>
      <c r="D115" s="61"/>
      <c r="E115" s="61"/>
      <c r="F115" s="61"/>
      <c r="G115" s="61"/>
      <c r="H115" s="61"/>
      <c r="I115" s="61"/>
      <c r="J115" s="61"/>
      <c r="K115" s="61"/>
      <c r="L115" s="61"/>
      <c r="M115" s="61"/>
      <c r="N115" s="61"/>
      <c r="O115" s="61"/>
      <c r="P115" s="61"/>
      <c r="Q115" s="61"/>
      <c r="R115" s="61"/>
      <c r="S115" s="61"/>
      <c r="T115" s="61"/>
      <c r="U115" s="61"/>
      <c r="V115" s="61"/>
      <c r="W115" s="61"/>
      <c r="X115" s="61"/>
      <c r="Y115" s="61"/>
      <c r="Z115" s="61"/>
      <c r="AA115" s="61"/>
      <c r="AB115" s="61"/>
      <c r="AC115" s="61"/>
      <c r="AD115" s="61"/>
      <c r="AE115" s="61"/>
      <c r="AF115" s="61"/>
      <c r="AG115" s="61"/>
      <c r="AH115" s="61"/>
      <c r="AI115" s="61"/>
      <c r="AJ115" s="61"/>
      <c r="AK115" s="61"/>
      <c r="AL115" s="61"/>
      <c r="AM115" s="61"/>
      <c r="AN115" s="61"/>
      <c r="AO115" s="61"/>
      <c r="AP115" s="61"/>
      <c r="AQ115" s="61"/>
      <c r="AR115" s="61"/>
      <c r="AS115" s="61"/>
      <c r="AT115" s="61"/>
      <c r="AU115" s="61"/>
      <c r="AV115" s="61"/>
      <c r="AW115" s="61" t="s">
        <v>426</v>
      </c>
      <c r="AX115" s="61"/>
      <c r="AY115" s="61" t="s">
        <v>187</v>
      </c>
      <c r="AZ115" s="61"/>
      <c r="BA115" s="61" t="s">
        <v>185</v>
      </c>
      <c r="BB115" s="61"/>
      <c r="BC115" s="61" t="s">
        <v>112</v>
      </c>
      <c r="BD115" s="61"/>
      <c r="BE115" s="61"/>
      <c r="BF115" s="61"/>
      <c r="BG115" s="61"/>
      <c r="BH115" s="61"/>
      <c r="BI115" s="61"/>
      <c r="BJ115" s="61"/>
      <c r="BK115" s="61"/>
      <c r="BL115" s="61"/>
      <c r="BM115" s="61"/>
      <c r="BN115" s="61"/>
      <c r="BO115" s="61"/>
      <c r="BP115" s="61"/>
      <c r="BQ115" s="61"/>
      <c r="BR115" s="61"/>
      <c r="BS115" s="61"/>
      <c r="BT115" s="61"/>
      <c r="BU115" s="61"/>
      <c r="BV115" s="61"/>
      <c r="BW115" s="61"/>
      <c r="BX115" s="61"/>
      <c r="BY115" s="61"/>
      <c r="BZ115" s="61"/>
      <c r="CA115" s="61"/>
      <c r="CB115" s="61"/>
      <c r="CC115" s="61"/>
      <c r="CD115" s="61"/>
      <c r="CE115" s="61"/>
      <c r="CF115" s="61"/>
      <c r="CG115" s="61"/>
      <c r="CH115" s="61"/>
      <c r="CI115" s="61"/>
      <c r="CJ115" s="61"/>
      <c r="CK115" s="61"/>
      <c r="CL115" s="61"/>
      <c r="CM115" s="61"/>
      <c r="CN115" s="61"/>
      <c r="CO115" s="61"/>
      <c r="CP115" s="61"/>
      <c r="CQ115" s="61"/>
      <c r="CR115" s="61"/>
      <c r="CS115" s="61"/>
      <c r="CT115" s="61"/>
      <c r="CU115" s="61"/>
      <c r="CV115" s="61"/>
      <c r="CW115" s="61"/>
      <c r="CX115" s="61"/>
      <c r="CY115" s="35"/>
    </row>
    <row r="116" spans="1:103" x14ac:dyDescent="0.25">
      <c r="A116" s="72"/>
      <c r="B116" s="70"/>
      <c r="C116" s="40"/>
      <c r="D116" s="62" t="str">
        <f>IF(D115="","",VLOOKUP(D115,'Tech Tree Node Parameters'!$A$3:$B$218,2,FALSE))</f>
        <v/>
      </c>
      <c r="E116" s="62" t="str">
        <f>IF(E115="","",VLOOKUP(E115,'Tech Tree Node Parameters'!$A$3:$B$218,2,FALSE))</f>
        <v/>
      </c>
      <c r="F116" s="62" t="str">
        <f>IF(F115="","",VLOOKUP(F115,'Tech Tree Node Parameters'!$A$3:$B$218,2,FALSE))</f>
        <v/>
      </c>
      <c r="G116" s="62" t="str">
        <f>IF(G115="","",VLOOKUP(G115,'Tech Tree Node Parameters'!$A$3:$B$218,2,FALSE))</f>
        <v/>
      </c>
      <c r="H116" s="62" t="str">
        <f>IF(H115="","",VLOOKUP(H115,'Tech Tree Node Parameters'!$A$3:$B$218,2,FALSE))</f>
        <v/>
      </c>
      <c r="I116" s="62" t="str">
        <f>IF(I115="","",VLOOKUP(I115,'Tech Tree Node Parameters'!$A$3:$B$218,2,FALSE))</f>
        <v/>
      </c>
      <c r="J116" s="62" t="str">
        <f>IF(J115="","",VLOOKUP(J115,'Tech Tree Node Parameters'!$A$3:$B$218,2,FALSE))</f>
        <v/>
      </c>
      <c r="K116" s="62" t="str">
        <f>IF(K115="","",VLOOKUP(K115,'Tech Tree Node Parameters'!$A$3:$B$218,2,FALSE))</f>
        <v/>
      </c>
      <c r="L116" s="62" t="str">
        <f>IF(L115="","",VLOOKUP(L115,'Tech Tree Node Parameters'!$A$3:$B$218,2,FALSE))</f>
        <v/>
      </c>
      <c r="M116" s="62" t="str">
        <f>IF(M115="","",VLOOKUP(M115,'Tech Tree Node Parameters'!$A$3:$B$218,2,FALSE))</f>
        <v/>
      </c>
      <c r="N116" s="62" t="str">
        <f>IF(N115="","",VLOOKUP(N115,'Tech Tree Node Parameters'!$A$3:$B$218,2,FALSE))</f>
        <v/>
      </c>
      <c r="O116" s="62" t="str">
        <f>IF(O115="","",VLOOKUP(O115,'Tech Tree Node Parameters'!$A$3:$B$218,2,FALSE))</f>
        <v/>
      </c>
      <c r="P116" s="62" t="str">
        <f>IF(P115="","",VLOOKUP(P115,'Tech Tree Node Parameters'!$A$3:$B$218,2,FALSE))</f>
        <v/>
      </c>
      <c r="Q116" s="62" t="str">
        <f>IF(Q115="","",VLOOKUP(Q115,'Tech Tree Node Parameters'!$A$3:$B$218,2,FALSE))</f>
        <v/>
      </c>
      <c r="R116" s="62" t="str">
        <f>IF(R115="","",VLOOKUP(R115,'Tech Tree Node Parameters'!$A$3:$B$218,2,FALSE))</f>
        <v/>
      </c>
      <c r="S116" s="62" t="str">
        <f>IF(S115="","",VLOOKUP(S115,'Tech Tree Node Parameters'!$A$3:$B$218,2,FALSE))</f>
        <v/>
      </c>
      <c r="T116" s="62" t="str">
        <f>IF(T115="","",VLOOKUP(T115,'Tech Tree Node Parameters'!$A$3:$B$218,2,FALSE))</f>
        <v/>
      </c>
      <c r="U116" s="62" t="str">
        <f>IF(U115="","",VLOOKUP(U115,'Tech Tree Node Parameters'!$A$3:$B$218,2,FALSE))</f>
        <v/>
      </c>
      <c r="V116" s="62" t="str">
        <f>IF(V115="","",VLOOKUP(V115,'Tech Tree Node Parameters'!$A$3:$B$218,2,FALSE))</f>
        <v/>
      </c>
      <c r="W116" s="62" t="str">
        <f>IF(W115="","",VLOOKUP(W115,'Tech Tree Node Parameters'!$A$3:$B$218,2,FALSE))</f>
        <v/>
      </c>
      <c r="X116" s="62" t="str">
        <f>IF(X115="","",VLOOKUP(X115,'Tech Tree Node Parameters'!$A$3:$B$218,2,FALSE))</f>
        <v/>
      </c>
      <c r="Y116" s="62" t="str">
        <f>IF(Y115="","",VLOOKUP(Y115,'Tech Tree Node Parameters'!$A$3:$B$218,2,FALSE))</f>
        <v/>
      </c>
      <c r="Z116" s="62" t="str">
        <f>IF(Z115="","",VLOOKUP(Z115,'Tech Tree Node Parameters'!$A$3:$B$218,2,FALSE))</f>
        <v/>
      </c>
      <c r="AA116" s="62" t="str">
        <f>IF(AA115="","",VLOOKUP(AA115,'Tech Tree Node Parameters'!$A$3:$B$218,2,FALSE))</f>
        <v/>
      </c>
      <c r="AB116" s="62" t="str">
        <f>IF(AB115="","",VLOOKUP(AB115,'Tech Tree Node Parameters'!$A$3:$B$218,2,FALSE))</f>
        <v/>
      </c>
      <c r="AC116" s="62" t="str">
        <f>IF(AC115="","",VLOOKUP(AC115,'Tech Tree Node Parameters'!$A$3:$B$218,2,FALSE))</f>
        <v/>
      </c>
      <c r="AD116" s="62" t="str">
        <f>IF(AD115="","",VLOOKUP(AD115,'Tech Tree Node Parameters'!$A$3:$B$218,2,FALSE))</f>
        <v/>
      </c>
      <c r="AE116" s="62" t="str">
        <f>IF(AE115="","",VLOOKUP(AE115,'Tech Tree Node Parameters'!$A$3:$B$218,2,FALSE))</f>
        <v/>
      </c>
      <c r="AF116" s="62" t="str">
        <f>IF(AF115="","",VLOOKUP(AF115,'Tech Tree Node Parameters'!$A$3:$B$218,2,FALSE))</f>
        <v/>
      </c>
      <c r="AG116" s="62" t="str">
        <f>IF(AG115="","",VLOOKUP(AG115,'Tech Tree Node Parameters'!$A$3:$B$218,2,FALSE))</f>
        <v/>
      </c>
      <c r="AH116" s="62" t="str">
        <f>IF(AH115="","",VLOOKUP(AH115,'Tech Tree Node Parameters'!$A$3:$B$218,2,FALSE))</f>
        <v/>
      </c>
      <c r="AI116" s="62" t="str">
        <f>IF(AI115="","",VLOOKUP(AI115,'Tech Tree Node Parameters'!$A$3:$B$218,2,FALSE))</f>
        <v/>
      </c>
      <c r="AJ116" s="62" t="str">
        <f>IF(AJ115="","",VLOOKUP(AJ115,'Tech Tree Node Parameters'!$A$3:$B$218,2,FALSE))</f>
        <v/>
      </c>
      <c r="AK116" s="62" t="str">
        <f>IF(AK115="","",VLOOKUP(AK115,'Tech Tree Node Parameters'!$A$3:$B$218,2,FALSE))</f>
        <v/>
      </c>
      <c r="AL116" s="62" t="str">
        <f>IF(AL115="","",VLOOKUP(AL115,'Tech Tree Node Parameters'!$A$3:$B$218,2,FALSE))</f>
        <v/>
      </c>
      <c r="AM116" s="62" t="str">
        <f>IF(AM115="","",VLOOKUP(AM115,'Tech Tree Node Parameters'!$A$3:$B$218,2,FALSE))</f>
        <v/>
      </c>
      <c r="AN116" s="62" t="str">
        <f>IF(AN115="","",VLOOKUP(AN115,'Tech Tree Node Parameters'!$A$3:$B$218,2,FALSE))</f>
        <v/>
      </c>
      <c r="AO116" s="62" t="str">
        <f>IF(AO115="","",VLOOKUP(AO115,'Tech Tree Node Parameters'!$A$3:$B$218,2,FALSE))</f>
        <v/>
      </c>
      <c r="AP116" s="62" t="str">
        <f>IF(AP115="","",VLOOKUP(AP115,'Tech Tree Node Parameters'!$A$3:$B$218,2,FALSE))</f>
        <v/>
      </c>
      <c r="AQ116" s="62" t="str">
        <f>IF(AQ115="","",VLOOKUP(AQ115,'Tech Tree Node Parameters'!$A$3:$B$218,2,FALSE))</f>
        <v/>
      </c>
      <c r="AR116" s="62" t="str">
        <f>IF(AR115="","",VLOOKUP(AR115,'Tech Tree Node Parameters'!$A$3:$B$218,2,FALSE))</f>
        <v/>
      </c>
      <c r="AS116" s="62" t="str">
        <f>IF(AS115="","",VLOOKUP(AS115,'Tech Tree Node Parameters'!$A$3:$B$218,2,FALSE))</f>
        <v/>
      </c>
      <c r="AT116" s="62" t="str">
        <f>IF(AT115="","",VLOOKUP(AT115,'Tech Tree Node Parameters'!$A$3:$B$218,2,FALSE))</f>
        <v/>
      </c>
      <c r="AU116" s="62" t="str">
        <f>IF(AU115="","",VLOOKUP(AU115,'Tech Tree Node Parameters'!$A$3:$B$218,2,FALSE))</f>
        <v/>
      </c>
      <c r="AV116" s="62" t="str">
        <f>IF(AV115="","",VLOOKUP(AV115,'Tech Tree Node Parameters'!$A$3:$B$218,2,FALSE))</f>
        <v/>
      </c>
      <c r="AW116" s="62" t="str">
        <f>IF(AW115="","",VLOOKUP(AW115,'Tech Tree Node Parameters'!$A$3:$B$218,2,FALSE))</f>
        <v>Exotic Electrical Systems</v>
      </c>
      <c r="AX116" s="62" t="str">
        <f>IF(AX115="","",VLOOKUP(AX115,'Tech Tree Node Parameters'!$A$3:$B$218,2,FALSE))</f>
        <v/>
      </c>
      <c r="AY116" s="62" t="str">
        <f>IF(AY115="","",VLOOKUP(AY115,'Tech Tree Node Parameters'!$A$3:$B$218,2,FALSE))</f>
        <v>Experimental Electrostatic Thrusters</v>
      </c>
      <c r="AZ116" s="62" t="str">
        <f>IF(AZ115="","",VLOOKUP(AZ115,'Tech Tree Node Parameters'!$A$3:$B$218,2,FALSE))</f>
        <v/>
      </c>
      <c r="BA116" s="62" t="str">
        <f>IF(BA115="","",VLOOKUP(BA115,'Tech Tree Node Parameters'!$A$3:$B$218,2,FALSE))</f>
        <v>Specialized Plasma Propulsion</v>
      </c>
      <c r="BB116" s="62" t="str">
        <f>IF(BB115="","",VLOOKUP(BB115,'Tech Tree Node Parameters'!$A$3:$B$218,2,FALSE))</f>
        <v/>
      </c>
      <c r="BC116" s="62" t="str">
        <f>IF(BC115="","",VLOOKUP(BC115,'Tech Tree Node Parameters'!$A$3:$B$218,2,FALSE))</f>
        <v>Microwave Propulsion</v>
      </c>
      <c r="BD116" s="62" t="str">
        <f>IF(BD115="","",VLOOKUP(BD115,'Tech Tree Node Parameters'!$A$3:$B$218,2,FALSE))</f>
        <v/>
      </c>
      <c r="BE116" s="62" t="str">
        <f>IF(BE115="","",VLOOKUP(BE115,'Tech Tree Node Parameters'!$A$3:$B$218,2,FALSE))</f>
        <v/>
      </c>
      <c r="BF116" s="62" t="str">
        <f>IF(BF115="","",VLOOKUP(BF115,'Tech Tree Node Parameters'!$A$3:$B$218,2,FALSE))</f>
        <v/>
      </c>
      <c r="BG116" s="62" t="str">
        <f>IF(BG115="","",VLOOKUP(BG115,'Tech Tree Node Parameters'!$A$3:$B$218,2,FALSE))</f>
        <v/>
      </c>
      <c r="BH116" s="62" t="str">
        <f>IF(BH115="","",VLOOKUP(BH115,'Tech Tree Node Parameters'!$A$3:$B$218,2,FALSE))</f>
        <v/>
      </c>
      <c r="BI116" s="62" t="str">
        <f>IF(BI115="","",VLOOKUP(BI115,'Tech Tree Node Parameters'!$A$3:$B$218,2,FALSE))</f>
        <v/>
      </c>
      <c r="BJ116" s="62" t="str">
        <f>IF(BJ115="","",VLOOKUP(BJ115,'Tech Tree Node Parameters'!$A$3:$B$218,2,FALSE))</f>
        <v/>
      </c>
      <c r="BK116" s="62" t="str">
        <f>IF(BK115="","",VLOOKUP(BK115,'Tech Tree Node Parameters'!$A$3:$B$218,2,FALSE))</f>
        <v/>
      </c>
      <c r="BL116" s="62" t="str">
        <f>IF(BL115="","",VLOOKUP(BL115,'Tech Tree Node Parameters'!$A$3:$B$218,2,FALSE))</f>
        <v/>
      </c>
      <c r="BM116" s="62" t="str">
        <f>IF(BM115="","",VLOOKUP(BM115,'Tech Tree Node Parameters'!$A$3:$B$218,2,FALSE))</f>
        <v/>
      </c>
      <c r="BN116" s="62" t="str">
        <f>IF(BN115="","",VLOOKUP(BN115,'Tech Tree Node Parameters'!$A$3:$B$218,2,FALSE))</f>
        <v/>
      </c>
      <c r="BO116" s="62" t="str">
        <f>IF(BO115="","",VLOOKUP(BO115,'Tech Tree Node Parameters'!$A$3:$B$218,2,FALSE))</f>
        <v/>
      </c>
      <c r="BP116" s="62" t="str">
        <f>IF(BP115="","",VLOOKUP(BP115,'Tech Tree Node Parameters'!$A$3:$B$218,2,FALSE))</f>
        <v/>
      </c>
      <c r="BQ116" s="62" t="str">
        <f>IF(BQ115="","",VLOOKUP(BQ115,'Tech Tree Node Parameters'!$A$3:$B$218,2,FALSE))</f>
        <v/>
      </c>
      <c r="BR116" s="62" t="str">
        <f>IF(BR115="","",VLOOKUP(BR115,'Tech Tree Node Parameters'!$A$3:$B$218,2,FALSE))</f>
        <v/>
      </c>
      <c r="BS116" s="62" t="str">
        <f>IF(BS115="","",VLOOKUP(BS115,'Tech Tree Node Parameters'!$A$3:$B$218,2,FALSE))</f>
        <v/>
      </c>
      <c r="BT116" s="62" t="str">
        <f>IF(BT115="","",VLOOKUP(BT115,'Tech Tree Node Parameters'!$A$3:$B$218,2,FALSE))</f>
        <v/>
      </c>
      <c r="BU116" s="62"/>
      <c r="BV116" s="62"/>
      <c r="BW116" s="62"/>
      <c r="BX116" s="62"/>
      <c r="BY116" s="62"/>
      <c r="BZ116" s="62"/>
      <c r="CA116" s="62"/>
      <c r="CB116" s="62"/>
      <c r="CC116" s="62"/>
      <c r="CD116" s="62"/>
      <c r="CE116" s="62"/>
      <c r="CF116" s="62"/>
      <c r="CG116" s="62"/>
      <c r="CH116" s="62"/>
      <c r="CI116" s="62"/>
      <c r="CJ116" s="62" t="str">
        <f>IF(CJ115="","",VLOOKUP(CJ115,'Tech Tree Node Parameters'!$A$3:$B$218,2,FALSE))</f>
        <v/>
      </c>
      <c r="CK116" s="62" t="str">
        <f>IF(CK115="","",VLOOKUP(CK115,'Tech Tree Node Parameters'!$A$3:$B$218,2,FALSE))</f>
        <v/>
      </c>
      <c r="CL116" s="62" t="str">
        <f>IF(CL115="","",VLOOKUP(CL115,'Tech Tree Node Parameters'!$A$3:$B$218,2,FALSE))</f>
        <v/>
      </c>
      <c r="CM116" s="62" t="str">
        <f>IF(CM115="","",VLOOKUP(CM115,'Tech Tree Node Parameters'!$A$3:$B$218,2,FALSE))</f>
        <v/>
      </c>
      <c r="CN116" s="62" t="str">
        <f>IF(CN115="","",VLOOKUP(CN115,'Tech Tree Node Parameters'!$A$3:$B$218,2,FALSE))</f>
        <v/>
      </c>
      <c r="CO116" s="62" t="str">
        <f>IF(CO115="","",VLOOKUP(CO115,'Tech Tree Node Parameters'!$A$3:$B$218,2,FALSE))</f>
        <v/>
      </c>
      <c r="CP116" s="62" t="str">
        <f>IF(CP115="","",VLOOKUP(CP115,'Tech Tree Node Parameters'!$A$3:$B$218,2,FALSE))</f>
        <v/>
      </c>
      <c r="CQ116" s="62" t="str">
        <f>IF(CQ115="","",VLOOKUP(CQ115,'Tech Tree Node Parameters'!$A$3:$B$218,2,FALSE))</f>
        <v/>
      </c>
      <c r="CR116" s="62" t="str">
        <f>IF(CR115="","",VLOOKUP(CR115,'Tech Tree Node Parameters'!$A$3:$B$218,2,FALSE))</f>
        <v/>
      </c>
      <c r="CS116" s="62" t="str">
        <f>IF(CS115="","",VLOOKUP(CS115,'Tech Tree Node Parameters'!$A$3:$B$218,2,FALSE))</f>
        <v/>
      </c>
      <c r="CT116" s="62" t="str">
        <f>IF(CT115="","",VLOOKUP(CT115,'Tech Tree Node Parameters'!$A$3:$B$218,2,FALSE))</f>
        <v/>
      </c>
      <c r="CU116" s="62" t="str">
        <f>IF(CU115="","",VLOOKUP(CU115,'Tech Tree Node Parameters'!$A$3:$B$218,2,FALSE))</f>
        <v/>
      </c>
      <c r="CV116" s="62" t="str">
        <f>IF(CV115="","",VLOOKUP(CV115,'Tech Tree Node Parameters'!$A$3:$B$218,2,FALSE))</f>
        <v/>
      </c>
      <c r="CW116" s="62" t="str">
        <f>IF(CW115="","",VLOOKUP(CW115,'Tech Tree Node Parameters'!$A$3:$B$218,2,FALSE))</f>
        <v/>
      </c>
      <c r="CX116" s="62" t="str">
        <f>IF(CX115="","",VLOOKUP(CX115,'Tech Tree Node Parameters'!$A$3:$B$218,2,FALSE))</f>
        <v/>
      </c>
      <c r="CY116" s="36" t="str">
        <f>IF(CY115="","",VLOOKUP(CY115,'Tech Tree Node Parameters'!$A$3:$B$218,2,FALSE))</f>
        <v/>
      </c>
    </row>
    <row r="117" spans="1:103" x14ac:dyDescent="0.25">
      <c r="A117" s="72">
        <f t="shared" ref="A117" si="37">A119+1</f>
        <v>5</v>
      </c>
      <c r="B117" s="69">
        <f>B119+$D$6</f>
        <v>227</v>
      </c>
      <c r="C117" s="39"/>
      <c r="D117" s="61"/>
      <c r="E117" s="61"/>
      <c r="F117" s="61"/>
      <c r="G117" s="61"/>
      <c r="H117" s="61"/>
      <c r="I117" s="61"/>
      <c r="J117" s="61"/>
      <c r="K117" s="61"/>
      <c r="L117" s="61"/>
      <c r="M117" s="61"/>
      <c r="N117" s="61"/>
      <c r="O117" s="61"/>
      <c r="P117" s="61"/>
      <c r="Q117" s="61"/>
      <c r="R117" s="61"/>
      <c r="S117" s="61"/>
      <c r="T117" s="61"/>
      <c r="U117" s="61"/>
      <c r="V117" s="61"/>
      <c r="W117" s="61"/>
      <c r="X117" s="61"/>
      <c r="Y117" s="61"/>
      <c r="Z117" s="61"/>
      <c r="AA117" s="61"/>
      <c r="AB117" s="61"/>
      <c r="AC117" s="61"/>
      <c r="AD117" s="61"/>
      <c r="AE117" s="61"/>
      <c r="AF117" s="61"/>
      <c r="AG117" s="61"/>
      <c r="AH117" s="61"/>
      <c r="AI117" s="61"/>
      <c r="AJ117" s="61"/>
      <c r="AK117" s="61"/>
      <c r="AL117" s="61"/>
      <c r="AM117" s="61"/>
      <c r="AN117" s="61"/>
      <c r="AO117" s="61"/>
      <c r="AP117" s="61"/>
      <c r="AQ117" s="61"/>
      <c r="AR117" s="61"/>
      <c r="AS117" s="61"/>
      <c r="AT117" s="61"/>
      <c r="AU117" s="61"/>
      <c r="AV117" s="61"/>
      <c r="AW117" s="61"/>
      <c r="AX117" s="61"/>
      <c r="AY117" s="61"/>
      <c r="AZ117" s="61"/>
      <c r="BA117" s="61"/>
      <c r="BB117" s="61"/>
      <c r="BC117" s="61"/>
      <c r="BD117" s="61"/>
      <c r="BE117" s="61"/>
      <c r="BF117" s="61"/>
      <c r="BG117" s="61"/>
      <c r="BH117" s="61"/>
      <c r="BI117" s="61"/>
      <c r="BJ117" s="61"/>
      <c r="BK117" s="61"/>
      <c r="BL117" s="61"/>
      <c r="BM117" s="61"/>
      <c r="BN117" s="61"/>
      <c r="BO117" s="61"/>
      <c r="BP117" s="61"/>
      <c r="BQ117" s="61"/>
      <c r="BR117" s="61"/>
      <c r="BS117" s="61"/>
      <c r="BT117" s="61"/>
      <c r="BU117" s="61"/>
      <c r="BV117" s="61"/>
      <c r="BW117" s="61"/>
      <c r="BX117" s="61"/>
      <c r="BY117" s="61"/>
      <c r="BZ117" s="61"/>
      <c r="CA117" s="61"/>
      <c r="CB117" s="61"/>
      <c r="CC117" s="61"/>
      <c r="CD117" s="61"/>
      <c r="CE117" s="61"/>
      <c r="CF117" s="61"/>
      <c r="CG117" s="61"/>
      <c r="CH117" s="61"/>
      <c r="CI117" s="61"/>
      <c r="CJ117" s="61"/>
      <c r="CK117" s="61"/>
      <c r="CL117" s="61"/>
      <c r="CM117" s="61"/>
      <c r="CN117" s="61"/>
      <c r="CO117" s="61"/>
      <c r="CP117" s="61"/>
      <c r="CQ117" s="61"/>
      <c r="CR117" s="61"/>
      <c r="CS117" s="61"/>
      <c r="CT117" s="61"/>
      <c r="CU117" s="61"/>
      <c r="CV117" s="61"/>
      <c r="CW117" s="61"/>
      <c r="CX117" s="61"/>
      <c r="CY117" s="35"/>
    </row>
    <row r="118" spans="1:103" x14ac:dyDescent="0.25">
      <c r="A118" s="72"/>
      <c r="B118" s="70"/>
      <c r="C118" s="40"/>
      <c r="D118" s="62" t="str">
        <f>IF(D117="","",VLOOKUP(D117,'Tech Tree Node Parameters'!$A$3:$B$218,2,FALSE))</f>
        <v/>
      </c>
      <c r="E118" s="62" t="str">
        <f>IF(E117="","",VLOOKUP(E117,'Tech Tree Node Parameters'!$A$3:$B$218,2,FALSE))</f>
        <v/>
      </c>
      <c r="F118" s="62" t="str">
        <f>IF(F117="","",VLOOKUP(F117,'Tech Tree Node Parameters'!$A$3:$B$218,2,FALSE))</f>
        <v/>
      </c>
      <c r="G118" s="62" t="str">
        <f>IF(G117="","",VLOOKUP(G117,'Tech Tree Node Parameters'!$A$3:$B$218,2,FALSE))</f>
        <v/>
      </c>
      <c r="H118" s="62" t="str">
        <f>IF(H117="","",VLOOKUP(H117,'Tech Tree Node Parameters'!$A$3:$B$218,2,FALSE))</f>
        <v/>
      </c>
      <c r="I118" s="62" t="str">
        <f>IF(I117="","",VLOOKUP(I117,'Tech Tree Node Parameters'!$A$3:$B$218,2,FALSE))</f>
        <v/>
      </c>
      <c r="J118" s="62" t="str">
        <f>IF(J117="","",VLOOKUP(J117,'Tech Tree Node Parameters'!$A$3:$B$218,2,FALSE))</f>
        <v/>
      </c>
      <c r="K118" s="62" t="str">
        <f>IF(K117="","",VLOOKUP(K117,'Tech Tree Node Parameters'!$A$3:$B$218,2,FALSE))</f>
        <v/>
      </c>
      <c r="L118" s="62" t="str">
        <f>IF(L117="","",VLOOKUP(L117,'Tech Tree Node Parameters'!$A$3:$B$218,2,FALSE))</f>
        <v/>
      </c>
      <c r="M118" s="62" t="str">
        <f>IF(M117="","",VLOOKUP(M117,'Tech Tree Node Parameters'!$A$3:$B$218,2,FALSE))</f>
        <v/>
      </c>
      <c r="N118" s="62" t="str">
        <f>IF(N117="","",VLOOKUP(N117,'Tech Tree Node Parameters'!$A$3:$B$218,2,FALSE))</f>
        <v/>
      </c>
      <c r="O118" s="62" t="str">
        <f>IF(O117="","",VLOOKUP(O117,'Tech Tree Node Parameters'!$A$3:$B$218,2,FALSE))</f>
        <v/>
      </c>
      <c r="P118" s="62" t="str">
        <f>IF(P117="","",VLOOKUP(P117,'Tech Tree Node Parameters'!$A$3:$B$218,2,FALSE))</f>
        <v/>
      </c>
      <c r="Q118" s="62" t="str">
        <f>IF(Q117="","",VLOOKUP(Q117,'Tech Tree Node Parameters'!$A$3:$B$218,2,FALSE))</f>
        <v/>
      </c>
      <c r="R118" s="62" t="str">
        <f>IF(R117="","",VLOOKUP(R117,'Tech Tree Node Parameters'!$A$3:$B$218,2,FALSE))</f>
        <v/>
      </c>
      <c r="S118" s="62" t="str">
        <f>IF(S117="","",VLOOKUP(S117,'Tech Tree Node Parameters'!$A$3:$B$218,2,FALSE))</f>
        <v/>
      </c>
      <c r="T118" s="62" t="str">
        <f>IF(T117="","",VLOOKUP(T117,'Tech Tree Node Parameters'!$A$3:$B$218,2,FALSE))</f>
        <v/>
      </c>
      <c r="U118" s="62" t="str">
        <f>IF(U117="","",VLOOKUP(U117,'Tech Tree Node Parameters'!$A$3:$B$218,2,FALSE))</f>
        <v/>
      </c>
      <c r="V118" s="62" t="str">
        <f>IF(V117="","",VLOOKUP(V117,'Tech Tree Node Parameters'!$A$3:$B$218,2,FALSE))</f>
        <v/>
      </c>
      <c r="W118" s="62" t="str">
        <f>IF(W117="","",VLOOKUP(W117,'Tech Tree Node Parameters'!$A$3:$B$218,2,FALSE))</f>
        <v/>
      </c>
      <c r="X118" s="62" t="str">
        <f>IF(X117="","",VLOOKUP(X117,'Tech Tree Node Parameters'!$A$3:$B$218,2,FALSE))</f>
        <v/>
      </c>
      <c r="Y118" s="62" t="str">
        <f>IF(Y117="","",VLOOKUP(Y117,'Tech Tree Node Parameters'!$A$3:$B$218,2,FALSE))</f>
        <v/>
      </c>
      <c r="Z118" s="62" t="str">
        <f>IF(Z117="","",VLOOKUP(Z117,'Tech Tree Node Parameters'!$A$3:$B$218,2,FALSE))</f>
        <v/>
      </c>
      <c r="AA118" s="62" t="str">
        <f>IF(AA117="","",VLOOKUP(AA117,'Tech Tree Node Parameters'!$A$3:$B$218,2,FALSE))</f>
        <v/>
      </c>
      <c r="AB118" s="62" t="str">
        <f>IF(AB117="","",VLOOKUP(AB117,'Tech Tree Node Parameters'!$A$3:$B$218,2,FALSE))</f>
        <v/>
      </c>
      <c r="AC118" s="62" t="str">
        <f>IF(AC117="","",VLOOKUP(AC117,'Tech Tree Node Parameters'!$A$3:$B$218,2,FALSE))</f>
        <v/>
      </c>
      <c r="AD118" s="62" t="str">
        <f>IF(AD117="","",VLOOKUP(AD117,'Tech Tree Node Parameters'!$A$3:$B$218,2,FALSE))</f>
        <v/>
      </c>
      <c r="AE118" s="62" t="str">
        <f>IF(AE117="","",VLOOKUP(AE117,'Tech Tree Node Parameters'!$A$3:$B$218,2,FALSE))</f>
        <v/>
      </c>
      <c r="AF118" s="62" t="str">
        <f>IF(AF117="","",VLOOKUP(AF117,'Tech Tree Node Parameters'!$A$3:$B$218,2,FALSE))</f>
        <v/>
      </c>
      <c r="AG118" s="62" t="str">
        <f>IF(AG117="","",VLOOKUP(AG117,'Tech Tree Node Parameters'!$A$3:$B$218,2,FALSE))</f>
        <v/>
      </c>
      <c r="AH118" s="62" t="str">
        <f>IF(AH117="","",VLOOKUP(AH117,'Tech Tree Node Parameters'!$A$3:$B$218,2,FALSE))</f>
        <v/>
      </c>
      <c r="AI118" s="62" t="str">
        <f>IF(AI117="","",VLOOKUP(AI117,'Tech Tree Node Parameters'!$A$3:$B$218,2,FALSE))</f>
        <v/>
      </c>
      <c r="AJ118" s="62" t="str">
        <f>IF(AJ117="","",VLOOKUP(AJ117,'Tech Tree Node Parameters'!$A$3:$B$218,2,FALSE))</f>
        <v/>
      </c>
      <c r="AK118" s="62" t="str">
        <f>IF(AK117="","",VLOOKUP(AK117,'Tech Tree Node Parameters'!$A$3:$B$218,2,FALSE))</f>
        <v/>
      </c>
      <c r="AL118" s="62" t="str">
        <f>IF(AL117="","",VLOOKUP(AL117,'Tech Tree Node Parameters'!$A$3:$B$218,2,FALSE))</f>
        <v/>
      </c>
      <c r="AM118" s="62" t="str">
        <f>IF(AM117="","",VLOOKUP(AM117,'Tech Tree Node Parameters'!$A$3:$B$218,2,FALSE))</f>
        <v/>
      </c>
      <c r="AN118" s="62" t="str">
        <f>IF(AN117="","",VLOOKUP(AN117,'Tech Tree Node Parameters'!$A$3:$B$218,2,FALSE))</f>
        <v/>
      </c>
      <c r="AO118" s="62" t="str">
        <f>IF(AO117="","",VLOOKUP(AO117,'Tech Tree Node Parameters'!$A$3:$B$218,2,FALSE))</f>
        <v/>
      </c>
      <c r="AP118" s="62" t="str">
        <f>IF(AP117="","",VLOOKUP(AP117,'Tech Tree Node Parameters'!$A$3:$B$218,2,FALSE))</f>
        <v/>
      </c>
      <c r="AQ118" s="62" t="str">
        <f>IF(AQ117="","",VLOOKUP(AQ117,'Tech Tree Node Parameters'!$A$3:$B$218,2,FALSE))</f>
        <v/>
      </c>
      <c r="AR118" s="62" t="str">
        <f>IF(AR117="","",VLOOKUP(AR117,'Tech Tree Node Parameters'!$A$3:$B$218,2,FALSE))</f>
        <v/>
      </c>
      <c r="AS118" s="62" t="str">
        <f>IF(AS117="","",VLOOKUP(AS117,'Tech Tree Node Parameters'!$A$3:$B$218,2,FALSE))</f>
        <v/>
      </c>
      <c r="AT118" s="62" t="str">
        <f>IF(AT117="","",VLOOKUP(AT117,'Tech Tree Node Parameters'!$A$3:$B$218,2,FALSE))</f>
        <v/>
      </c>
      <c r="AU118" s="62" t="str">
        <f>IF(AU117="","",VLOOKUP(AU117,'Tech Tree Node Parameters'!$A$3:$B$218,2,FALSE))</f>
        <v/>
      </c>
      <c r="AV118" s="62" t="str">
        <f>IF(AV117="","",VLOOKUP(AV117,'Tech Tree Node Parameters'!$A$3:$B$218,2,FALSE))</f>
        <v/>
      </c>
      <c r="AW118" s="62" t="str">
        <f>IF(AW117="","",VLOOKUP(AW117,'Tech Tree Node Parameters'!$A$3:$B$218,2,FALSE))</f>
        <v/>
      </c>
      <c r="AX118" s="62" t="str">
        <f>IF(AX117="","",VLOOKUP(AX117,'Tech Tree Node Parameters'!$A$3:$B$218,2,FALSE))</f>
        <v/>
      </c>
      <c r="AY118" s="62" t="str">
        <f>IF(AY117="","",VLOOKUP(AY117,'Tech Tree Node Parameters'!$A$3:$B$218,2,FALSE))</f>
        <v/>
      </c>
      <c r="AZ118" s="62" t="str">
        <f>IF(AZ117="","",VLOOKUP(AZ117,'Tech Tree Node Parameters'!$A$3:$B$218,2,FALSE))</f>
        <v/>
      </c>
      <c r="BA118" s="62" t="str">
        <f>IF(BA117="","",VLOOKUP(BA117,'Tech Tree Node Parameters'!$A$3:$B$218,2,FALSE))</f>
        <v/>
      </c>
      <c r="BB118" s="62" t="str">
        <f>IF(BB117="","",VLOOKUP(BB117,'Tech Tree Node Parameters'!$A$3:$B$218,2,FALSE))</f>
        <v/>
      </c>
      <c r="BC118" s="62" t="str">
        <f>IF(BC117="","",VLOOKUP(BC117,'Tech Tree Node Parameters'!$A$3:$B$218,2,FALSE))</f>
        <v/>
      </c>
      <c r="BD118" s="62" t="str">
        <f>IF(BD117="","",VLOOKUP(BD117,'Tech Tree Node Parameters'!$A$3:$B$218,2,FALSE))</f>
        <v/>
      </c>
      <c r="BE118" s="62" t="str">
        <f>IF(BE117="","",VLOOKUP(BE117,'Tech Tree Node Parameters'!$A$3:$B$218,2,FALSE))</f>
        <v/>
      </c>
      <c r="BF118" s="62" t="str">
        <f>IF(BF117="","",VLOOKUP(BF117,'Tech Tree Node Parameters'!$A$3:$B$218,2,FALSE))</f>
        <v/>
      </c>
      <c r="BG118" s="62" t="str">
        <f>IF(BG117="","",VLOOKUP(BG117,'Tech Tree Node Parameters'!$A$3:$B$218,2,FALSE))</f>
        <v/>
      </c>
      <c r="BH118" s="62" t="str">
        <f>IF(BH117="","",VLOOKUP(BH117,'Tech Tree Node Parameters'!$A$3:$B$218,2,FALSE))</f>
        <v/>
      </c>
      <c r="BI118" s="62" t="str">
        <f>IF(BI117="","",VLOOKUP(BI117,'Tech Tree Node Parameters'!$A$3:$B$218,2,FALSE))</f>
        <v/>
      </c>
      <c r="BJ118" s="62" t="str">
        <f>IF(BJ117="","",VLOOKUP(BJ117,'Tech Tree Node Parameters'!$A$3:$B$218,2,FALSE))</f>
        <v/>
      </c>
      <c r="BK118" s="62" t="str">
        <f>IF(BK117="","",VLOOKUP(BK117,'Tech Tree Node Parameters'!$A$3:$B$218,2,FALSE))</f>
        <v/>
      </c>
      <c r="BL118" s="62" t="str">
        <f>IF(BL117="","",VLOOKUP(BL117,'Tech Tree Node Parameters'!$A$3:$B$218,2,FALSE))</f>
        <v/>
      </c>
      <c r="BM118" s="62" t="str">
        <f>IF(BM117="","",VLOOKUP(BM117,'Tech Tree Node Parameters'!$A$3:$B$218,2,FALSE))</f>
        <v/>
      </c>
      <c r="BN118" s="62" t="str">
        <f>IF(BN117="","",VLOOKUP(BN117,'Tech Tree Node Parameters'!$A$3:$B$218,2,FALSE))</f>
        <v/>
      </c>
      <c r="BO118" s="62" t="str">
        <f>IF(BO117="","",VLOOKUP(BO117,'Tech Tree Node Parameters'!$A$3:$B$218,2,FALSE))</f>
        <v/>
      </c>
      <c r="BP118" s="62" t="str">
        <f>IF(BP117="","",VLOOKUP(BP117,'Tech Tree Node Parameters'!$A$3:$B$218,2,FALSE))</f>
        <v/>
      </c>
      <c r="BQ118" s="62" t="str">
        <f>IF(BQ117="","",VLOOKUP(BQ117,'Tech Tree Node Parameters'!$A$3:$B$218,2,FALSE))</f>
        <v/>
      </c>
      <c r="BR118" s="62" t="str">
        <f>IF(BR117="","",VLOOKUP(BR117,'Tech Tree Node Parameters'!$A$3:$B$218,2,FALSE))</f>
        <v/>
      </c>
      <c r="BS118" s="62" t="str">
        <f>IF(BS117="","",VLOOKUP(BS117,'Tech Tree Node Parameters'!$A$3:$B$218,2,FALSE))</f>
        <v/>
      </c>
      <c r="BT118" s="62" t="str">
        <f>IF(BT117="","",VLOOKUP(BT117,'Tech Tree Node Parameters'!$A$3:$B$218,2,FALSE))</f>
        <v/>
      </c>
      <c r="BU118" s="62"/>
      <c r="BV118" s="62"/>
      <c r="BW118" s="62"/>
      <c r="BX118" s="62"/>
      <c r="BY118" s="62"/>
      <c r="BZ118" s="62"/>
      <c r="CA118" s="62"/>
      <c r="CB118" s="62"/>
      <c r="CC118" s="62"/>
      <c r="CD118" s="62"/>
      <c r="CE118" s="62"/>
      <c r="CF118" s="62"/>
      <c r="CG118" s="62"/>
      <c r="CH118" s="62" t="str">
        <f>IF(CH117="","",VLOOKUP(CH117,'Tech Tree Node Parameters'!$A$3:$B$218,2,FALSE))</f>
        <v/>
      </c>
      <c r="CI118" s="62" t="str">
        <f>IF(CI117="","",VLOOKUP(CI117,'Tech Tree Node Parameters'!$A$3:$B$218,2,FALSE))</f>
        <v/>
      </c>
      <c r="CJ118" s="62" t="str">
        <f>IF(CJ117="","",VLOOKUP(CJ117,'Tech Tree Node Parameters'!$A$3:$B$218,2,FALSE))</f>
        <v/>
      </c>
      <c r="CK118" s="62" t="str">
        <f>IF(CK117="","",VLOOKUP(CK117,'Tech Tree Node Parameters'!$A$3:$B$218,2,FALSE))</f>
        <v/>
      </c>
      <c r="CL118" s="62" t="str">
        <f>IF(CL117="","",VLOOKUP(CL117,'Tech Tree Node Parameters'!$A$3:$B$218,2,FALSE))</f>
        <v/>
      </c>
      <c r="CM118" s="62" t="str">
        <f>IF(CM117="","",VLOOKUP(CM117,'Tech Tree Node Parameters'!$A$3:$B$218,2,FALSE))</f>
        <v/>
      </c>
      <c r="CN118" s="62" t="str">
        <f>IF(CN117="","",VLOOKUP(CN117,'Tech Tree Node Parameters'!$A$3:$B$218,2,FALSE))</f>
        <v/>
      </c>
      <c r="CO118" s="62" t="str">
        <f>IF(CO117="","",VLOOKUP(CO117,'Tech Tree Node Parameters'!$A$3:$B$218,2,FALSE))</f>
        <v/>
      </c>
      <c r="CP118" s="62" t="str">
        <f>IF(CP117="","",VLOOKUP(CP117,'Tech Tree Node Parameters'!$A$3:$B$218,2,FALSE))</f>
        <v/>
      </c>
      <c r="CQ118" s="62" t="str">
        <f>IF(CQ117="","",VLOOKUP(CQ117,'Tech Tree Node Parameters'!$A$3:$B$218,2,FALSE))</f>
        <v/>
      </c>
      <c r="CR118" s="62" t="str">
        <f>IF(CR117="","",VLOOKUP(CR117,'Tech Tree Node Parameters'!$A$3:$B$218,2,FALSE))</f>
        <v/>
      </c>
      <c r="CS118" s="62" t="str">
        <f>IF(CS117="","",VLOOKUP(CS117,'Tech Tree Node Parameters'!$A$3:$B$218,2,FALSE))</f>
        <v/>
      </c>
      <c r="CT118" s="62" t="str">
        <f>IF(CT117="","",VLOOKUP(CT117,'Tech Tree Node Parameters'!$A$3:$B$218,2,FALSE))</f>
        <v/>
      </c>
      <c r="CU118" s="62" t="str">
        <f>IF(CU117="","",VLOOKUP(CU117,'Tech Tree Node Parameters'!$A$3:$B$218,2,FALSE))</f>
        <v/>
      </c>
      <c r="CV118" s="62" t="str">
        <f>IF(CV117="","",VLOOKUP(CV117,'Tech Tree Node Parameters'!$A$3:$B$218,2,FALSE))</f>
        <v/>
      </c>
      <c r="CW118" s="62" t="str">
        <f>IF(CW117="","",VLOOKUP(CW117,'Tech Tree Node Parameters'!$A$3:$B$218,2,FALSE))</f>
        <v/>
      </c>
      <c r="CX118" s="62" t="str">
        <f>IF(CX117="","",VLOOKUP(CX117,'Tech Tree Node Parameters'!$A$3:$B$218,2,FALSE))</f>
        <v/>
      </c>
      <c r="CY118" s="36" t="str">
        <f>IF(CY117="","",VLOOKUP(CY117,'Tech Tree Node Parameters'!$A$3:$B$218,2,FALSE))</f>
        <v/>
      </c>
    </row>
    <row r="119" spans="1:103" x14ac:dyDescent="0.25">
      <c r="A119" s="72">
        <f t="shared" ref="A119" si="38">A121+1</f>
        <v>4</v>
      </c>
      <c r="B119" s="69">
        <f>B121+$D$6</f>
        <v>189</v>
      </c>
      <c r="C119" s="39"/>
      <c r="D119" s="61"/>
      <c r="E119" s="61"/>
      <c r="F119" s="61"/>
      <c r="G119" s="61"/>
      <c r="H119" s="61"/>
      <c r="I119" s="61"/>
      <c r="J119" s="61"/>
      <c r="K119" s="61"/>
      <c r="L119" s="61"/>
      <c r="M119" s="61"/>
      <c r="N119" s="61"/>
      <c r="O119" s="61"/>
      <c r="P119" s="61"/>
      <c r="Q119" s="61"/>
      <c r="R119" s="61"/>
      <c r="S119" s="61"/>
      <c r="T119" s="61"/>
      <c r="U119" s="61"/>
      <c r="V119" s="61"/>
      <c r="W119" s="61"/>
      <c r="X119" s="61"/>
      <c r="Y119" s="61"/>
      <c r="Z119" s="61"/>
      <c r="AA119" s="61"/>
      <c r="AB119" s="61"/>
      <c r="AC119" s="61"/>
      <c r="AD119" s="61"/>
      <c r="AE119" s="61"/>
      <c r="AF119" s="61"/>
      <c r="AG119" s="61"/>
      <c r="AH119" s="61"/>
      <c r="AI119" s="61"/>
      <c r="AJ119" s="61"/>
      <c r="AK119" s="61"/>
      <c r="AL119" s="61"/>
      <c r="AM119" s="61"/>
      <c r="AN119" s="61"/>
      <c r="AO119" s="61"/>
      <c r="AP119" s="61"/>
      <c r="AQ119" s="61"/>
      <c r="AR119" s="61"/>
      <c r="AS119" s="61"/>
      <c r="AT119" s="61"/>
      <c r="AU119" s="61"/>
      <c r="AV119" s="61"/>
      <c r="AW119" s="61"/>
      <c r="AX119" s="61"/>
      <c r="AY119" s="61"/>
      <c r="AZ119" s="61"/>
      <c r="BA119" s="61" t="s">
        <v>429</v>
      </c>
      <c r="BB119" s="61"/>
      <c r="BC119" s="61" t="s">
        <v>479</v>
      </c>
      <c r="BD119" s="61"/>
      <c r="BE119" s="61"/>
      <c r="BF119" s="61"/>
      <c r="BG119" s="61"/>
      <c r="BH119" s="61"/>
      <c r="BI119" s="61"/>
      <c r="BJ119" s="61"/>
      <c r="BK119" s="61"/>
      <c r="BL119" s="61"/>
      <c r="BM119" s="61"/>
      <c r="BN119" s="61"/>
      <c r="BO119" s="61"/>
      <c r="BP119" s="61"/>
      <c r="BQ119" s="61"/>
      <c r="BR119" s="61"/>
      <c r="BS119" s="61"/>
      <c r="BT119" s="61"/>
      <c r="BU119" s="61"/>
      <c r="BV119" s="61"/>
      <c r="BW119" s="61"/>
      <c r="BX119" s="61"/>
      <c r="BY119" s="61"/>
      <c r="BZ119" s="61"/>
      <c r="CA119" s="61"/>
      <c r="CB119" s="61"/>
      <c r="CC119" s="61"/>
      <c r="CD119" s="61"/>
      <c r="CE119" s="61"/>
      <c r="CF119" s="61"/>
      <c r="CG119" s="61"/>
      <c r="CH119" s="61"/>
      <c r="CI119" s="61"/>
      <c r="CJ119" s="61"/>
      <c r="CK119" s="61"/>
      <c r="CL119" s="61"/>
      <c r="CM119" s="61"/>
      <c r="CN119" s="61"/>
      <c r="CO119" s="61"/>
      <c r="CP119" s="61"/>
      <c r="CQ119" s="61"/>
      <c r="CR119" s="61"/>
      <c r="CS119" s="61"/>
      <c r="CT119" s="61"/>
      <c r="CU119" s="61"/>
      <c r="CV119" s="61"/>
      <c r="CW119" s="61"/>
      <c r="CX119" s="61"/>
      <c r="CY119" s="35"/>
    </row>
    <row r="120" spans="1:103" x14ac:dyDescent="0.25">
      <c r="A120" s="72"/>
      <c r="B120" s="70"/>
      <c r="C120" s="40"/>
      <c r="D120" s="62" t="str">
        <f>IF(D119="","",VLOOKUP(D119,'Tech Tree Node Parameters'!$A$3:$B$218,2,FALSE))</f>
        <v/>
      </c>
      <c r="E120" s="62" t="str">
        <f>IF(E119="","",VLOOKUP(E119,'Tech Tree Node Parameters'!$A$3:$B$218,2,FALSE))</f>
        <v/>
      </c>
      <c r="F120" s="62" t="str">
        <f>IF(F119="","",VLOOKUP(F119,'Tech Tree Node Parameters'!$A$3:$B$218,2,FALSE))</f>
        <v/>
      </c>
      <c r="G120" s="62" t="str">
        <f>IF(G119="","",VLOOKUP(G119,'Tech Tree Node Parameters'!$A$3:$B$218,2,FALSE))</f>
        <v/>
      </c>
      <c r="H120" s="62" t="str">
        <f>IF(H119="","",VLOOKUP(H119,'Tech Tree Node Parameters'!$A$3:$B$218,2,FALSE))</f>
        <v/>
      </c>
      <c r="I120" s="62" t="str">
        <f>IF(I119="","",VLOOKUP(I119,'Tech Tree Node Parameters'!$A$3:$B$218,2,FALSE))</f>
        <v/>
      </c>
      <c r="J120" s="62" t="str">
        <f>IF(J119="","",VLOOKUP(J119,'Tech Tree Node Parameters'!$A$3:$B$218,2,FALSE))</f>
        <v/>
      </c>
      <c r="K120" s="62" t="str">
        <f>IF(K119="","",VLOOKUP(K119,'Tech Tree Node Parameters'!$A$3:$B$218,2,FALSE))</f>
        <v/>
      </c>
      <c r="L120" s="62" t="str">
        <f>IF(L119="","",VLOOKUP(L119,'Tech Tree Node Parameters'!$A$3:$B$218,2,FALSE))</f>
        <v/>
      </c>
      <c r="M120" s="62" t="str">
        <f>IF(M119="","",VLOOKUP(M119,'Tech Tree Node Parameters'!$A$3:$B$218,2,FALSE))</f>
        <v/>
      </c>
      <c r="N120" s="62" t="str">
        <f>IF(N119="","",VLOOKUP(N119,'Tech Tree Node Parameters'!$A$3:$B$218,2,FALSE))</f>
        <v/>
      </c>
      <c r="O120" s="62" t="str">
        <f>IF(O119="","",VLOOKUP(O119,'Tech Tree Node Parameters'!$A$3:$B$218,2,FALSE))</f>
        <v/>
      </c>
      <c r="P120" s="62" t="str">
        <f>IF(P119="","",VLOOKUP(P119,'Tech Tree Node Parameters'!$A$3:$B$218,2,FALSE))</f>
        <v/>
      </c>
      <c r="Q120" s="62" t="str">
        <f>IF(Q119="","",VLOOKUP(Q119,'Tech Tree Node Parameters'!$A$3:$B$218,2,FALSE))</f>
        <v/>
      </c>
      <c r="R120" s="62" t="str">
        <f>IF(R119="","",VLOOKUP(R119,'Tech Tree Node Parameters'!$A$3:$B$218,2,FALSE))</f>
        <v/>
      </c>
      <c r="S120" s="62" t="str">
        <f>IF(S119="","",VLOOKUP(S119,'Tech Tree Node Parameters'!$A$3:$B$218,2,FALSE))</f>
        <v/>
      </c>
      <c r="T120" s="62" t="str">
        <f>IF(T119="","",VLOOKUP(T119,'Tech Tree Node Parameters'!$A$3:$B$218,2,FALSE))</f>
        <v/>
      </c>
      <c r="U120" s="62" t="str">
        <f>IF(U119="","",VLOOKUP(U119,'Tech Tree Node Parameters'!$A$3:$B$218,2,FALSE))</f>
        <v/>
      </c>
      <c r="V120" s="62" t="str">
        <f>IF(V119="","",VLOOKUP(V119,'Tech Tree Node Parameters'!$A$3:$B$218,2,FALSE))</f>
        <v/>
      </c>
      <c r="W120" s="62" t="str">
        <f>IF(W119="","",VLOOKUP(W119,'Tech Tree Node Parameters'!$A$3:$B$218,2,FALSE))</f>
        <v/>
      </c>
      <c r="X120" s="62" t="str">
        <f>IF(X119="","",VLOOKUP(X119,'Tech Tree Node Parameters'!$A$3:$B$218,2,FALSE))</f>
        <v/>
      </c>
      <c r="Y120" s="62" t="str">
        <f>IF(Y119="","",VLOOKUP(Y119,'Tech Tree Node Parameters'!$A$3:$B$218,2,FALSE))</f>
        <v/>
      </c>
      <c r="Z120" s="62" t="str">
        <f>IF(Z119="","",VLOOKUP(Z119,'Tech Tree Node Parameters'!$A$3:$B$218,2,FALSE))</f>
        <v/>
      </c>
      <c r="AA120" s="62" t="str">
        <f>IF(AA119="","",VLOOKUP(AA119,'Tech Tree Node Parameters'!$A$3:$B$218,2,FALSE))</f>
        <v/>
      </c>
      <c r="AB120" s="62" t="str">
        <f>IF(AB119="","",VLOOKUP(AB119,'Tech Tree Node Parameters'!$A$3:$B$218,2,FALSE))</f>
        <v/>
      </c>
      <c r="AC120" s="62" t="str">
        <f>IF(AC119="","",VLOOKUP(AC119,'Tech Tree Node Parameters'!$A$3:$B$218,2,FALSE))</f>
        <v/>
      </c>
      <c r="AD120" s="62" t="str">
        <f>IF(AD119="","",VLOOKUP(AD119,'Tech Tree Node Parameters'!$A$3:$B$218,2,FALSE))</f>
        <v/>
      </c>
      <c r="AE120" s="62" t="str">
        <f>IF(AE119="","",VLOOKUP(AE119,'Tech Tree Node Parameters'!$A$3:$B$218,2,FALSE))</f>
        <v/>
      </c>
      <c r="AF120" s="62" t="str">
        <f>IF(AF119="","",VLOOKUP(AF119,'Tech Tree Node Parameters'!$A$3:$B$218,2,FALSE))</f>
        <v/>
      </c>
      <c r="AG120" s="62" t="str">
        <f>IF(AG119="","",VLOOKUP(AG119,'Tech Tree Node Parameters'!$A$3:$B$218,2,FALSE))</f>
        <v/>
      </c>
      <c r="AH120" s="62" t="str">
        <f>IF(AH119="","",VLOOKUP(AH119,'Tech Tree Node Parameters'!$A$3:$B$218,2,FALSE))</f>
        <v/>
      </c>
      <c r="AI120" s="62" t="str">
        <f>IF(AI119="","",VLOOKUP(AI119,'Tech Tree Node Parameters'!$A$3:$B$218,2,FALSE))</f>
        <v/>
      </c>
      <c r="AJ120" s="62" t="str">
        <f>IF(AJ119="","",VLOOKUP(AJ119,'Tech Tree Node Parameters'!$A$3:$B$218,2,FALSE))</f>
        <v/>
      </c>
      <c r="AK120" s="62" t="str">
        <f>IF(AK119="","",VLOOKUP(AK119,'Tech Tree Node Parameters'!$A$3:$B$218,2,FALSE))</f>
        <v/>
      </c>
      <c r="AL120" s="62" t="str">
        <f>IF(AL119="","",VLOOKUP(AL119,'Tech Tree Node Parameters'!$A$3:$B$218,2,FALSE))</f>
        <v/>
      </c>
      <c r="AM120" s="62" t="str">
        <f>IF(AM119="","",VLOOKUP(AM119,'Tech Tree Node Parameters'!$A$3:$B$218,2,FALSE))</f>
        <v/>
      </c>
      <c r="AN120" s="62" t="str">
        <f>IF(AN119="","",VLOOKUP(AN119,'Tech Tree Node Parameters'!$A$3:$B$218,2,FALSE))</f>
        <v/>
      </c>
      <c r="AO120" s="62" t="str">
        <f>IF(AO119="","",VLOOKUP(AO119,'Tech Tree Node Parameters'!$A$3:$B$218,2,FALSE))</f>
        <v/>
      </c>
      <c r="AP120" s="62" t="str">
        <f>IF(AP119="","",VLOOKUP(AP119,'Tech Tree Node Parameters'!$A$3:$B$218,2,FALSE))</f>
        <v/>
      </c>
      <c r="AQ120" s="62" t="str">
        <f>IF(AQ119="","",VLOOKUP(AQ119,'Tech Tree Node Parameters'!$A$3:$B$218,2,FALSE))</f>
        <v/>
      </c>
      <c r="AR120" s="62" t="str">
        <f>IF(AR119="","",VLOOKUP(AR119,'Tech Tree Node Parameters'!$A$3:$B$218,2,FALSE))</f>
        <v/>
      </c>
      <c r="AS120" s="62" t="str">
        <f>IF(AS119="","",VLOOKUP(AS119,'Tech Tree Node Parameters'!$A$3:$B$218,2,FALSE))</f>
        <v/>
      </c>
      <c r="AT120" s="62" t="str">
        <f>IF(AT119="","",VLOOKUP(AT119,'Tech Tree Node Parameters'!$A$3:$B$218,2,FALSE))</f>
        <v/>
      </c>
      <c r="AU120" s="62" t="str">
        <f>IF(AU119="","",VLOOKUP(AU119,'Tech Tree Node Parameters'!$A$3:$B$218,2,FALSE))</f>
        <v/>
      </c>
      <c r="AV120" s="62" t="str">
        <f>IF(AV119="","",VLOOKUP(AV119,'Tech Tree Node Parameters'!$A$3:$B$218,2,FALSE))</f>
        <v/>
      </c>
      <c r="AW120" s="62" t="str">
        <f>IF(AW119="","",VLOOKUP(AW119,'Tech Tree Node Parameters'!$A$3:$B$218,2,FALSE))</f>
        <v/>
      </c>
      <c r="AX120" s="62" t="str">
        <f>IF(AX119="","",VLOOKUP(AX119,'Tech Tree Node Parameters'!$A$3:$B$218,2,FALSE))</f>
        <v/>
      </c>
      <c r="AY120" s="62" t="str">
        <f>IF(AY119="","",VLOOKUP(AY119,'Tech Tree Node Parameters'!$A$3:$B$218,2,FALSE))</f>
        <v/>
      </c>
      <c r="AZ120" s="62" t="str">
        <f>IF(AZ119="","",VLOOKUP(AZ119,'Tech Tree Node Parameters'!$A$3:$B$218,2,FALSE))</f>
        <v/>
      </c>
      <c r="BA120" s="62" t="str">
        <f>IF(BA119="","",VLOOKUP(BA119,'Tech Tree Node Parameters'!$A$3:$B$218,2,FALSE))</f>
        <v>Exotic Plasma Propulsion</v>
      </c>
      <c r="BB120" s="62" t="str">
        <f>IF(BB119="","",VLOOKUP(BB119,'Tech Tree Node Parameters'!$A$3:$B$218,2,FALSE))</f>
        <v/>
      </c>
      <c r="BC120" s="62" t="str">
        <f>IF(BC119="","",VLOOKUP(BC119,'Tech Tree Node Parameters'!$A$3:$B$218,2,FALSE))</f>
        <v>Advanced Microwave Propulsion</v>
      </c>
      <c r="BD120" s="62" t="str">
        <f>IF(BD119="","",VLOOKUP(BD119,'Tech Tree Node Parameters'!$A$3:$B$218,2,FALSE))</f>
        <v/>
      </c>
      <c r="BE120" s="62" t="str">
        <f>IF(BE119="","",VLOOKUP(BE119,'Tech Tree Node Parameters'!$A$3:$B$218,2,FALSE))</f>
        <v/>
      </c>
      <c r="BF120" s="62" t="str">
        <f>IF(BF119="","",VLOOKUP(BF119,'Tech Tree Node Parameters'!$A$3:$B$218,2,FALSE))</f>
        <v/>
      </c>
      <c r="BG120" s="62" t="str">
        <f>IF(BG119="","",VLOOKUP(BG119,'Tech Tree Node Parameters'!$A$3:$B$218,2,FALSE))</f>
        <v/>
      </c>
      <c r="BH120" s="62" t="str">
        <f>IF(BH119="","",VLOOKUP(BH119,'Tech Tree Node Parameters'!$A$3:$B$218,2,FALSE))</f>
        <v/>
      </c>
      <c r="BI120" s="62" t="str">
        <f>IF(BI119="","",VLOOKUP(BI119,'Tech Tree Node Parameters'!$A$3:$B$218,2,FALSE))</f>
        <v/>
      </c>
      <c r="BJ120" s="62" t="str">
        <f>IF(BJ119="","",VLOOKUP(BJ119,'Tech Tree Node Parameters'!$A$3:$B$218,2,FALSE))</f>
        <v/>
      </c>
      <c r="BK120" s="62" t="str">
        <f>IF(BK119="","",VLOOKUP(BK119,'Tech Tree Node Parameters'!$A$3:$B$218,2,FALSE))</f>
        <v/>
      </c>
      <c r="BL120" s="62" t="str">
        <f>IF(BL119="","",VLOOKUP(BL119,'Tech Tree Node Parameters'!$A$3:$B$218,2,FALSE))</f>
        <v/>
      </c>
      <c r="BM120" s="62" t="str">
        <f>IF(BM119="","",VLOOKUP(BM119,'Tech Tree Node Parameters'!$A$3:$B$218,2,FALSE))</f>
        <v/>
      </c>
      <c r="BN120" s="62" t="str">
        <f>IF(BN119="","",VLOOKUP(BN119,'Tech Tree Node Parameters'!$A$3:$B$218,2,FALSE))</f>
        <v/>
      </c>
      <c r="BO120" s="62" t="str">
        <f>IF(BO119="","",VLOOKUP(BO119,'Tech Tree Node Parameters'!$A$3:$B$218,2,FALSE))</f>
        <v/>
      </c>
      <c r="BP120" s="62" t="str">
        <f>IF(BP119="","",VLOOKUP(BP119,'Tech Tree Node Parameters'!$A$3:$B$218,2,FALSE))</f>
        <v/>
      </c>
      <c r="BQ120" s="62" t="str">
        <f>IF(BQ119="","",VLOOKUP(BQ119,'Tech Tree Node Parameters'!$A$3:$B$218,2,FALSE))</f>
        <v/>
      </c>
      <c r="BR120" s="62" t="str">
        <f>IF(BR119="","",VLOOKUP(BR119,'Tech Tree Node Parameters'!$A$3:$B$218,2,FALSE))</f>
        <v/>
      </c>
      <c r="BS120" s="62" t="str">
        <f>IF(BS119="","",VLOOKUP(BS119,'Tech Tree Node Parameters'!$A$3:$B$218,2,FALSE))</f>
        <v/>
      </c>
      <c r="BT120" s="62" t="str">
        <f>IF(BT119="","",VLOOKUP(BT119,'Tech Tree Node Parameters'!$A$3:$B$218,2,FALSE))</f>
        <v/>
      </c>
      <c r="BU120" s="62"/>
      <c r="BV120" s="62"/>
      <c r="BW120" s="62"/>
      <c r="BX120" s="62"/>
      <c r="BY120" s="62"/>
      <c r="BZ120" s="62"/>
      <c r="CA120" s="62"/>
      <c r="CB120" s="62"/>
      <c r="CC120" s="62"/>
      <c r="CD120" s="62"/>
      <c r="CE120" s="62"/>
      <c r="CF120" s="62"/>
      <c r="CG120" s="62"/>
      <c r="CH120" s="62" t="str">
        <f>IF(CH119="","",VLOOKUP(CH119,'Tech Tree Node Parameters'!$A$3:$B$218,2,FALSE))</f>
        <v/>
      </c>
      <c r="CI120" s="62" t="str">
        <f>IF(CI119="","",VLOOKUP(CI119,'Tech Tree Node Parameters'!$A$3:$B$218,2,FALSE))</f>
        <v/>
      </c>
      <c r="CJ120" s="62" t="str">
        <f>IF(CJ119="","",VLOOKUP(CJ119,'Tech Tree Node Parameters'!$A$3:$B$218,2,FALSE))</f>
        <v/>
      </c>
      <c r="CK120" s="62" t="str">
        <f>IF(CK119="","",VLOOKUP(CK119,'Tech Tree Node Parameters'!$A$3:$B$218,2,FALSE))</f>
        <v/>
      </c>
      <c r="CL120" s="62" t="str">
        <f>IF(CL119="","",VLOOKUP(CL119,'Tech Tree Node Parameters'!$A$3:$B$218,2,FALSE))</f>
        <v/>
      </c>
      <c r="CM120" s="62" t="str">
        <f>IF(CM119="","",VLOOKUP(CM119,'Tech Tree Node Parameters'!$A$3:$B$218,2,FALSE))</f>
        <v/>
      </c>
      <c r="CN120" s="62" t="str">
        <f>IF(CN119="","",VLOOKUP(CN119,'Tech Tree Node Parameters'!$A$3:$B$218,2,FALSE))</f>
        <v/>
      </c>
      <c r="CO120" s="62" t="str">
        <f>IF(CO119="","",VLOOKUP(CO119,'Tech Tree Node Parameters'!$A$3:$B$218,2,FALSE))</f>
        <v/>
      </c>
      <c r="CP120" s="62" t="str">
        <f>IF(CP119="","",VLOOKUP(CP119,'Tech Tree Node Parameters'!$A$3:$B$218,2,FALSE))</f>
        <v/>
      </c>
      <c r="CQ120" s="62" t="str">
        <f>IF(CQ119="","",VLOOKUP(CQ119,'Tech Tree Node Parameters'!$A$3:$B$218,2,FALSE))</f>
        <v/>
      </c>
      <c r="CR120" s="62" t="str">
        <f>IF(CR119="","",VLOOKUP(CR119,'Tech Tree Node Parameters'!$A$3:$B$218,2,FALSE))</f>
        <v/>
      </c>
      <c r="CS120" s="62" t="str">
        <f>IF(CS119="","",VLOOKUP(CS119,'Tech Tree Node Parameters'!$A$3:$B$218,2,FALSE))</f>
        <v/>
      </c>
      <c r="CT120" s="62" t="str">
        <f>IF(CT119="","",VLOOKUP(CT119,'Tech Tree Node Parameters'!$A$3:$B$218,2,FALSE))</f>
        <v/>
      </c>
      <c r="CU120" s="62" t="str">
        <f>IF(CU119="","",VLOOKUP(CU119,'Tech Tree Node Parameters'!$A$3:$B$218,2,FALSE))</f>
        <v/>
      </c>
      <c r="CV120" s="62" t="str">
        <f>IF(CV119="","",VLOOKUP(CV119,'Tech Tree Node Parameters'!$A$3:$B$218,2,FALSE))</f>
        <v/>
      </c>
      <c r="CW120" s="62" t="str">
        <f>IF(CW119="","",VLOOKUP(CW119,'Tech Tree Node Parameters'!$A$3:$B$218,2,FALSE))</f>
        <v/>
      </c>
      <c r="CX120" s="62" t="str">
        <f>IF(CX119="","",VLOOKUP(CX119,'Tech Tree Node Parameters'!$A$3:$B$218,2,FALSE))</f>
        <v/>
      </c>
      <c r="CY120" s="36" t="str">
        <f>IF(CY119="","",VLOOKUP(CY119,'Tech Tree Node Parameters'!$A$3:$B$218,2,FALSE))</f>
        <v/>
      </c>
    </row>
    <row r="121" spans="1:103" x14ac:dyDescent="0.25">
      <c r="A121" s="72">
        <f t="shared" ref="A121" si="39">A123+1</f>
        <v>3</v>
      </c>
      <c r="B121" s="69">
        <f>B123+$D$6</f>
        <v>151</v>
      </c>
      <c r="C121" s="39"/>
      <c r="D121" s="61"/>
      <c r="E121" s="61"/>
      <c r="F121" s="61"/>
      <c r="G121" s="61"/>
      <c r="H121" s="61"/>
      <c r="I121" s="61"/>
      <c r="J121" s="61"/>
      <c r="K121" s="61"/>
      <c r="L121" s="61"/>
      <c r="M121" s="61"/>
      <c r="N121" s="61"/>
      <c r="O121" s="61"/>
      <c r="P121" s="61"/>
      <c r="Q121" s="61"/>
      <c r="R121" s="61"/>
      <c r="S121" s="61"/>
      <c r="T121" s="61"/>
      <c r="U121" s="61"/>
      <c r="V121" s="61"/>
      <c r="W121" s="61"/>
      <c r="X121" s="61"/>
      <c r="Y121" s="61"/>
      <c r="Z121" s="61"/>
      <c r="AA121" s="61"/>
      <c r="AB121" s="61"/>
      <c r="AC121" s="61"/>
      <c r="AD121" s="61"/>
      <c r="AE121" s="61"/>
      <c r="AF121" s="61"/>
      <c r="AG121" s="61"/>
      <c r="AH121" s="61"/>
      <c r="AI121" s="61"/>
      <c r="AJ121" s="61"/>
      <c r="AK121" s="61"/>
      <c r="AL121" s="61"/>
      <c r="AM121" s="61"/>
      <c r="AN121" s="61"/>
      <c r="AO121" s="61"/>
      <c r="AP121" s="61"/>
      <c r="AQ121" s="61"/>
      <c r="AR121" s="61"/>
      <c r="AS121" s="61"/>
      <c r="AT121" s="61"/>
      <c r="AU121" s="61"/>
      <c r="AV121" s="61"/>
      <c r="AW121" s="61"/>
      <c r="AX121" s="61"/>
      <c r="AY121" s="61"/>
      <c r="AZ121" s="61"/>
      <c r="BA121" s="61"/>
      <c r="BB121" s="61"/>
      <c r="BC121" s="61"/>
      <c r="BD121" s="61"/>
      <c r="BE121" s="61"/>
      <c r="BF121" s="61"/>
      <c r="BG121" s="61"/>
      <c r="BH121" s="61"/>
      <c r="BI121" s="61"/>
      <c r="BJ121" s="61"/>
      <c r="BK121" s="61"/>
      <c r="BL121" s="61"/>
      <c r="BM121" s="61"/>
      <c r="BN121" s="61"/>
      <c r="BO121" s="61"/>
      <c r="BP121" s="61"/>
      <c r="BQ121" s="61"/>
      <c r="BR121" s="61"/>
      <c r="BS121" s="61"/>
      <c r="BT121" s="61"/>
      <c r="BU121" s="61"/>
      <c r="BV121" s="61"/>
      <c r="BW121" s="61"/>
      <c r="BX121" s="61"/>
      <c r="BY121" s="61"/>
      <c r="BZ121" s="61"/>
      <c r="CA121" s="61"/>
      <c r="CB121" s="61"/>
      <c r="CC121" s="61"/>
      <c r="CD121" s="61"/>
      <c r="CE121" s="61"/>
      <c r="CF121" s="61"/>
      <c r="CG121" s="61"/>
      <c r="CH121" s="61"/>
      <c r="CI121" s="61"/>
      <c r="CJ121" s="61"/>
      <c r="CK121" s="61"/>
      <c r="CL121" s="61"/>
      <c r="CM121" s="61"/>
      <c r="CN121" s="61"/>
      <c r="CO121" s="61"/>
      <c r="CP121" s="61"/>
      <c r="CQ121" s="61"/>
      <c r="CR121" s="61"/>
      <c r="CS121" s="61"/>
      <c r="CT121" s="61"/>
      <c r="CU121" s="61"/>
      <c r="CV121" s="61"/>
      <c r="CW121" s="61"/>
      <c r="CX121" s="61"/>
      <c r="CY121" s="35"/>
    </row>
    <row r="122" spans="1:103" x14ac:dyDescent="0.25">
      <c r="A122" s="72"/>
      <c r="B122" s="70"/>
      <c r="C122" s="40"/>
      <c r="D122" s="62" t="str">
        <f>IF(D121="","",VLOOKUP(D121,'Tech Tree Node Parameters'!$A$3:$B$218,2,FALSE))</f>
        <v/>
      </c>
      <c r="E122" s="62" t="str">
        <f>IF(E121="","",VLOOKUP(E121,'Tech Tree Node Parameters'!$A$3:$B$218,2,FALSE))</f>
        <v/>
      </c>
      <c r="F122" s="62" t="str">
        <f>IF(F121="","",VLOOKUP(F121,'Tech Tree Node Parameters'!$A$3:$B$218,2,FALSE))</f>
        <v/>
      </c>
      <c r="G122" s="62" t="str">
        <f>IF(G121="","",VLOOKUP(G121,'Tech Tree Node Parameters'!$A$3:$B$218,2,FALSE))</f>
        <v/>
      </c>
      <c r="H122" s="62" t="str">
        <f>IF(H121="","",VLOOKUP(H121,'Tech Tree Node Parameters'!$A$3:$B$218,2,FALSE))</f>
        <v/>
      </c>
      <c r="I122" s="62" t="str">
        <f>IF(I121="","",VLOOKUP(I121,'Tech Tree Node Parameters'!$A$3:$B$218,2,FALSE))</f>
        <v/>
      </c>
      <c r="J122" s="62" t="str">
        <f>IF(J121="","",VLOOKUP(J121,'Tech Tree Node Parameters'!$A$3:$B$218,2,FALSE))</f>
        <v/>
      </c>
      <c r="K122" s="62" t="str">
        <f>IF(K121="","",VLOOKUP(K121,'Tech Tree Node Parameters'!$A$3:$B$218,2,FALSE))</f>
        <v/>
      </c>
      <c r="L122" s="62" t="str">
        <f>IF(L121="","",VLOOKUP(L121,'Tech Tree Node Parameters'!$A$3:$B$218,2,FALSE))</f>
        <v/>
      </c>
      <c r="M122" s="62" t="str">
        <f>IF(M121="","",VLOOKUP(M121,'Tech Tree Node Parameters'!$A$3:$B$218,2,FALSE))</f>
        <v/>
      </c>
      <c r="N122" s="62" t="str">
        <f>IF(N121="","",VLOOKUP(N121,'Tech Tree Node Parameters'!$A$3:$B$218,2,FALSE))</f>
        <v/>
      </c>
      <c r="O122" s="62" t="str">
        <f>IF(O121="","",VLOOKUP(O121,'Tech Tree Node Parameters'!$A$3:$B$218,2,FALSE))</f>
        <v/>
      </c>
      <c r="P122" s="62" t="str">
        <f>IF(P121="","",VLOOKUP(P121,'Tech Tree Node Parameters'!$A$3:$B$218,2,FALSE))</f>
        <v/>
      </c>
      <c r="Q122" s="62" t="str">
        <f>IF(Q121="","",VLOOKUP(Q121,'Tech Tree Node Parameters'!$A$3:$B$218,2,FALSE))</f>
        <v/>
      </c>
      <c r="R122" s="62" t="str">
        <f>IF(R121="","",VLOOKUP(R121,'Tech Tree Node Parameters'!$A$3:$B$218,2,FALSE))</f>
        <v/>
      </c>
      <c r="S122" s="62" t="str">
        <f>IF(S121="","",VLOOKUP(S121,'Tech Tree Node Parameters'!$A$3:$B$218,2,FALSE))</f>
        <v/>
      </c>
      <c r="T122" s="62" t="str">
        <f>IF(T121="","",VLOOKUP(T121,'Tech Tree Node Parameters'!$A$3:$B$218,2,FALSE))</f>
        <v/>
      </c>
      <c r="U122" s="62" t="str">
        <f>IF(U121="","",VLOOKUP(U121,'Tech Tree Node Parameters'!$A$3:$B$218,2,FALSE))</f>
        <v/>
      </c>
      <c r="V122" s="62" t="str">
        <f>IF(V121="","",VLOOKUP(V121,'Tech Tree Node Parameters'!$A$3:$B$218,2,FALSE))</f>
        <v/>
      </c>
      <c r="W122" s="62" t="str">
        <f>IF(W121="","",VLOOKUP(W121,'Tech Tree Node Parameters'!$A$3:$B$218,2,FALSE))</f>
        <v/>
      </c>
      <c r="X122" s="62" t="str">
        <f>IF(X121="","",VLOOKUP(X121,'Tech Tree Node Parameters'!$A$3:$B$218,2,FALSE))</f>
        <v/>
      </c>
      <c r="Y122" s="62" t="str">
        <f>IF(Y121="","",VLOOKUP(Y121,'Tech Tree Node Parameters'!$A$3:$B$218,2,FALSE))</f>
        <v/>
      </c>
      <c r="Z122" s="62" t="str">
        <f>IF(Z121="","",VLOOKUP(Z121,'Tech Tree Node Parameters'!$A$3:$B$218,2,FALSE))</f>
        <v/>
      </c>
      <c r="AA122" s="62" t="str">
        <f>IF(AA121="","",VLOOKUP(AA121,'Tech Tree Node Parameters'!$A$3:$B$218,2,FALSE))</f>
        <v/>
      </c>
      <c r="AB122" s="62" t="str">
        <f>IF(AB121="","",VLOOKUP(AB121,'Tech Tree Node Parameters'!$A$3:$B$218,2,FALSE))</f>
        <v/>
      </c>
      <c r="AC122" s="62" t="str">
        <f>IF(AC121="","",VLOOKUP(AC121,'Tech Tree Node Parameters'!$A$3:$B$218,2,FALSE))</f>
        <v/>
      </c>
      <c r="AD122" s="62" t="str">
        <f>IF(AD121="","",VLOOKUP(AD121,'Tech Tree Node Parameters'!$A$3:$B$218,2,FALSE))</f>
        <v/>
      </c>
      <c r="AE122" s="62" t="str">
        <f>IF(AE121="","",VLOOKUP(AE121,'Tech Tree Node Parameters'!$A$3:$B$218,2,FALSE))</f>
        <v/>
      </c>
      <c r="AF122" s="62" t="str">
        <f>IF(AF121="","",VLOOKUP(AF121,'Tech Tree Node Parameters'!$A$3:$B$218,2,FALSE))</f>
        <v/>
      </c>
      <c r="AG122" s="62" t="str">
        <f>IF(AG121="","",VLOOKUP(AG121,'Tech Tree Node Parameters'!$A$3:$B$218,2,FALSE))</f>
        <v/>
      </c>
      <c r="AH122" s="62" t="str">
        <f>IF(AH121="","",VLOOKUP(AH121,'Tech Tree Node Parameters'!$A$3:$B$218,2,FALSE))</f>
        <v/>
      </c>
      <c r="AI122" s="62" t="str">
        <f>IF(AI121="","",VLOOKUP(AI121,'Tech Tree Node Parameters'!$A$3:$B$218,2,FALSE))</f>
        <v/>
      </c>
      <c r="AJ122" s="62" t="str">
        <f>IF(AJ121="","",VLOOKUP(AJ121,'Tech Tree Node Parameters'!$A$3:$B$218,2,FALSE))</f>
        <v/>
      </c>
      <c r="AK122" s="62" t="str">
        <f>IF(AK121="","",VLOOKUP(AK121,'Tech Tree Node Parameters'!$A$3:$B$218,2,FALSE))</f>
        <v/>
      </c>
      <c r="AL122" s="62" t="str">
        <f>IF(AL121="","",VLOOKUP(AL121,'Tech Tree Node Parameters'!$A$3:$B$218,2,FALSE))</f>
        <v/>
      </c>
      <c r="AM122" s="62" t="str">
        <f>IF(AM121="","",VLOOKUP(AM121,'Tech Tree Node Parameters'!$A$3:$B$218,2,FALSE))</f>
        <v/>
      </c>
      <c r="AN122" s="62" t="str">
        <f>IF(AN121="","",VLOOKUP(AN121,'Tech Tree Node Parameters'!$A$3:$B$218,2,FALSE))</f>
        <v/>
      </c>
      <c r="AO122" s="62" t="str">
        <f>IF(AO121="","",VLOOKUP(AO121,'Tech Tree Node Parameters'!$A$3:$B$218,2,FALSE))</f>
        <v/>
      </c>
      <c r="AP122" s="62" t="str">
        <f>IF(AP121="","",VLOOKUP(AP121,'Tech Tree Node Parameters'!$A$3:$B$218,2,FALSE))</f>
        <v/>
      </c>
      <c r="AQ122" s="62" t="str">
        <f>IF(AQ121="","",VLOOKUP(AQ121,'Tech Tree Node Parameters'!$A$3:$B$218,2,FALSE))</f>
        <v/>
      </c>
      <c r="AR122" s="62" t="str">
        <f>IF(AR121="","",VLOOKUP(AR121,'Tech Tree Node Parameters'!$A$3:$B$218,2,FALSE))</f>
        <v/>
      </c>
      <c r="AS122" s="62" t="str">
        <f>IF(AS121="","",VLOOKUP(AS121,'Tech Tree Node Parameters'!$A$3:$B$218,2,FALSE))</f>
        <v/>
      </c>
      <c r="AT122" s="62" t="str">
        <f>IF(AT121="","",VLOOKUP(AT121,'Tech Tree Node Parameters'!$A$3:$B$218,2,FALSE))</f>
        <v/>
      </c>
      <c r="AU122" s="62" t="str">
        <f>IF(AU121="","",VLOOKUP(AU121,'Tech Tree Node Parameters'!$A$3:$B$218,2,FALSE))</f>
        <v/>
      </c>
      <c r="AV122" s="62" t="str">
        <f>IF(AV121="","",VLOOKUP(AV121,'Tech Tree Node Parameters'!$A$3:$B$218,2,FALSE))</f>
        <v/>
      </c>
      <c r="AW122" s="62" t="str">
        <f>IF(AW121="","",VLOOKUP(AW121,'Tech Tree Node Parameters'!$A$3:$B$218,2,FALSE))</f>
        <v/>
      </c>
      <c r="AX122" s="62" t="str">
        <f>IF(AX121="","",VLOOKUP(AX121,'Tech Tree Node Parameters'!$A$3:$B$218,2,FALSE))</f>
        <v/>
      </c>
      <c r="AY122" s="62" t="str">
        <f>IF(AY121="","",VLOOKUP(AY121,'Tech Tree Node Parameters'!$A$3:$B$218,2,FALSE))</f>
        <v/>
      </c>
      <c r="AZ122" s="62" t="str">
        <f>IF(AZ121="","",VLOOKUP(AZ121,'Tech Tree Node Parameters'!$A$3:$B$218,2,FALSE))</f>
        <v/>
      </c>
      <c r="BA122" s="62" t="str">
        <f>IF(BA121="","",VLOOKUP(BA121,'Tech Tree Node Parameters'!$A$3:$B$218,2,FALSE))</f>
        <v/>
      </c>
      <c r="BB122" s="62" t="str">
        <f>IF(BB121="","",VLOOKUP(BB121,'Tech Tree Node Parameters'!$A$3:$B$218,2,FALSE))</f>
        <v/>
      </c>
      <c r="BC122" s="62" t="str">
        <f>IF(BC121="","",VLOOKUP(BC121,'Tech Tree Node Parameters'!$A$3:$B$218,2,FALSE))</f>
        <v/>
      </c>
      <c r="BD122" s="62" t="str">
        <f>IF(BD121="","",VLOOKUP(BD121,'Tech Tree Node Parameters'!$A$3:$B$218,2,FALSE))</f>
        <v/>
      </c>
      <c r="BE122" s="62" t="str">
        <f>IF(BE121="","",VLOOKUP(BE121,'Tech Tree Node Parameters'!$A$3:$B$218,2,FALSE))</f>
        <v/>
      </c>
      <c r="BF122" s="62" t="str">
        <f>IF(BF121="","",VLOOKUP(BF121,'Tech Tree Node Parameters'!$A$3:$B$218,2,FALSE))</f>
        <v/>
      </c>
      <c r="BG122" s="62" t="str">
        <f>IF(BG121="","",VLOOKUP(BG121,'Tech Tree Node Parameters'!$A$3:$B$218,2,FALSE))</f>
        <v/>
      </c>
      <c r="BH122" s="62" t="str">
        <f>IF(BH121="","",VLOOKUP(BH121,'Tech Tree Node Parameters'!$A$3:$B$218,2,FALSE))</f>
        <v/>
      </c>
      <c r="BI122" s="62" t="str">
        <f>IF(BI121="","",VLOOKUP(BI121,'Tech Tree Node Parameters'!$A$3:$B$218,2,FALSE))</f>
        <v/>
      </c>
      <c r="BJ122" s="62" t="str">
        <f>IF(BJ121="","",VLOOKUP(BJ121,'Tech Tree Node Parameters'!$A$3:$B$218,2,FALSE))</f>
        <v/>
      </c>
      <c r="BK122" s="62" t="str">
        <f>IF(BK121="","",VLOOKUP(BK121,'Tech Tree Node Parameters'!$A$3:$B$218,2,FALSE))</f>
        <v/>
      </c>
      <c r="BL122" s="62" t="str">
        <f>IF(BL121="","",VLOOKUP(BL121,'Tech Tree Node Parameters'!$A$3:$B$218,2,FALSE))</f>
        <v/>
      </c>
      <c r="BM122" s="62" t="str">
        <f>IF(BM121="","",VLOOKUP(BM121,'Tech Tree Node Parameters'!$A$3:$B$218,2,FALSE))</f>
        <v/>
      </c>
      <c r="BN122" s="62" t="str">
        <f>IF(BN121="","",VLOOKUP(BN121,'Tech Tree Node Parameters'!$A$3:$B$218,2,FALSE))</f>
        <v/>
      </c>
      <c r="BO122" s="62" t="str">
        <f>IF(BO121="","",VLOOKUP(BO121,'Tech Tree Node Parameters'!$A$3:$B$218,2,FALSE))</f>
        <v/>
      </c>
      <c r="BP122" s="62" t="str">
        <f>IF(BP121="","",VLOOKUP(BP121,'Tech Tree Node Parameters'!$A$3:$B$218,2,FALSE))</f>
        <v/>
      </c>
      <c r="BQ122" s="62" t="str">
        <f>IF(BQ121="","",VLOOKUP(BQ121,'Tech Tree Node Parameters'!$A$3:$B$218,2,FALSE))</f>
        <v/>
      </c>
      <c r="BR122" s="62" t="str">
        <f>IF(BR121="","",VLOOKUP(BR121,'Tech Tree Node Parameters'!$A$3:$B$218,2,FALSE))</f>
        <v/>
      </c>
      <c r="BS122" s="62" t="str">
        <f>IF(BS121="","",VLOOKUP(BS121,'Tech Tree Node Parameters'!$A$3:$B$218,2,FALSE))</f>
        <v/>
      </c>
      <c r="BT122" s="62" t="str">
        <f>IF(BT121="","",VLOOKUP(BT121,'Tech Tree Node Parameters'!$A$3:$B$218,2,FALSE))</f>
        <v/>
      </c>
      <c r="BU122" s="62" t="str">
        <f>IF(BU121="","",VLOOKUP(BU121,'Tech Tree Node Parameters'!$A$3:$B$218,2,FALSE))</f>
        <v/>
      </c>
      <c r="BV122" s="62" t="str">
        <f>IF(BV121="","",VLOOKUP(BV121,'Tech Tree Node Parameters'!$A$3:$B$218,2,FALSE))</f>
        <v/>
      </c>
      <c r="BW122" s="62" t="str">
        <f>IF(BW121="","",VLOOKUP(BW121,'Tech Tree Node Parameters'!$A$3:$B$218,2,FALSE))</f>
        <v/>
      </c>
      <c r="BX122" s="62" t="str">
        <f>IF(BX121="","",VLOOKUP(BX121,'Tech Tree Node Parameters'!$A$3:$B$218,2,FALSE))</f>
        <v/>
      </c>
      <c r="BY122" s="62" t="str">
        <f>IF(BY121="","",VLOOKUP(BY121,'Tech Tree Node Parameters'!$A$3:$B$218,2,FALSE))</f>
        <v/>
      </c>
      <c r="BZ122" s="62"/>
      <c r="CA122" s="62"/>
      <c r="CB122" s="62"/>
      <c r="CC122" s="62"/>
      <c r="CD122" s="62"/>
      <c r="CE122" s="62"/>
      <c r="CF122" s="62"/>
      <c r="CG122" s="62"/>
      <c r="CH122" s="62" t="str">
        <f>IF(CH121="","",VLOOKUP(CH121,'Tech Tree Node Parameters'!$A$3:$B$218,2,FALSE))</f>
        <v/>
      </c>
      <c r="CI122" s="62" t="str">
        <f>IF(CI121="","",VLOOKUP(CI121,'Tech Tree Node Parameters'!$A$3:$B$218,2,FALSE))</f>
        <v/>
      </c>
      <c r="CJ122" s="62" t="str">
        <f>IF(CJ121="","",VLOOKUP(CJ121,'Tech Tree Node Parameters'!$A$3:$B$218,2,FALSE))</f>
        <v/>
      </c>
      <c r="CK122" s="62" t="str">
        <f>IF(CK121="","",VLOOKUP(CK121,'Tech Tree Node Parameters'!$A$3:$B$218,2,FALSE))</f>
        <v/>
      </c>
      <c r="CL122" s="62" t="str">
        <f>IF(CL121="","",VLOOKUP(CL121,'Tech Tree Node Parameters'!$A$3:$B$218,2,FALSE))</f>
        <v/>
      </c>
      <c r="CM122" s="62" t="str">
        <f>IF(CM121="","",VLOOKUP(CM121,'Tech Tree Node Parameters'!$A$3:$B$218,2,FALSE))</f>
        <v/>
      </c>
      <c r="CN122" s="62" t="str">
        <f>IF(CN121="","",VLOOKUP(CN121,'Tech Tree Node Parameters'!$A$3:$B$218,2,FALSE))</f>
        <v/>
      </c>
      <c r="CO122" s="62" t="str">
        <f>IF(CO121="","",VLOOKUP(CO121,'Tech Tree Node Parameters'!$A$3:$B$218,2,FALSE))</f>
        <v/>
      </c>
      <c r="CP122" s="62" t="str">
        <f>IF(CP121="","",VLOOKUP(CP121,'Tech Tree Node Parameters'!$A$3:$B$218,2,FALSE))</f>
        <v/>
      </c>
      <c r="CQ122" s="62" t="str">
        <f>IF(CQ121="","",VLOOKUP(CQ121,'Tech Tree Node Parameters'!$A$3:$B$218,2,FALSE))</f>
        <v/>
      </c>
      <c r="CR122" s="62" t="str">
        <f>IF(CR121="","",VLOOKUP(CR121,'Tech Tree Node Parameters'!$A$3:$B$218,2,FALSE))</f>
        <v/>
      </c>
      <c r="CS122" s="62" t="str">
        <f>IF(CS121="","",VLOOKUP(CS121,'Tech Tree Node Parameters'!$A$3:$B$218,2,FALSE))</f>
        <v/>
      </c>
      <c r="CT122" s="62" t="str">
        <f>IF(CT121="","",VLOOKUP(CT121,'Tech Tree Node Parameters'!$A$3:$B$218,2,FALSE))</f>
        <v/>
      </c>
      <c r="CU122" s="62" t="str">
        <f>IF(CU121="","",VLOOKUP(CU121,'Tech Tree Node Parameters'!$A$3:$B$218,2,FALSE))</f>
        <v/>
      </c>
      <c r="CV122" s="62" t="str">
        <f>IF(CV121="","",VLOOKUP(CV121,'Tech Tree Node Parameters'!$A$3:$B$218,2,FALSE))</f>
        <v/>
      </c>
      <c r="CW122" s="62" t="str">
        <f>IF(CW121="","",VLOOKUP(CW121,'Tech Tree Node Parameters'!$A$3:$B$218,2,FALSE))</f>
        <v/>
      </c>
      <c r="CX122" s="62" t="str">
        <f>IF(CX121="","",VLOOKUP(CX121,'Tech Tree Node Parameters'!$A$3:$B$218,2,FALSE))</f>
        <v/>
      </c>
      <c r="CY122" s="36" t="str">
        <f>IF(CY121="","",VLOOKUP(CY121,'Tech Tree Node Parameters'!$A$3:$B$218,2,FALSE))</f>
        <v/>
      </c>
    </row>
    <row r="123" spans="1:103" x14ac:dyDescent="0.25">
      <c r="A123" s="72">
        <f>A125+1</f>
        <v>2</v>
      </c>
      <c r="B123" s="69">
        <f>B125+$D$6</f>
        <v>113</v>
      </c>
      <c r="C123" s="39"/>
      <c r="D123" s="61"/>
      <c r="E123" s="61"/>
      <c r="F123" s="61"/>
      <c r="G123" s="61"/>
      <c r="H123" s="61"/>
      <c r="I123" s="61"/>
      <c r="J123" s="61"/>
      <c r="K123" s="61"/>
      <c r="L123" s="61"/>
      <c r="M123" s="61"/>
      <c r="N123" s="61"/>
      <c r="O123" s="61"/>
      <c r="P123" s="61"/>
      <c r="Q123" s="61"/>
      <c r="R123" s="61"/>
      <c r="S123" s="61"/>
      <c r="T123" s="61"/>
      <c r="U123" s="61"/>
      <c r="V123" s="61"/>
      <c r="W123" s="61"/>
      <c r="X123" s="61"/>
      <c r="Y123" s="61"/>
      <c r="Z123" s="61"/>
      <c r="AA123" s="61"/>
      <c r="AB123" s="61"/>
      <c r="AC123" s="61"/>
      <c r="AD123" s="61"/>
      <c r="AE123" s="61"/>
      <c r="AF123" s="61"/>
      <c r="AG123" s="61"/>
      <c r="AH123" s="61"/>
      <c r="AI123" s="61"/>
      <c r="AJ123" s="61"/>
      <c r="AK123" s="61"/>
      <c r="AL123" s="61"/>
      <c r="AM123" s="61"/>
      <c r="AN123" s="61"/>
      <c r="AO123" s="61"/>
      <c r="AP123" s="61"/>
      <c r="AQ123" s="61"/>
      <c r="AR123" s="61"/>
      <c r="AS123" s="61"/>
      <c r="AT123" s="61"/>
      <c r="AU123" s="61"/>
      <c r="AV123" s="61"/>
      <c r="AW123" s="61"/>
      <c r="AX123" s="61"/>
      <c r="AY123" s="61"/>
      <c r="AZ123" s="61"/>
      <c r="BA123" s="61"/>
      <c r="BB123" s="61"/>
      <c r="BC123" s="61"/>
      <c r="BD123" s="61"/>
      <c r="BE123" s="61"/>
      <c r="BF123" s="61"/>
      <c r="BG123" s="61"/>
      <c r="BH123" s="61"/>
      <c r="BI123" s="61"/>
      <c r="BJ123" s="61"/>
      <c r="BK123" s="61"/>
      <c r="BL123" s="61"/>
      <c r="BM123" s="61"/>
      <c r="BN123" s="61"/>
      <c r="BO123" s="61"/>
      <c r="BP123" s="61"/>
      <c r="BQ123" s="61"/>
      <c r="BR123" s="61"/>
      <c r="BS123" s="61"/>
      <c r="BT123" s="61"/>
      <c r="BU123" s="61"/>
      <c r="BV123" s="61"/>
      <c r="BW123" s="61"/>
      <c r="BX123" s="61"/>
      <c r="BY123" s="61"/>
      <c r="BZ123" s="61"/>
      <c r="CA123" s="61"/>
      <c r="CB123" s="61"/>
      <c r="CC123" s="61"/>
      <c r="CD123" s="61"/>
      <c r="CE123" s="61"/>
      <c r="CF123" s="61"/>
      <c r="CG123" s="61"/>
      <c r="CH123" s="61"/>
      <c r="CI123" s="61"/>
      <c r="CJ123" s="61"/>
      <c r="CK123" s="61"/>
      <c r="CL123" s="61"/>
      <c r="CM123" s="61"/>
      <c r="CN123" s="61"/>
      <c r="CO123" s="61"/>
      <c r="CP123" s="61"/>
      <c r="CQ123" s="61"/>
      <c r="CR123" s="61"/>
      <c r="CS123" s="61"/>
      <c r="CT123" s="61"/>
      <c r="CU123" s="61"/>
      <c r="CV123" s="61"/>
      <c r="CW123" s="61"/>
      <c r="CX123" s="61"/>
      <c r="CY123" s="35"/>
    </row>
    <row r="124" spans="1:103" x14ac:dyDescent="0.25">
      <c r="A124" s="72"/>
      <c r="B124" s="70"/>
      <c r="C124" s="40"/>
      <c r="D124" s="62" t="str">
        <f>IF(D123="","",VLOOKUP(D123,'Tech Tree Node Parameters'!$A$3:$B$218,2,FALSE))</f>
        <v/>
      </c>
      <c r="E124" s="62" t="str">
        <f>IF(E123="","",VLOOKUP(E123,'Tech Tree Node Parameters'!$A$3:$B$218,2,FALSE))</f>
        <v/>
      </c>
      <c r="F124" s="62" t="str">
        <f>IF(F123="","",VLOOKUP(F123,'Tech Tree Node Parameters'!$A$3:$B$218,2,FALSE))</f>
        <v/>
      </c>
      <c r="G124" s="62" t="str">
        <f>IF(G123="","",VLOOKUP(G123,'Tech Tree Node Parameters'!$A$3:$B$218,2,FALSE))</f>
        <v/>
      </c>
      <c r="H124" s="62" t="str">
        <f>IF(H123="","",VLOOKUP(H123,'Tech Tree Node Parameters'!$A$3:$B$218,2,FALSE))</f>
        <v/>
      </c>
      <c r="I124" s="62" t="str">
        <f>IF(I123="","",VLOOKUP(I123,'Tech Tree Node Parameters'!$A$3:$B$218,2,FALSE))</f>
        <v/>
      </c>
      <c r="J124" s="62" t="str">
        <f>IF(J123="","",VLOOKUP(J123,'Tech Tree Node Parameters'!$A$3:$B$218,2,FALSE))</f>
        <v/>
      </c>
      <c r="K124" s="62" t="str">
        <f>IF(K123="","",VLOOKUP(K123,'Tech Tree Node Parameters'!$A$3:$B$218,2,FALSE))</f>
        <v/>
      </c>
      <c r="L124" s="62" t="str">
        <f>IF(L123="","",VLOOKUP(L123,'Tech Tree Node Parameters'!$A$3:$B$218,2,FALSE))</f>
        <v/>
      </c>
      <c r="M124" s="62" t="str">
        <f>IF(M123="","",VLOOKUP(M123,'Tech Tree Node Parameters'!$A$3:$B$218,2,FALSE))</f>
        <v/>
      </c>
      <c r="N124" s="62" t="str">
        <f>IF(N123="","",VLOOKUP(N123,'Tech Tree Node Parameters'!$A$3:$B$218,2,FALSE))</f>
        <v/>
      </c>
      <c r="O124" s="62" t="str">
        <f>IF(O123="","",VLOOKUP(O123,'Tech Tree Node Parameters'!$A$3:$B$218,2,FALSE))</f>
        <v/>
      </c>
      <c r="P124" s="62" t="str">
        <f>IF(P123="","",VLOOKUP(P123,'Tech Tree Node Parameters'!$A$3:$B$218,2,FALSE))</f>
        <v/>
      </c>
      <c r="Q124" s="62" t="str">
        <f>IF(Q123="","",VLOOKUP(Q123,'Tech Tree Node Parameters'!$A$3:$B$218,2,FALSE))</f>
        <v/>
      </c>
      <c r="R124" s="62" t="str">
        <f>IF(R123="","",VLOOKUP(R123,'Tech Tree Node Parameters'!$A$3:$B$218,2,FALSE))</f>
        <v/>
      </c>
      <c r="S124" s="62" t="str">
        <f>IF(S123="","",VLOOKUP(S123,'Tech Tree Node Parameters'!$A$3:$B$218,2,FALSE))</f>
        <v/>
      </c>
      <c r="T124" s="62" t="str">
        <f>IF(T123="","",VLOOKUP(T123,'Tech Tree Node Parameters'!$A$3:$B$218,2,FALSE))</f>
        <v/>
      </c>
      <c r="U124" s="62" t="str">
        <f>IF(U123="","",VLOOKUP(U123,'Tech Tree Node Parameters'!$A$3:$B$218,2,FALSE))</f>
        <v/>
      </c>
      <c r="V124" s="62" t="str">
        <f>IF(V123="","",VLOOKUP(V123,'Tech Tree Node Parameters'!$A$3:$B$218,2,FALSE))</f>
        <v/>
      </c>
      <c r="W124" s="62" t="str">
        <f>IF(W123="","",VLOOKUP(W123,'Tech Tree Node Parameters'!$A$3:$B$218,2,FALSE))</f>
        <v/>
      </c>
      <c r="X124" s="62" t="str">
        <f>IF(X123="","",VLOOKUP(X123,'Tech Tree Node Parameters'!$A$3:$B$218,2,FALSE))</f>
        <v/>
      </c>
      <c r="Y124" s="62" t="str">
        <f>IF(Y123="","",VLOOKUP(Y123,'Tech Tree Node Parameters'!$A$3:$B$218,2,FALSE))</f>
        <v/>
      </c>
      <c r="Z124" s="62" t="str">
        <f>IF(Z123="","",VLOOKUP(Z123,'Tech Tree Node Parameters'!$A$3:$B$218,2,FALSE))</f>
        <v/>
      </c>
      <c r="AA124" s="62" t="str">
        <f>IF(AA123="","",VLOOKUP(AA123,'Tech Tree Node Parameters'!$A$3:$B$218,2,FALSE))</f>
        <v/>
      </c>
      <c r="AB124" s="62" t="str">
        <f>IF(AB123="","",VLOOKUP(AB123,'Tech Tree Node Parameters'!$A$3:$B$218,2,FALSE))</f>
        <v/>
      </c>
      <c r="AC124" s="62" t="str">
        <f>IF(AC123="","",VLOOKUP(AC123,'Tech Tree Node Parameters'!$A$3:$B$218,2,FALSE))</f>
        <v/>
      </c>
      <c r="AD124" s="62" t="str">
        <f>IF(AD123="","",VLOOKUP(AD123,'Tech Tree Node Parameters'!$A$3:$B$218,2,FALSE))</f>
        <v/>
      </c>
      <c r="AE124" s="62" t="str">
        <f>IF(AE123="","",VLOOKUP(AE123,'Tech Tree Node Parameters'!$A$3:$B$218,2,FALSE))</f>
        <v/>
      </c>
      <c r="AF124" s="62" t="str">
        <f>IF(AF123="","",VLOOKUP(AF123,'Tech Tree Node Parameters'!$A$3:$B$218,2,FALSE))</f>
        <v/>
      </c>
      <c r="AG124" s="62" t="str">
        <f>IF(AG123="","",VLOOKUP(AG123,'Tech Tree Node Parameters'!$A$3:$B$218,2,FALSE))</f>
        <v/>
      </c>
      <c r="AH124" s="62" t="str">
        <f>IF(AH123="","",VLOOKUP(AH123,'Tech Tree Node Parameters'!$A$3:$B$218,2,FALSE))</f>
        <v/>
      </c>
      <c r="AI124" s="62" t="str">
        <f>IF(AI123="","",VLOOKUP(AI123,'Tech Tree Node Parameters'!$A$3:$B$218,2,FALSE))</f>
        <v/>
      </c>
      <c r="AJ124" s="62" t="str">
        <f>IF(AJ123="","",VLOOKUP(AJ123,'Tech Tree Node Parameters'!$A$3:$B$218,2,FALSE))</f>
        <v/>
      </c>
      <c r="AK124" s="62" t="str">
        <f>IF(AK123="","",VLOOKUP(AK123,'Tech Tree Node Parameters'!$A$3:$B$218,2,FALSE))</f>
        <v/>
      </c>
      <c r="AL124" s="62" t="str">
        <f>IF(AL123="","",VLOOKUP(AL123,'Tech Tree Node Parameters'!$A$3:$B$218,2,FALSE))</f>
        <v/>
      </c>
      <c r="AM124" s="62" t="str">
        <f>IF(AM123="","",VLOOKUP(AM123,'Tech Tree Node Parameters'!$A$3:$B$218,2,FALSE))</f>
        <v/>
      </c>
      <c r="AN124" s="62" t="str">
        <f>IF(AN123="","",VLOOKUP(AN123,'Tech Tree Node Parameters'!$A$3:$B$218,2,FALSE))</f>
        <v/>
      </c>
      <c r="AO124" s="62" t="str">
        <f>IF(AO123="","",VLOOKUP(AO123,'Tech Tree Node Parameters'!$A$3:$B$218,2,FALSE))</f>
        <v/>
      </c>
      <c r="AP124" s="62" t="str">
        <f>IF(AP123="","",VLOOKUP(AP123,'Tech Tree Node Parameters'!$A$3:$B$218,2,FALSE))</f>
        <v/>
      </c>
      <c r="AQ124" s="62" t="str">
        <f>IF(AQ123="","",VLOOKUP(AQ123,'Tech Tree Node Parameters'!$A$3:$B$218,2,FALSE))</f>
        <v/>
      </c>
      <c r="AR124" s="62" t="str">
        <f>IF(AR123="","",VLOOKUP(AR123,'Tech Tree Node Parameters'!$A$3:$B$218,2,FALSE))</f>
        <v/>
      </c>
      <c r="AS124" s="62" t="str">
        <f>IF(AS123="","",VLOOKUP(AS123,'Tech Tree Node Parameters'!$A$3:$B$218,2,FALSE))</f>
        <v/>
      </c>
      <c r="AT124" s="62" t="str">
        <f>IF(AT123="","",VLOOKUP(AT123,'Tech Tree Node Parameters'!$A$3:$B$218,2,FALSE))</f>
        <v/>
      </c>
      <c r="AU124" s="62" t="str">
        <f>IF(AU123="","",VLOOKUP(AU123,'Tech Tree Node Parameters'!$A$3:$B$218,2,FALSE))</f>
        <v/>
      </c>
      <c r="AV124" s="62" t="str">
        <f>IF(AV123="","",VLOOKUP(AV123,'Tech Tree Node Parameters'!$A$3:$B$218,2,FALSE))</f>
        <v/>
      </c>
      <c r="AW124" s="62" t="str">
        <f>IF(AW123="","",VLOOKUP(AW123,'Tech Tree Node Parameters'!$A$3:$B$218,2,FALSE))</f>
        <v/>
      </c>
      <c r="AX124" s="62" t="str">
        <f>IF(AX123="","",VLOOKUP(AX123,'Tech Tree Node Parameters'!$A$3:$B$218,2,FALSE))</f>
        <v/>
      </c>
      <c r="AY124" s="62" t="str">
        <f>IF(AY123="","",VLOOKUP(AY123,'Tech Tree Node Parameters'!$A$3:$B$218,2,FALSE))</f>
        <v/>
      </c>
      <c r="AZ124" s="62" t="str">
        <f>IF(AZ123="","",VLOOKUP(AZ123,'Tech Tree Node Parameters'!$A$3:$B$218,2,FALSE))</f>
        <v/>
      </c>
      <c r="BA124" s="62" t="str">
        <f>IF(BA123="","",VLOOKUP(BA123,'Tech Tree Node Parameters'!$A$3:$B$218,2,FALSE))</f>
        <v/>
      </c>
      <c r="BB124" s="62" t="str">
        <f>IF(BB123="","",VLOOKUP(BB123,'Tech Tree Node Parameters'!$A$3:$B$218,2,FALSE))</f>
        <v/>
      </c>
      <c r="BC124" s="62" t="str">
        <f>IF(BC123="","",VLOOKUP(BC123,'Tech Tree Node Parameters'!$A$3:$B$218,2,FALSE))</f>
        <v/>
      </c>
      <c r="BD124" s="62" t="str">
        <f>IF(BD123="","",VLOOKUP(BD123,'Tech Tree Node Parameters'!$A$3:$B$218,2,FALSE))</f>
        <v/>
      </c>
      <c r="BE124" s="62" t="str">
        <f>IF(BE123="","",VLOOKUP(BE123,'Tech Tree Node Parameters'!$A$3:$B$218,2,FALSE))</f>
        <v/>
      </c>
      <c r="BF124" s="62" t="str">
        <f>IF(BF123="","",VLOOKUP(BF123,'Tech Tree Node Parameters'!$A$3:$B$218,2,FALSE))</f>
        <v/>
      </c>
      <c r="BG124" s="62" t="str">
        <f>IF(BG123="","",VLOOKUP(BG123,'Tech Tree Node Parameters'!$A$3:$B$218,2,FALSE))</f>
        <v/>
      </c>
      <c r="BH124" s="62" t="str">
        <f>IF(BH123="","",VLOOKUP(BH123,'Tech Tree Node Parameters'!$A$3:$B$218,2,FALSE))</f>
        <v/>
      </c>
      <c r="BI124" s="62" t="str">
        <f>IF(BI123="","",VLOOKUP(BI123,'Tech Tree Node Parameters'!$A$3:$B$218,2,FALSE))</f>
        <v/>
      </c>
      <c r="BJ124" s="62" t="str">
        <f>IF(BJ123="","",VLOOKUP(BJ123,'Tech Tree Node Parameters'!$A$3:$B$218,2,FALSE))</f>
        <v/>
      </c>
      <c r="BK124" s="62" t="str">
        <f>IF(BK123="","",VLOOKUP(BK123,'Tech Tree Node Parameters'!$A$3:$B$218,2,FALSE))</f>
        <v/>
      </c>
      <c r="BL124" s="62" t="str">
        <f>IF(BL123="","",VLOOKUP(BL123,'Tech Tree Node Parameters'!$A$3:$B$218,2,FALSE))</f>
        <v/>
      </c>
      <c r="BM124" s="62" t="str">
        <f>IF(BM123="","",VLOOKUP(BM123,'Tech Tree Node Parameters'!$A$3:$B$218,2,FALSE))</f>
        <v/>
      </c>
      <c r="BN124" s="62" t="str">
        <f>IF(BN123="","",VLOOKUP(BN123,'Tech Tree Node Parameters'!$A$3:$B$218,2,FALSE))</f>
        <v/>
      </c>
      <c r="BO124" s="62" t="str">
        <f>IF(BO123="","",VLOOKUP(BO123,'Tech Tree Node Parameters'!$A$3:$B$218,2,FALSE))</f>
        <v/>
      </c>
      <c r="BP124" s="62" t="str">
        <f>IF(BP123="","",VLOOKUP(BP123,'Tech Tree Node Parameters'!$A$3:$B$218,2,FALSE))</f>
        <v/>
      </c>
      <c r="BQ124" s="62" t="str">
        <f>IF(BQ123="","",VLOOKUP(BQ123,'Tech Tree Node Parameters'!$A$3:$B$218,2,FALSE))</f>
        <v/>
      </c>
      <c r="BR124" s="62" t="str">
        <f>IF(BR123="","",VLOOKUP(BR123,'Tech Tree Node Parameters'!$A$3:$B$218,2,FALSE))</f>
        <v/>
      </c>
      <c r="BS124" s="62" t="str">
        <f>IF(BS123="","",VLOOKUP(BS123,'Tech Tree Node Parameters'!$A$3:$B$218,2,FALSE))</f>
        <v/>
      </c>
      <c r="BT124" s="62" t="str">
        <f>IF(BT123="","",VLOOKUP(BT123,'Tech Tree Node Parameters'!$A$3:$B$218,2,FALSE))</f>
        <v/>
      </c>
      <c r="BU124" s="62" t="str">
        <f>IF(BU123="","",VLOOKUP(BU123,'Tech Tree Node Parameters'!$A$3:$B$218,2,FALSE))</f>
        <v/>
      </c>
      <c r="BV124" s="62" t="str">
        <f>IF(BV123="","",VLOOKUP(BV123,'Tech Tree Node Parameters'!$A$3:$B$218,2,FALSE))</f>
        <v/>
      </c>
      <c r="BW124" s="62" t="str">
        <f>IF(BW123="","",VLOOKUP(BW123,'Tech Tree Node Parameters'!$A$3:$B$218,2,FALSE))</f>
        <v/>
      </c>
      <c r="BX124" s="62" t="str">
        <f>IF(BX123="","",VLOOKUP(BX123,'Tech Tree Node Parameters'!$A$3:$B$218,2,FALSE))</f>
        <v/>
      </c>
      <c r="BY124" s="62" t="str">
        <f>IF(BY123="","",VLOOKUP(BY123,'Tech Tree Node Parameters'!$A$3:$B$218,2,FALSE))</f>
        <v/>
      </c>
      <c r="BZ124" s="62" t="str">
        <f>IF(BZ123="","",VLOOKUP(BZ123,'Tech Tree Node Parameters'!$A$3:$B$218,2,FALSE))</f>
        <v/>
      </c>
      <c r="CA124" s="62" t="str">
        <f>IF(CA123="","",VLOOKUP(CA123,'Tech Tree Node Parameters'!$A$3:$B$218,2,FALSE))</f>
        <v/>
      </c>
      <c r="CB124" s="62" t="str">
        <f>IF(CB123="","",VLOOKUP(CB123,'Tech Tree Node Parameters'!$A$3:$B$218,2,FALSE))</f>
        <v/>
      </c>
      <c r="CC124" s="62" t="str">
        <f>IF(CC123="","",VLOOKUP(CC123,'Tech Tree Node Parameters'!$A$3:$B$218,2,FALSE))</f>
        <v/>
      </c>
      <c r="CD124" s="62" t="str">
        <f>IF(CD123="","",VLOOKUP(CD123,'Tech Tree Node Parameters'!$A$3:$B$218,2,FALSE))</f>
        <v/>
      </c>
      <c r="CE124" s="62" t="str">
        <f>IF(CE123="","",VLOOKUP(CE123,'Tech Tree Node Parameters'!$A$3:$B$218,2,FALSE))</f>
        <v/>
      </c>
      <c r="CF124" s="62" t="str">
        <f>IF(CF123="","",VLOOKUP(CF123,'Tech Tree Node Parameters'!$A$3:$B$218,2,FALSE))</f>
        <v/>
      </c>
      <c r="CG124" s="62" t="str">
        <f>IF(CG123="","",VLOOKUP(CG123,'Tech Tree Node Parameters'!$A$3:$B$218,2,FALSE))</f>
        <v/>
      </c>
      <c r="CH124" s="62" t="str">
        <f>IF(CH123="","",VLOOKUP(CH123,'Tech Tree Node Parameters'!$A$3:$B$218,2,FALSE))</f>
        <v/>
      </c>
      <c r="CI124" s="62" t="str">
        <f>IF(CI123="","",VLOOKUP(CI123,'Tech Tree Node Parameters'!$A$3:$B$218,2,FALSE))</f>
        <v/>
      </c>
      <c r="CJ124" s="62" t="str">
        <f>IF(CJ123="","",VLOOKUP(CJ123,'Tech Tree Node Parameters'!$A$3:$B$218,2,FALSE))</f>
        <v/>
      </c>
      <c r="CK124" s="62" t="str">
        <f>IF(CK123="","",VLOOKUP(CK123,'Tech Tree Node Parameters'!$A$3:$B$218,2,FALSE))</f>
        <v/>
      </c>
      <c r="CL124" s="62" t="str">
        <f>IF(CL123="","",VLOOKUP(CL123,'Tech Tree Node Parameters'!$A$3:$B$218,2,FALSE))</f>
        <v/>
      </c>
      <c r="CM124" s="62" t="str">
        <f>IF(CM123="","",VLOOKUP(CM123,'Tech Tree Node Parameters'!$A$3:$B$218,2,FALSE))</f>
        <v/>
      </c>
      <c r="CN124" s="62" t="str">
        <f>IF(CN123="","",VLOOKUP(CN123,'Tech Tree Node Parameters'!$A$3:$B$218,2,FALSE))</f>
        <v/>
      </c>
      <c r="CO124" s="62" t="str">
        <f>IF(CO123="","",VLOOKUP(CO123,'Tech Tree Node Parameters'!$A$3:$B$218,2,FALSE))</f>
        <v/>
      </c>
      <c r="CP124" s="62" t="str">
        <f>IF(CP123="","",VLOOKUP(CP123,'Tech Tree Node Parameters'!$A$3:$B$218,2,FALSE))</f>
        <v/>
      </c>
      <c r="CQ124" s="62" t="str">
        <f>IF(CQ123="","",VLOOKUP(CQ123,'Tech Tree Node Parameters'!$A$3:$B$218,2,FALSE))</f>
        <v/>
      </c>
      <c r="CR124" s="62" t="str">
        <f>IF(CR123="","",VLOOKUP(CR123,'Tech Tree Node Parameters'!$A$3:$B$218,2,FALSE))</f>
        <v/>
      </c>
      <c r="CS124" s="62" t="str">
        <f>IF(CS123="","",VLOOKUP(CS123,'Tech Tree Node Parameters'!$A$3:$B$218,2,FALSE))</f>
        <v/>
      </c>
      <c r="CT124" s="62" t="str">
        <f>IF(CT123="","",VLOOKUP(CT123,'Tech Tree Node Parameters'!$A$3:$B$218,2,FALSE))</f>
        <v/>
      </c>
      <c r="CU124" s="62" t="str">
        <f>IF(CU123="","",VLOOKUP(CU123,'Tech Tree Node Parameters'!$A$3:$B$218,2,FALSE))</f>
        <v/>
      </c>
      <c r="CV124" s="62" t="str">
        <f>IF(CV123="","",VLOOKUP(CV123,'Tech Tree Node Parameters'!$A$3:$B$218,2,FALSE))</f>
        <v/>
      </c>
      <c r="CW124" s="62" t="str">
        <f>IF(CW123="","",VLOOKUP(CW123,'Tech Tree Node Parameters'!$A$3:$B$218,2,FALSE))</f>
        <v/>
      </c>
      <c r="CX124" s="62" t="str">
        <f>IF(CX123="","",VLOOKUP(CX123,'Tech Tree Node Parameters'!$A$3:$B$218,2,FALSE))</f>
        <v/>
      </c>
      <c r="CY124" s="36" t="str">
        <f>IF(CY123="","",VLOOKUP(CY123,'Tech Tree Node Parameters'!$A$3:$B$218,2,FALSE))</f>
        <v/>
      </c>
    </row>
    <row r="125" spans="1:103" x14ac:dyDescent="0.25">
      <c r="A125" s="72">
        <v>1</v>
      </c>
      <c r="B125" s="69">
        <v>75</v>
      </c>
      <c r="C125" s="39"/>
      <c r="D125" s="61"/>
      <c r="E125" s="61"/>
      <c r="F125" s="61"/>
      <c r="G125" s="61"/>
      <c r="H125" s="61"/>
      <c r="I125" s="61"/>
      <c r="J125" s="61"/>
      <c r="K125" s="61"/>
      <c r="L125" s="61"/>
      <c r="M125" s="61"/>
      <c r="N125" s="61"/>
      <c r="O125" s="61"/>
      <c r="P125" s="61"/>
      <c r="Q125" s="61"/>
      <c r="R125" s="61"/>
      <c r="S125" s="61"/>
      <c r="T125" s="61"/>
      <c r="U125" s="61"/>
      <c r="V125" s="61"/>
      <c r="W125" s="61"/>
      <c r="X125" s="61"/>
      <c r="Y125" s="61"/>
      <c r="Z125" s="61"/>
      <c r="AA125" s="61"/>
      <c r="AB125" s="61"/>
      <c r="AC125" s="61"/>
      <c r="AD125" s="61"/>
      <c r="AE125" s="61"/>
      <c r="AF125" s="61"/>
      <c r="AG125" s="61"/>
      <c r="AH125" s="61"/>
      <c r="AI125" s="61"/>
      <c r="AJ125" s="61"/>
      <c r="AK125" s="61"/>
      <c r="AL125" s="61"/>
      <c r="AM125" s="61"/>
      <c r="AN125" s="61"/>
      <c r="AO125" s="61"/>
      <c r="AP125" s="61"/>
      <c r="AQ125" s="61"/>
      <c r="AR125" s="61"/>
      <c r="AS125" s="61"/>
      <c r="AT125" s="61"/>
      <c r="AU125" s="61"/>
      <c r="AV125" s="61"/>
      <c r="AW125" s="61"/>
      <c r="AX125" s="61"/>
      <c r="AY125" s="61"/>
      <c r="AZ125" s="61"/>
      <c r="BA125" s="61"/>
      <c r="BB125" s="61"/>
      <c r="BC125" s="61"/>
      <c r="BD125" s="61"/>
      <c r="BE125" s="61"/>
      <c r="BF125" s="61"/>
      <c r="BG125" s="61"/>
      <c r="BH125" s="61"/>
      <c r="BI125" s="61"/>
      <c r="BJ125" s="61"/>
      <c r="BK125" s="61"/>
      <c r="BL125" s="61"/>
      <c r="BM125" s="61"/>
      <c r="BN125" s="61"/>
      <c r="BO125" s="61"/>
      <c r="BP125" s="61"/>
      <c r="BQ125" s="61"/>
      <c r="BR125" s="61"/>
      <c r="BS125" s="61"/>
      <c r="BT125" s="61"/>
      <c r="BU125" s="61"/>
      <c r="BV125" s="61"/>
      <c r="BW125" s="61"/>
      <c r="BX125" s="61"/>
      <c r="BY125" s="61"/>
      <c r="BZ125" s="61"/>
      <c r="CA125" s="61"/>
      <c r="CB125" s="61"/>
      <c r="CC125" s="61"/>
      <c r="CD125" s="61"/>
      <c r="CE125" s="61"/>
      <c r="CF125" s="61"/>
      <c r="CG125" s="61"/>
      <c r="CH125" s="61"/>
      <c r="CI125" s="61"/>
      <c r="CJ125" s="61"/>
      <c r="CK125" s="61"/>
      <c r="CL125" s="61"/>
      <c r="CM125" s="61"/>
      <c r="CN125" s="61"/>
      <c r="CO125" s="61"/>
      <c r="CP125" s="61"/>
      <c r="CQ125" s="61"/>
      <c r="CR125" s="61"/>
      <c r="CS125" s="61"/>
      <c r="CT125" s="61"/>
      <c r="CU125" s="61"/>
      <c r="CV125" s="61"/>
      <c r="CW125" s="61"/>
      <c r="CX125" s="61"/>
      <c r="CY125" s="35"/>
    </row>
    <row r="126" spans="1:103" ht="15.75" thickBot="1" x14ac:dyDescent="0.3">
      <c r="A126" s="72"/>
      <c r="B126" s="71"/>
      <c r="C126" s="53"/>
      <c r="D126" s="37" t="str">
        <f>IF(D125="","",VLOOKUP(D125,'Tech Tree Node Parameters'!$A$3:$B$218,2,FALSE))</f>
        <v/>
      </c>
      <c r="E126" s="37" t="str">
        <f>IF(E125="","",VLOOKUP(E125,'Tech Tree Node Parameters'!$A$3:$B$218,2,FALSE))</f>
        <v/>
      </c>
      <c r="F126" s="37" t="str">
        <f>IF(F125="","",VLOOKUP(F125,'Tech Tree Node Parameters'!$A$3:$B$218,2,FALSE))</f>
        <v/>
      </c>
      <c r="G126" s="37" t="str">
        <f>IF(G125="","",VLOOKUP(G125,'Tech Tree Node Parameters'!$A$3:$B$218,2,FALSE))</f>
        <v/>
      </c>
      <c r="H126" s="37" t="str">
        <f>IF(H125="","",VLOOKUP(H125,'Tech Tree Node Parameters'!$A$3:$B$218,2,FALSE))</f>
        <v/>
      </c>
      <c r="I126" s="37" t="str">
        <f>IF(I125="","",VLOOKUP(I125,'Tech Tree Node Parameters'!$A$3:$B$218,2,FALSE))</f>
        <v/>
      </c>
      <c r="J126" s="37" t="str">
        <f>IF(J125="","",VLOOKUP(J125,'Tech Tree Node Parameters'!$A$3:$B$218,2,FALSE))</f>
        <v/>
      </c>
      <c r="K126" s="37" t="str">
        <f>IF(K125="","",VLOOKUP(K125,'Tech Tree Node Parameters'!$A$3:$B$218,2,FALSE))</f>
        <v/>
      </c>
      <c r="L126" s="37" t="str">
        <f>IF(L125="","",VLOOKUP(L125,'Tech Tree Node Parameters'!$A$3:$B$218,2,FALSE))</f>
        <v/>
      </c>
      <c r="M126" s="37" t="str">
        <f>IF(M125="","",VLOOKUP(M125,'Tech Tree Node Parameters'!$A$3:$B$218,2,FALSE))</f>
        <v/>
      </c>
      <c r="N126" s="37" t="str">
        <f>IF(N125="","",VLOOKUP(N125,'Tech Tree Node Parameters'!$A$3:$B$218,2,FALSE))</f>
        <v/>
      </c>
      <c r="O126" s="37" t="str">
        <f>IF(O125="","",VLOOKUP(O125,'Tech Tree Node Parameters'!$A$3:$B$218,2,FALSE))</f>
        <v/>
      </c>
      <c r="P126" s="37" t="str">
        <f>IF(P125="","",VLOOKUP(P125,'Tech Tree Node Parameters'!$A$3:$B$218,2,FALSE))</f>
        <v/>
      </c>
      <c r="Q126" s="37" t="str">
        <f>IF(Q125="","",VLOOKUP(Q125,'Tech Tree Node Parameters'!$A$3:$B$218,2,FALSE))</f>
        <v/>
      </c>
      <c r="R126" s="37" t="str">
        <f>IF(R125="","",VLOOKUP(R125,'Tech Tree Node Parameters'!$A$3:$B$218,2,FALSE))</f>
        <v/>
      </c>
      <c r="S126" s="37" t="str">
        <f>IF(S125="","",VLOOKUP(S125,'Tech Tree Node Parameters'!$A$3:$B$218,2,FALSE))</f>
        <v/>
      </c>
      <c r="T126" s="37" t="str">
        <f>IF(T125="","",VLOOKUP(T125,'Tech Tree Node Parameters'!$A$3:$B$218,2,FALSE))</f>
        <v/>
      </c>
      <c r="U126" s="37" t="str">
        <f>IF(U125="","",VLOOKUP(U125,'Tech Tree Node Parameters'!$A$3:$B$218,2,FALSE))</f>
        <v/>
      </c>
      <c r="V126" s="37" t="str">
        <f>IF(V125="","",VLOOKUP(V125,'Tech Tree Node Parameters'!$A$3:$B$218,2,FALSE))</f>
        <v/>
      </c>
      <c r="W126" s="37" t="str">
        <f>IF(W125="","",VLOOKUP(W125,'Tech Tree Node Parameters'!$A$3:$B$218,2,FALSE))</f>
        <v/>
      </c>
      <c r="X126" s="37" t="str">
        <f>IF(X125="","",VLOOKUP(X125,'Tech Tree Node Parameters'!$A$3:$B$218,2,FALSE))</f>
        <v/>
      </c>
      <c r="Y126" s="37" t="str">
        <f>IF(Y125="","",VLOOKUP(Y125,'Tech Tree Node Parameters'!$A$3:$B$218,2,FALSE))</f>
        <v/>
      </c>
      <c r="Z126" s="37" t="str">
        <f>IF(Z125="","",VLOOKUP(Z125,'Tech Tree Node Parameters'!$A$3:$B$218,2,FALSE))</f>
        <v/>
      </c>
      <c r="AA126" s="37" t="str">
        <f>IF(AA125="","",VLOOKUP(AA125,'Tech Tree Node Parameters'!$A$3:$B$218,2,FALSE))</f>
        <v/>
      </c>
      <c r="AB126" s="37" t="str">
        <f>IF(AB125="","",VLOOKUP(AB125,'Tech Tree Node Parameters'!$A$3:$B$218,2,FALSE))</f>
        <v/>
      </c>
      <c r="AC126" s="37" t="str">
        <f>IF(AC125="","",VLOOKUP(AC125,'Tech Tree Node Parameters'!$A$3:$B$218,2,FALSE))</f>
        <v/>
      </c>
      <c r="AD126" s="37" t="str">
        <f>IF(AD125="","",VLOOKUP(AD125,'Tech Tree Node Parameters'!$A$3:$B$218,2,FALSE))</f>
        <v/>
      </c>
      <c r="AE126" s="37" t="str">
        <f>IF(AE125="","",VLOOKUP(AE125,'Tech Tree Node Parameters'!$A$3:$B$218,2,FALSE))</f>
        <v/>
      </c>
      <c r="AF126" s="37" t="str">
        <f>IF(AF125="","",VLOOKUP(AF125,'Tech Tree Node Parameters'!$A$3:$B$218,2,FALSE))</f>
        <v/>
      </c>
      <c r="AG126" s="37" t="str">
        <f>IF(AG125="","",VLOOKUP(AG125,'Tech Tree Node Parameters'!$A$3:$B$218,2,FALSE))</f>
        <v/>
      </c>
      <c r="AH126" s="37" t="str">
        <f>IF(AH125="","",VLOOKUP(AH125,'Tech Tree Node Parameters'!$A$3:$B$218,2,FALSE))</f>
        <v/>
      </c>
      <c r="AI126" s="37" t="str">
        <f>IF(AI125="","",VLOOKUP(AI125,'Tech Tree Node Parameters'!$A$3:$B$218,2,FALSE))</f>
        <v/>
      </c>
      <c r="AJ126" s="37" t="str">
        <f>IF(AJ125="","",VLOOKUP(AJ125,'Tech Tree Node Parameters'!$A$3:$B$218,2,FALSE))</f>
        <v/>
      </c>
      <c r="AK126" s="37" t="str">
        <f>IF(AK125="","",VLOOKUP(AK125,'Tech Tree Node Parameters'!$A$3:$B$218,2,FALSE))</f>
        <v/>
      </c>
      <c r="AL126" s="37" t="str">
        <f>IF(AL125="","",VLOOKUP(AL125,'Tech Tree Node Parameters'!$A$3:$B$218,2,FALSE))</f>
        <v/>
      </c>
      <c r="AM126" s="37" t="str">
        <f>IF(AM125="","",VLOOKUP(AM125,'Tech Tree Node Parameters'!$A$3:$B$218,2,FALSE))</f>
        <v/>
      </c>
      <c r="AN126" s="37" t="str">
        <f>IF(AN125="","",VLOOKUP(AN125,'Tech Tree Node Parameters'!$A$3:$B$218,2,FALSE))</f>
        <v/>
      </c>
      <c r="AO126" s="37" t="str">
        <f>IF(AO125="","",VLOOKUP(AO125,'Tech Tree Node Parameters'!$A$3:$B$218,2,FALSE))</f>
        <v/>
      </c>
      <c r="AP126" s="37" t="str">
        <f>IF(AP125="","",VLOOKUP(AP125,'Tech Tree Node Parameters'!$A$3:$B$218,2,FALSE))</f>
        <v/>
      </c>
      <c r="AQ126" s="37" t="str">
        <f>IF(AQ125="","",VLOOKUP(AQ125,'Tech Tree Node Parameters'!$A$3:$B$218,2,FALSE))</f>
        <v/>
      </c>
      <c r="AR126" s="37" t="str">
        <f>IF(AR125="","",VLOOKUP(AR125,'Tech Tree Node Parameters'!$A$3:$B$218,2,FALSE))</f>
        <v/>
      </c>
      <c r="AS126" s="37" t="str">
        <f>IF(AS125="","",VLOOKUP(AS125,'Tech Tree Node Parameters'!$A$3:$B$218,2,FALSE))</f>
        <v/>
      </c>
      <c r="AT126" s="37" t="str">
        <f>IF(AT125="","",VLOOKUP(AT125,'Tech Tree Node Parameters'!$A$3:$B$218,2,FALSE))</f>
        <v/>
      </c>
      <c r="AU126" s="37" t="str">
        <f>IF(AU125="","",VLOOKUP(AU125,'Tech Tree Node Parameters'!$A$3:$B$218,2,FALSE))</f>
        <v/>
      </c>
      <c r="AV126" s="37" t="str">
        <f>IF(AV125="","",VLOOKUP(AV125,'Tech Tree Node Parameters'!$A$3:$B$218,2,FALSE))</f>
        <v/>
      </c>
      <c r="AW126" s="37" t="str">
        <f>IF(AW125="","",VLOOKUP(AW125,'Tech Tree Node Parameters'!$A$3:$B$218,2,FALSE))</f>
        <v/>
      </c>
      <c r="AX126" s="37" t="str">
        <f>IF(AX125="","",VLOOKUP(AX125,'Tech Tree Node Parameters'!$A$3:$B$218,2,FALSE))</f>
        <v/>
      </c>
      <c r="AY126" s="37" t="str">
        <f>IF(AY125="","",VLOOKUP(AY125,'Tech Tree Node Parameters'!$A$3:$B$218,2,FALSE))</f>
        <v/>
      </c>
      <c r="AZ126" s="37" t="str">
        <f>IF(AZ125="","",VLOOKUP(AZ125,'Tech Tree Node Parameters'!$A$3:$B$218,2,FALSE))</f>
        <v/>
      </c>
      <c r="BA126" s="37" t="str">
        <f>IF(BA125="","",VLOOKUP(BA125,'Tech Tree Node Parameters'!$A$3:$B$218,2,FALSE))</f>
        <v/>
      </c>
      <c r="BB126" s="37" t="str">
        <f>IF(BB125="","",VLOOKUP(BB125,'Tech Tree Node Parameters'!$A$3:$B$218,2,FALSE))</f>
        <v/>
      </c>
      <c r="BC126" s="37" t="str">
        <f>IF(BC125="","",VLOOKUP(BC125,'Tech Tree Node Parameters'!$A$3:$B$218,2,FALSE))</f>
        <v/>
      </c>
      <c r="BD126" s="37" t="str">
        <f>IF(BD125="","",VLOOKUP(BD125,'Tech Tree Node Parameters'!$A$3:$B$218,2,FALSE))</f>
        <v/>
      </c>
      <c r="BE126" s="37" t="str">
        <f>IF(BE125="","",VLOOKUP(BE125,'Tech Tree Node Parameters'!$A$3:$B$218,2,FALSE))</f>
        <v/>
      </c>
      <c r="BF126" s="37" t="str">
        <f>IF(BF125="","",VLOOKUP(BF125,'Tech Tree Node Parameters'!$A$3:$B$218,2,FALSE))</f>
        <v/>
      </c>
      <c r="BG126" s="37" t="str">
        <f>IF(BG125="","",VLOOKUP(BG125,'Tech Tree Node Parameters'!$A$3:$B$218,2,FALSE))</f>
        <v/>
      </c>
      <c r="BH126" s="37" t="str">
        <f>IF(BH125="","",VLOOKUP(BH125,'Tech Tree Node Parameters'!$A$3:$B$218,2,FALSE))</f>
        <v/>
      </c>
      <c r="BI126" s="37" t="str">
        <f>IF(BI125="","",VLOOKUP(BI125,'Tech Tree Node Parameters'!$A$3:$B$218,2,FALSE))</f>
        <v/>
      </c>
      <c r="BJ126" s="37" t="str">
        <f>IF(BJ125="","",VLOOKUP(BJ125,'Tech Tree Node Parameters'!$A$3:$B$218,2,FALSE))</f>
        <v/>
      </c>
      <c r="BK126" s="37" t="str">
        <f>IF(BK125="","",VLOOKUP(BK125,'Tech Tree Node Parameters'!$A$3:$B$218,2,FALSE))</f>
        <v/>
      </c>
      <c r="BL126" s="37" t="str">
        <f>IF(BL125="","",VLOOKUP(BL125,'Tech Tree Node Parameters'!$A$3:$B$218,2,FALSE))</f>
        <v/>
      </c>
      <c r="BM126" s="37" t="str">
        <f>IF(BM125="","",VLOOKUP(BM125,'Tech Tree Node Parameters'!$A$3:$B$218,2,FALSE))</f>
        <v/>
      </c>
      <c r="BN126" s="37" t="str">
        <f>IF(BN125="","",VLOOKUP(BN125,'Tech Tree Node Parameters'!$A$3:$B$218,2,FALSE))</f>
        <v/>
      </c>
      <c r="BO126" s="37" t="str">
        <f>IF(BO125="","",VLOOKUP(BO125,'Tech Tree Node Parameters'!$A$3:$B$218,2,FALSE))</f>
        <v/>
      </c>
      <c r="BP126" s="37" t="str">
        <f>IF(BP125="","",VLOOKUP(BP125,'Tech Tree Node Parameters'!$A$3:$B$218,2,FALSE))</f>
        <v/>
      </c>
      <c r="BQ126" s="37" t="str">
        <f>IF(BQ125="","",VLOOKUP(BQ125,'Tech Tree Node Parameters'!$A$3:$B$218,2,FALSE))</f>
        <v/>
      </c>
      <c r="BR126" s="37" t="str">
        <f>IF(BR125="","",VLOOKUP(BR125,'Tech Tree Node Parameters'!$A$3:$B$218,2,FALSE))</f>
        <v/>
      </c>
      <c r="BS126" s="37" t="str">
        <f>IF(BS125="","",VLOOKUP(BS125,'Tech Tree Node Parameters'!$A$3:$B$218,2,FALSE))</f>
        <v/>
      </c>
      <c r="BT126" s="37" t="str">
        <f>IF(BT125="","",VLOOKUP(BT125,'Tech Tree Node Parameters'!$A$3:$B$218,2,FALSE))</f>
        <v/>
      </c>
      <c r="BU126" s="37" t="str">
        <f>IF(BU125="","",VLOOKUP(BU125,'Tech Tree Node Parameters'!$A$3:$B$218,2,FALSE))</f>
        <v/>
      </c>
      <c r="BV126" s="37" t="str">
        <f>IF(BV125="","",VLOOKUP(BV125,'Tech Tree Node Parameters'!$A$3:$B$218,2,FALSE))</f>
        <v/>
      </c>
      <c r="BW126" s="37" t="str">
        <f>IF(BW125="","",VLOOKUP(BW125,'Tech Tree Node Parameters'!$A$3:$B$218,2,FALSE))</f>
        <v/>
      </c>
      <c r="BX126" s="37" t="str">
        <f>IF(BX125="","",VLOOKUP(BX125,'Tech Tree Node Parameters'!$A$3:$B$218,2,FALSE))</f>
        <v/>
      </c>
      <c r="BY126" s="37" t="str">
        <f>IF(BY125="","",VLOOKUP(BY125,'Tech Tree Node Parameters'!$A$3:$B$218,2,FALSE))</f>
        <v/>
      </c>
      <c r="BZ126" s="37" t="str">
        <f>IF(BZ125="","",VLOOKUP(BZ125,'Tech Tree Node Parameters'!$A$3:$B$218,2,FALSE))</f>
        <v/>
      </c>
      <c r="CA126" s="37" t="str">
        <f>IF(CA125="","",VLOOKUP(CA125,'Tech Tree Node Parameters'!$A$3:$B$218,2,FALSE))</f>
        <v/>
      </c>
      <c r="CB126" s="37" t="str">
        <f>IF(CB125="","",VLOOKUP(CB125,'Tech Tree Node Parameters'!$A$3:$B$218,2,FALSE))</f>
        <v/>
      </c>
      <c r="CC126" s="37" t="str">
        <f>IF(CC125="","",VLOOKUP(CC125,'Tech Tree Node Parameters'!$A$3:$B$218,2,FALSE))</f>
        <v/>
      </c>
      <c r="CD126" s="37" t="str">
        <f>IF(CD125="","",VLOOKUP(CD125,'Tech Tree Node Parameters'!$A$3:$B$218,2,FALSE))</f>
        <v/>
      </c>
      <c r="CE126" s="37" t="str">
        <f>IF(CE125="","",VLOOKUP(CE125,'Tech Tree Node Parameters'!$A$3:$B$218,2,FALSE))</f>
        <v/>
      </c>
      <c r="CF126" s="37" t="str">
        <f>IF(CF125="","",VLOOKUP(CF125,'Tech Tree Node Parameters'!$A$3:$B$218,2,FALSE))</f>
        <v/>
      </c>
      <c r="CG126" s="37" t="str">
        <f>IF(CG125="","",VLOOKUP(CG125,'Tech Tree Node Parameters'!$A$3:$B$218,2,FALSE))</f>
        <v/>
      </c>
      <c r="CH126" s="37" t="str">
        <f>IF(CH125="","",VLOOKUP(CH125,'Tech Tree Node Parameters'!$A$3:$B$218,2,FALSE))</f>
        <v/>
      </c>
      <c r="CI126" s="37" t="str">
        <f>IF(CI125="","",VLOOKUP(CI125,'Tech Tree Node Parameters'!$A$3:$B$218,2,FALSE))</f>
        <v/>
      </c>
      <c r="CJ126" s="37" t="str">
        <f>IF(CJ125="","",VLOOKUP(CJ125,'Tech Tree Node Parameters'!$A$3:$B$218,2,FALSE))</f>
        <v/>
      </c>
      <c r="CK126" s="37" t="str">
        <f>IF(CK125="","",VLOOKUP(CK125,'Tech Tree Node Parameters'!$A$3:$B$218,2,FALSE))</f>
        <v/>
      </c>
      <c r="CL126" s="37" t="str">
        <f>IF(CL125="","",VLOOKUP(CL125,'Tech Tree Node Parameters'!$A$3:$B$218,2,FALSE))</f>
        <v/>
      </c>
      <c r="CM126" s="37" t="str">
        <f>IF(CM125="","",VLOOKUP(CM125,'Tech Tree Node Parameters'!$A$3:$B$218,2,FALSE))</f>
        <v/>
      </c>
      <c r="CN126" s="37" t="str">
        <f>IF(CN125="","",VLOOKUP(CN125,'Tech Tree Node Parameters'!$A$3:$B$218,2,FALSE))</f>
        <v/>
      </c>
      <c r="CO126" s="37" t="str">
        <f>IF(CO125="","",VLOOKUP(CO125,'Tech Tree Node Parameters'!$A$3:$B$218,2,FALSE))</f>
        <v/>
      </c>
      <c r="CP126" s="37" t="str">
        <f>IF(CP125="","",VLOOKUP(CP125,'Tech Tree Node Parameters'!$A$3:$B$218,2,FALSE))</f>
        <v/>
      </c>
      <c r="CQ126" s="37" t="str">
        <f>IF(CQ125="","",VLOOKUP(CQ125,'Tech Tree Node Parameters'!$A$3:$B$218,2,FALSE))</f>
        <v/>
      </c>
      <c r="CR126" s="37" t="str">
        <f>IF(CR125="","",VLOOKUP(CR125,'Tech Tree Node Parameters'!$A$3:$B$218,2,FALSE))</f>
        <v/>
      </c>
      <c r="CS126" s="37" t="str">
        <f>IF(CS125="","",VLOOKUP(CS125,'Tech Tree Node Parameters'!$A$3:$B$218,2,FALSE))</f>
        <v/>
      </c>
      <c r="CT126" s="37" t="str">
        <f>IF(CT125="","",VLOOKUP(CT125,'Tech Tree Node Parameters'!$A$3:$B$218,2,FALSE))</f>
        <v/>
      </c>
      <c r="CU126" s="37" t="str">
        <f>IF(CU125="","",VLOOKUP(CU125,'Tech Tree Node Parameters'!$A$3:$B$218,2,FALSE))</f>
        <v/>
      </c>
      <c r="CV126" s="37" t="str">
        <f>IF(CV125="","",VLOOKUP(CV125,'Tech Tree Node Parameters'!$A$3:$B$218,2,FALSE))</f>
        <v/>
      </c>
      <c r="CW126" s="37" t="str">
        <f>IF(CW125="","",VLOOKUP(CW125,'Tech Tree Node Parameters'!$A$3:$B$218,2,FALSE))</f>
        <v/>
      </c>
      <c r="CX126" s="37" t="str">
        <f>IF(CX125="","",VLOOKUP(CX125,'Tech Tree Node Parameters'!$A$3:$B$218,2,FALSE))</f>
        <v/>
      </c>
      <c r="CY126" s="38" t="str">
        <f>IF(CY125="","",VLOOKUP(CY125,'Tech Tree Node Parameters'!$A$3:$B$218,2,FALSE))</f>
        <v/>
      </c>
    </row>
    <row r="127" spans="1:103" x14ac:dyDescent="0.25">
      <c r="B127" s="2"/>
      <c r="C127" s="49"/>
      <c r="D127" s="1"/>
      <c r="E127" s="48"/>
      <c r="F127" s="48"/>
      <c r="AK127" s="8"/>
    </row>
    <row r="128" spans="1:103" x14ac:dyDescent="0.25">
      <c r="B128" s="2"/>
      <c r="C128" s="49"/>
      <c r="D128" s="1"/>
      <c r="E128" s="48"/>
      <c r="F128" s="48"/>
      <c r="AK128" s="8"/>
    </row>
    <row r="129" spans="2:37" x14ac:dyDescent="0.25">
      <c r="B129" s="2"/>
      <c r="C129" s="49"/>
      <c r="AK129" s="8"/>
    </row>
    <row r="130" spans="2:37" x14ac:dyDescent="0.25">
      <c r="B130" s="2"/>
      <c r="C130" s="49"/>
      <c r="D130" s="1"/>
      <c r="E130" s="48"/>
      <c r="F130" s="48"/>
      <c r="AK130" s="8"/>
    </row>
    <row r="131" spans="2:37" x14ac:dyDescent="0.25">
      <c r="B131" s="2"/>
      <c r="C131" s="49"/>
      <c r="AK131" s="8"/>
    </row>
    <row r="132" spans="2:37" x14ac:dyDescent="0.25">
      <c r="B132" s="2"/>
      <c r="C132" s="49"/>
      <c r="D132" s="1"/>
      <c r="E132" s="48"/>
      <c r="F132" s="48"/>
      <c r="AK132" s="8"/>
    </row>
    <row r="133" spans="2:37" x14ac:dyDescent="0.25">
      <c r="B133" s="2"/>
      <c r="C133" s="49"/>
      <c r="D133" s="1"/>
      <c r="E133" s="48"/>
      <c r="F133" s="48"/>
      <c r="AK133" s="8"/>
    </row>
    <row r="134" spans="2:37" x14ac:dyDescent="0.25">
      <c r="B134" s="2"/>
      <c r="C134" s="49"/>
      <c r="D134" s="1"/>
      <c r="E134" s="48"/>
      <c r="F134" s="48"/>
      <c r="AK134" s="8"/>
    </row>
    <row r="136" spans="2:37" x14ac:dyDescent="0.25">
      <c r="B136" s="2"/>
      <c r="C136" s="49"/>
      <c r="D136" s="1"/>
      <c r="E136" s="48"/>
      <c r="F136" s="48"/>
      <c r="AK136" s="8"/>
    </row>
    <row r="137" spans="2:37" x14ac:dyDescent="0.25">
      <c r="B137" s="2"/>
      <c r="C137" s="49"/>
      <c r="AK137" s="8"/>
    </row>
    <row r="138" spans="2:37" x14ac:dyDescent="0.25">
      <c r="B138" s="2"/>
      <c r="C138" s="49"/>
      <c r="D138" s="1"/>
      <c r="E138" s="48"/>
      <c r="F138" s="48"/>
      <c r="AK138" s="8"/>
    </row>
    <row r="139" spans="2:37" x14ac:dyDescent="0.25">
      <c r="B139" s="2"/>
      <c r="C139" s="49"/>
      <c r="AK139" s="8"/>
    </row>
    <row r="140" spans="2:37" x14ac:dyDescent="0.25">
      <c r="B140" s="2"/>
      <c r="C140" s="49"/>
      <c r="D140" s="1"/>
      <c r="E140" s="48"/>
      <c r="F140" s="48"/>
      <c r="AK140" s="8"/>
    </row>
    <row r="141" spans="2:37" x14ac:dyDescent="0.25">
      <c r="B141" s="2"/>
      <c r="C141" s="49"/>
      <c r="AK141" s="8"/>
    </row>
    <row r="142" spans="2:37" x14ac:dyDescent="0.25">
      <c r="B142" s="2"/>
      <c r="C142" s="49"/>
      <c r="D142" s="3"/>
      <c r="E142" s="50"/>
      <c r="F142" s="50"/>
      <c r="AK142" s="8"/>
    </row>
    <row r="143" spans="2:37" x14ac:dyDescent="0.25">
      <c r="B143" s="2"/>
      <c r="C143" s="49"/>
      <c r="AK143" s="8"/>
    </row>
    <row r="144" spans="2:37" s="5" customFormat="1" x14ac:dyDescent="0.25">
      <c r="B144" s="2"/>
      <c r="C144" s="49"/>
      <c r="D144" s="1"/>
      <c r="E144" s="48"/>
      <c r="F144" s="48"/>
      <c r="AK144" s="8"/>
    </row>
    <row r="146" spans="1:37" x14ac:dyDescent="0.25">
      <c r="B146" s="2"/>
      <c r="C146" s="49"/>
      <c r="D146" s="4"/>
      <c r="E146" s="51"/>
      <c r="F146" s="51"/>
      <c r="AK146" s="8"/>
    </row>
    <row r="147" spans="1:37" x14ac:dyDescent="0.25">
      <c r="B147" s="2"/>
      <c r="C147" s="49"/>
      <c r="AK147" s="8"/>
    </row>
    <row r="148" spans="1:37" x14ac:dyDescent="0.25">
      <c r="B148" s="2"/>
      <c r="C148" s="49"/>
      <c r="D148" s="1"/>
      <c r="E148" s="48"/>
      <c r="F148" s="48"/>
      <c r="AK148" s="8"/>
    </row>
    <row r="149" spans="1:37" x14ac:dyDescent="0.25">
      <c r="B149" s="2"/>
      <c r="C149" s="49"/>
      <c r="AK149" s="8"/>
    </row>
    <row r="150" spans="1:37" x14ac:dyDescent="0.25">
      <c r="B150" s="2"/>
      <c r="C150" s="49"/>
      <c r="D150" s="3"/>
      <c r="E150" s="50"/>
      <c r="F150" s="50"/>
      <c r="AK150" s="8"/>
    </row>
    <row r="151" spans="1:37" x14ac:dyDescent="0.25">
      <c r="B151" s="2"/>
      <c r="C151" s="49"/>
      <c r="AK151" s="8"/>
    </row>
    <row r="152" spans="1:37" x14ac:dyDescent="0.25">
      <c r="B152" s="2"/>
      <c r="C152" s="49"/>
      <c r="D152" s="3"/>
      <c r="E152" s="50"/>
      <c r="F152" s="50"/>
      <c r="AK152" s="8"/>
    </row>
    <row r="153" spans="1:37" x14ac:dyDescent="0.25">
      <c r="B153" s="2"/>
      <c r="C153" s="49"/>
      <c r="AK153" s="8"/>
    </row>
    <row r="154" spans="1:37" x14ac:dyDescent="0.25">
      <c r="B154" s="2"/>
      <c r="C154" s="49"/>
      <c r="D154" s="1"/>
      <c r="E154" s="48"/>
      <c r="F154" s="48"/>
      <c r="AK154" s="8"/>
    </row>
    <row r="156" spans="1:37" x14ac:dyDescent="0.25">
      <c r="B156" s="2"/>
      <c r="C156" s="49"/>
      <c r="D156" s="1"/>
      <c r="E156" s="48"/>
      <c r="F156" s="48"/>
      <c r="AK156" s="8"/>
    </row>
    <row r="160" spans="1:37" s="2" customFormat="1" x14ac:dyDescent="0.25">
      <c r="A160" s="8"/>
      <c r="C160" s="49"/>
      <c r="E160" s="49"/>
      <c r="F160" s="49"/>
      <c r="AK160" s="8"/>
    </row>
    <row r="161" spans="1:37" s="2" customFormat="1" x14ac:dyDescent="0.25">
      <c r="A161" s="8"/>
      <c r="C161" s="49"/>
      <c r="E161" s="49"/>
      <c r="F161" s="49"/>
      <c r="AK161" s="8"/>
    </row>
    <row r="162" spans="1:37" s="2" customFormat="1" ht="16.5" customHeight="1" x14ac:dyDescent="0.25">
      <c r="A162" s="8"/>
      <c r="C162" s="49"/>
      <c r="E162" s="49"/>
      <c r="F162" s="49"/>
      <c r="AK162" s="8"/>
    </row>
  </sheetData>
  <mergeCells count="117">
    <mergeCell ref="B47:B48"/>
    <mergeCell ref="A49:A50"/>
    <mergeCell ref="B49:B50"/>
    <mergeCell ref="B17:B18"/>
    <mergeCell ref="A29:A30"/>
    <mergeCell ref="B29:B30"/>
    <mergeCell ref="A59:A60"/>
    <mergeCell ref="B59:B60"/>
    <mergeCell ref="A41:A42"/>
    <mergeCell ref="B41:B42"/>
    <mergeCell ref="A39:A40"/>
    <mergeCell ref="B39:B40"/>
    <mergeCell ref="A37:A38"/>
    <mergeCell ref="B37:B38"/>
    <mergeCell ref="A35:A36"/>
    <mergeCell ref="B35:B36"/>
    <mergeCell ref="A51:A52"/>
    <mergeCell ref="B51:B52"/>
    <mergeCell ref="A53:A54"/>
    <mergeCell ref="B53:B54"/>
    <mergeCell ref="A55:A56"/>
    <mergeCell ref="B55:B56"/>
    <mergeCell ref="A57:A58"/>
    <mergeCell ref="B57:B58"/>
    <mergeCell ref="A45:A46"/>
    <mergeCell ref="B45:B46"/>
    <mergeCell ref="A47:A48"/>
    <mergeCell ref="A31:A32"/>
    <mergeCell ref="B31:B32"/>
    <mergeCell ref="A33:A34"/>
    <mergeCell ref="B33:B34"/>
    <mergeCell ref="A19:A20"/>
    <mergeCell ref="B19:B20"/>
    <mergeCell ref="Q4:R4"/>
    <mergeCell ref="A43:A44"/>
    <mergeCell ref="B43:B44"/>
    <mergeCell ref="A21:A22"/>
    <mergeCell ref="B21:B22"/>
    <mergeCell ref="A23:A24"/>
    <mergeCell ref="B23:B24"/>
    <mergeCell ref="A25:A26"/>
    <mergeCell ref="B25:B26"/>
    <mergeCell ref="A27:A28"/>
    <mergeCell ref="B27:B28"/>
    <mergeCell ref="A11:A12"/>
    <mergeCell ref="B11:B12"/>
    <mergeCell ref="A13:A14"/>
    <mergeCell ref="B13:B14"/>
    <mergeCell ref="A15:A16"/>
    <mergeCell ref="B15:B16"/>
    <mergeCell ref="A17:A18"/>
    <mergeCell ref="A105:A106"/>
    <mergeCell ref="A107:A108"/>
    <mergeCell ref="A109:A110"/>
    <mergeCell ref="A111:A112"/>
    <mergeCell ref="A113:A114"/>
    <mergeCell ref="A115:A116"/>
    <mergeCell ref="A117:A118"/>
    <mergeCell ref="A119:A120"/>
    <mergeCell ref="A121:A122"/>
    <mergeCell ref="A125:A126"/>
    <mergeCell ref="A123:A124"/>
    <mergeCell ref="A61:A62"/>
    <mergeCell ref="A63:A64"/>
    <mergeCell ref="A65:A66"/>
    <mergeCell ref="A67:A68"/>
    <mergeCell ref="A69:A70"/>
    <mergeCell ref="A71:A72"/>
    <mergeCell ref="A73:A74"/>
    <mergeCell ref="A75:A76"/>
    <mergeCell ref="A77:A78"/>
    <mergeCell ref="A79:A80"/>
    <mergeCell ref="A81:A82"/>
    <mergeCell ref="A83:A84"/>
    <mergeCell ref="A85:A86"/>
    <mergeCell ref="A87:A88"/>
    <mergeCell ref="A89:A90"/>
    <mergeCell ref="A91:A92"/>
    <mergeCell ref="A93:A94"/>
    <mergeCell ref="A95:A96"/>
    <mergeCell ref="A97:A98"/>
    <mergeCell ref="A99:A100"/>
    <mergeCell ref="A101:A102"/>
    <mergeCell ref="A103:A104"/>
    <mergeCell ref="B63:B64"/>
    <mergeCell ref="B61:B62"/>
    <mergeCell ref="B73:B74"/>
    <mergeCell ref="B71:B72"/>
    <mergeCell ref="B69:B70"/>
    <mergeCell ref="B67:B68"/>
    <mergeCell ref="B65:B66"/>
    <mergeCell ref="B75:B76"/>
    <mergeCell ref="B77:B78"/>
    <mergeCell ref="B99:B100"/>
    <mergeCell ref="B101:B102"/>
    <mergeCell ref="B103:B104"/>
    <mergeCell ref="B93:B94"/>
    <mergeCell ref="B95:B96"/>
    <mergeCell ref="B97:B98"/>
    <mergeCell ref="B81:B82"/>
    <mergeCell ref="B79:B80"/>
    <mergeCell ref="B125:B126"/>
    <mergeCell ref="B117:B118"/>
    <mergeCell ref="B119:B120"/>
    <mergeCell ref="B121:B122"/>
    <mergeCell ref="B111:B112"/>
    <mergeCell ref="B113:B114"/>
    <mergeCell ref="B115:B116"/>
    <mergeCell ref="B105:B106"/>
    <mergeCell ref="B107:B108"/>
    <mergeCell ref="B109:B110"/>
    <mergeCell ref="B123:B124"/>
    <mergeCell ref="B89:B90"/>
    <mergeCell ref="B91:B92"/>
    <mergeCell ref="B83:B84"/>
    <mergeCell ref="B85:B86"/>
    <mergeCell ref="B87:B88"/>
  </mergeCells>
  <conditionalFormatting sqref="B125:B126">
    <cfRule type="cellIs" dxfId="3" priority="35" operator="lessThan">
      <formula>75</formula>
    </cfRule>
  </conditionalFormatting>
  <conditionalFormatting sqref="CY10">
    <cfRule type="cellIs" dxfId="2" priority="32" operator="greaterThan">
      <formula>-75</formula>
    </cfRule>
  </conditionalFormatting>
  <conditionalFormatting sqref="B11:C12">
    <cfRule type="cellIs" dxfId="1" priority="17" operator="greaterThan">
      <formula>2275</formula>
    </cfRule>
  </conditionalFormatting>
  <conditionalFormatting sqref="C10">
    <cfRule type="cellIs" dxfId="0" priority="1" operator="greaterThan">
      <formula>-3990</formula>
    </cfRule>
  </conditionalFormatting>
  <dataValidations count="1">
    <dataValidation type="list" allowBlank="1" showInputMessage="1" showErrorMessage="1" sqref="D125:CY125 D123:CY123 D121:CY121 D89:CY89 D85:CY85 D73:CY73 D71:CY71 D81:CY81 D77:CY77 D83:CY83 D75:CY75 D69:CY69 D93:CY93 BB99:CY99 D119:CY119 D113:CY113 D87:CY87 D79:CY79 D91:CY91 D97:CY97 D101:CY101 BB111:CY111 D117:CY117 D13:CY13 D95:CY95 D19:CY19 D23:CY23 D25:CY25 D27:CY27 D29:CY29 D99:AZ99 D15:CY15 D17:CY17 D21:CY21 D11:CY11 D111:AZ111 D115:CY115 D103:CY103 D109:CY109 D105:CY105 D107:CY107 D37:CY37 D39:CY39 D33:CY33 D35:CY35 D31:CY31 D45:CY45 D47:CY47 D49:CY49 D41:CY41 D55:CY55 D51:CY51 D53:CY53 D57:CY57 D65:CY65 D59:CY59 D61:CY61 D67:CY67 D63:CY63 D43:CY43">
      <formula1>TechNodes</formula1>
    </dataValidation>
  </dataValidations>
  <pageMargins left="0.7" right="0.7" top="0.75" bottom="0.75" header="0.3" footer="0.3"/>
  <pageSetup scale="29" fitToWidth="0" orientation="landscape"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O236"/>
  <sheetViews>
    <sheetView zoomScale="70" zoomScaleNormal="70" workbookViewId="0">
      <selection activeCell="Q9" sqref="Q9:Q10"/>
    </sheetView>
  </sheetViews>
  <sheetFormatPr defaultRowHeight="15" x14ac:dyDescent="0.25"/>
  <cols>
    <col min="1" max="1" width="32.42578125" bestFit="1" customWidth="1"/>
    <col min="2" max="2" width="38.5703125" bestFit="1" customWidth="1"/>
    <col min="3" max="3" width="38.5703125" style="20" hidden="1" customWidth="1"/>
    <col min="4" max="4" width="42.140625" hidden="1" customWidth="1"/>
    <col min="5" max="5" width="62.7109375" style="11" customWidth="1"/>
    <col min="6" max="6" width="10.140625" customWidth="1"/>
    <col min="7" max="7" width="13.42578125" hidden="1" customWidth="1"/>
    <col min="8" max="8" width="9.140625" hidden="1" customWidth="1"/>
    <col min="9" max="9" width="15.7109375" hidden="1" customWidth="1"/>
    <col min="10" max="10" width="77" customWidth="1"/>
    <col min="11" max="11" width="30.5703125" bestFit="1" customWidth="1"/>
    <col min="12" max="13" width="10.140625" style="59" bestFit="1" customWidth="1"/>
    <col min="14" max="14" width="27.140625" bestFit="1" customWidth="1"/>
    <col min="15" max="16" width="10.140625" style="59" bestFit="1" customWidth="1"/>
    <col min="17" max="17" width="18.85546875" customWidth="1"/>
    <col min="18" max="18" width="9.28515625" style="59" bestFit="1" customWidth="1"/>
    <col min="19" max="19" width="7.42578125" style="59" bestFit="1" customWidth="1"/>
    <col min="20" max="20" width="26.140625" hidden="1" customWidth="1"/>
    <col min="21" max="21" width="28.5703125" hidden="1" customWidth="1"/>
    <col min="22" max="22" width="28.5703125" style="20" hidden="1" customWidth="1"/>
    <col min="23" max="23" width="10" bestFit="1" customWidth="1"/>
    <col min="24" max="24" width="14.28515625" bestFit="1" customWidth="1"/>
    <col min="25" max="25" width="22" bestFit="1" customWidth="1"/>
    <col min="26" max="26" width="47.28515625" bestFit="1" customWidth="1"/>
    <col min="27" max="27" width="22.5703125" bestFit="1" customWidth="1"/>
    <col min="28" max="28" width="20.5703125" bestFit="1" customWidth="1"/>
    <col min="29" max="29" width="10" bestFit="1" customWidth="1"/>
  </cols>
  <sheetData>
    <row r="1" spans="1:67" s="20" customFormat="1" x14ac:dyDescent="0.25">
      <c r="E1" s="11"/>
      <c r="L1" s="59"/>
      <c r="M1" s="59"/>
      <c r="O1" s="59"/>
      <c r="P1" s="59"/>
      <c r="R1" s="59"/>
      <c r="S1" s="59"/>
    </row>
    <row r="2" spans="1:67" x14ac:dyDescent="0.25">
      <c r="A2" s="6" t="s">
        <v>0</v>
      </c>
      <c r="B2" s="6" t="s">
        <v>285</v>
      </c>
      <c r="C2" s="21" t="s">
        <v>813</v>
      </c>
      <c r="D2" s="6" t="s">
        <v>1</v>
      </c>
      <c r="E2" s="16" t="s">
        <v>286</v>
      </c>
      <c r="F2" s="6" t="s">
        <v>2</v>
      </c>
      <c r="G2" s="6" t="s">
        <v>287</v>
      </c>
      <c r="H2" s="6" t="s">
        <v>288</v>
      </c>
      <c r="I2" s="6" t="s">
        <v>365</v>
      </c>
      <c r="J2" s="6" t="s">
        <v>289</v>
      </c>
      <c r="K2" s="6" t="s">
        <v>290</v>
      </c>
      <c r="L2" s="63" t="s">
        <v>2064</v>
      </c>
      <c r="M2" s="63" t="s">
        <v>2065</v>
      </c>
      <c r="N2" s="6" t="s">
        <v>291</v>
      </c>
      <c r="O2" s="63" t="s">
        <v>2064</v>
      </c>
      <c r="P2" s="63" t="s">
        <v>2065</v>
      </c>
      <c r="Q2" s="6" t="s">
        <v>292</v>
      </c>
      <c r="R2" s="63" t="s">
        <v>2064</v>
      </c>
      <c r="S2" s="63" t="s">
        <v>2065</v>
      </c>
      <c r="T2" s="6" t="s">
        <v>293</v>
      </c>
      <c r="U2" s="6" t="s">
        <v>294</v>
      </c>
      <c r="V2" s="21" t="s">
        <v>295</v>
      </c>
      <c r="W2" s="24" t="s">
        <v>818</v>
      </c>
      <c r="X2" s="23" t="s">
        <v>222</v>
      </c>
    </row>
    <row r="3" spans="1:67" x14ac:dyDescent="0.25">
      <c r="A3" s="21" t="s">
        <v>146</v>
      </c>
      <c r="B3" s="21" t="s">
        <v>147</v>
      </c>
      <c r="C3" s="21" t="str">
        <f>IF(T3="TRUE",VLOOKUP(A3,'Stock Nodes'!$A$1:$D$63,4,FALSE),IF(U3="TRUE",VLOOKUP(A3,'CTT Nodes'!$A$1:$D$83,4,FALSE),VLOOKUP(A3,'ETT Nodes'!$A$1:$D$87,3,FALSE)))</f>
        <v>Actuators</v>
      </c>
      <c r="D3" s="15" t="str">
        <f>"Node"&amp;TEXT(X3,"0")&amp;"_"&amp;A3</f>
        <v>Node4_actuators</v>
      </c>
      <c r="E3" s="22" t="str">
        <f>IF(OR(V3="TRUE",B3&lt;&gt;C3),"#LOC_ETT_"&amp;A3&amp;"_description",IF(T3="TRUE",VLOOKUP(A3,'Stock Nodes'!$A$1:$C$63,2,FALSE),IF(U3="TRUE",VLOOKUP(A3,'CTT Nodes'!$A$1:$D$83,2,FALSE))))</f>
        <v>#autoLOC_501063 //#autoLOC_501063 = Perfecting the art of making things mobile, without the explicit use of explosives. Our engineers assure us, this is actually a good thing.</v>
      </c>
      <c r="F3" s="58">
        <v>50</v>
      </c>
      <c r="G3" s="6">
        <f t="array" ref="G3">INDEX(TNodeCols,MATCH(1,MMULT(--(TTechTree=A3),TRANSPOSE(COLUMN(TTechTree)^0)),0))</f>
        <v>-1797.6000000000013</v>
      </c>
      <c r="H3" s="6">
        <f t="array" ref="H3">INDEX(NodeRows,MATCH(1,MMULT(--(TechTree=A3),TRANSPOSE(COLUMN(TechTree)^0)),0))</f>
        <v>1025</v>
      </c>
      <c r="I3" s="15" t="str">
        <f>TEXT(G3,"0") &amp; ", " &amp; TEXT(H3,"0") &amp;", -2"</f>
        <v>-1798, 1025, -2</v>
      </c>
      <c r="J3" s="21" t="str">
        <f>IF(T3="TRUE",VLOOKUP(A3,'Stock Nodes'!$A$1:$C$63,3,FALSE),IF(U3="TRUE",VLOOKUP(A3,'CTT Nodes'!$A$1:$G$83,7,FALSE),VLOOKUP(A3,'ETT Nodes'!$A$1:$E$87,5,FALSE)))</f>
        <v>RDicon_construction-specialized</v>
      </c>
      <c r="K3" s="6" t="s">
        <v>81</v>
      </c>
      <c r="L3" s="63" t="s">
        <v>2068</v>
      </c>
      <c r="M3" s="63" t="s">
        <v>2069</v>
      </c>
      <c r="N3" s="6"/>
      <c r="O3" s="63"/>
      <c r="P3" s="63"/>
      <c r="Q3" s="6"/>
      <c r="R3" s="63"/>
      <c r="S3" s="63"/>
      <c r="T3" s="25" t="str">
        <f>IF(ISNA(VLOOKUP(A3,'Stock Nodes'!$A$1:$C$63,1,FALSE)),"FALSE","TRUE")</f>
        <v>TRUE</v>
      </c>
      <c r="U3" s="25" t="str">
        <f>IF(ISNA(VLOOKUP(A3,'CTT Nodes'!$A$1:$D$83,1,FALSE)),"FALSE","TRUE")</f>
        <v>FALSE</v>
      </c>
      <c r="V3" s="25" t="str">
        <f>IF(OR(T3="TRUE",U3="TRUE"),"FALSE","TRUE")</f>
        <v>FALSE</v>
      </c>
      <c r="W3" s="68">
        <v>1</v>
      </c>
      <c r="X3" s="59">
        <v>3.67</v>
      </c>
      <c r="Y3" s="20"/>
      <c r="Z3" s="20"/>
      <c r="AA3" s="20"/>
      <c r="AB3" s="20"/>
      <c r="AC3" s="20"/>
      <c r="AD3" s="20"/>
      <c r="AE3" s="20"/>
      <c r="AF3" s="20"/>
      <c r="AG3" s="20"/>
      <c r="AH3" s="20"/>
      <c r="AI3" s="20"/>
      <c r="AJ3" s="20"/>
      <c r="AK3" s="20"/>
      <c r="AL3" s="20"/>
      <c r="AM3" s="20"/>
      <c r="AN3" s="20"/>
      <c r="AO3" s="20"/>
      <c r="AP3" s="20"/>
      <c r="AQ3" s="20"/>
      <c r="AR3" s="20"/>
      <c r="AS3" s="20"/>
      <c r="AT3" s="20"/>
      <c r="AU3" s="20"/>
      <c r="AV3" s="20"/>
      <c r="AW3" s="20"/>
      <c r="AX3" s="20"/>
      <c r="AY3" s="20"/>
      <c r="AZ3" s="20"/>
      <c r="BA3" s="20"/>
      <c r="BB3" s="20"/>
      <c r="BC3" s="20"/>
      <c r="BD3" s="20"/>
      <c r="BE3" s="20"/>
      <c r="BF3" s="20"/>
      <c r="BG3" s="20"/>
      <c r="BH3" s="20"/>
      <c r="BI3" s="20"/>
      <c r="BJ3" s="20"/>
      <c r="BK3" s="20"/>
      <c r="BL3" s="20"/>
      <c r="BM3" s="20"/>
      <c r="BN3" s="20"/>
      <c r="BO3" s="20"/>
    </row>
    <row r="4" spans="1:67" s="20" customFormat="1" x14ac:dyDescent="0.25">
      <c r="A4" s="21" t="s">
        <v>100</v>
      </c>
      <c r="B4" s="21" t="s">
        <v>420</v>
      </c>
      <c r="C4" s="21" t="str">
        <f>IF(T4="TRUE",VLOOKUP(A4,'Stock Nodes'!$A$1:$D$63,4,FALSE),IF(U4="TRUE",VLOOKUP(A4,'CTT Nodes'!$A$1:$D$83,4,FALSE),VLOOKUP(A4,'ETT Nodes'!$A$1:$D$87,3,FALSE)))</f>
        <v>Advanced Actuators</v>
      </c>
      <c r="D4" s="21" t="str">
        <f>"Node"&amp;TEXT(X4,"0")&amp;"_"&amp;A4</f>
        <v>Node5_advActuators</v>
      </c>
      <c r="E4" s="22" t="str">
        <f>IF(OR(V4="TRUE",B4&lt;&gt;C4),"#LOC_ETT_"&amp;A4&amp;"_description",IF(T4="TRUE",VLOOKUP(A4,'Stock Nodes'!$A$1:$C$63,2,FALSE),IF(U4="TRUE",VLOOKUP(A4,'CTT Nodes'!$A$1:$D$83,2,FALSE))))</f>
        <v>#LOC_CTT_advActuators_description</v>
      </c>
      <c r="F4" s="58">
        <v>125</v>
      </c>
      <c r="G4" s="21">
        <f t="array" ref="G4">INDEX(TNodeCols,MATCH(1,MMULT(--(TTechTree=A4),TRANSPOSE(COLUMN(TTechTree)^0)),0))</f>
        <v>-1719.3000000000011</v>
      </c>
      <c r="H4" s="21">
        <f t="array" ref="H4">INDEX(NodeRows,MATCH(1,MMULT(--(TechTree=A4),TRANSPOSE(COLUMN(TechTree)^0)),0))</f>
        <v>1025</v>
      </c>
      <c r="I4" s="63" t="str">
        <f>TEXT(G4,"0") &amp; ", " &amp; TEXT(H4,"0") &amp;", -2"</f>
        <v>-1719, 1025, -2</v>
      </c>
      <c r="J4" s="63" t="str">
        <f>IF(T4="TRUE",VLOOKUP(A4,'Stock Nodes'!$A$1:$C$63,3,FALSE),IF(U4="TRUE",VLOOKUP(A4,'CTT Nodes'!$A$1:$G$83,7,FALSE),VLOOKUP(A4,'ETT Nodes'!$A$1:$E$87,5,FALSE)))</f>
        <v>ETTR/UI/CTT/ctt_icon_advancedActuators</v>
      </c>
      <c r="K4" s="21" t="s">
        <v>146</v>
      </c>
      <c r="L4" s="63" t="s">
        <v>2068</v>
      </c>
      <c r="M4" s="63" t="s">
        <v>2069</v>
      </c>
      <c r="N4" s="63"/>
      <c r="O4" s="63"/>
      <c r="P4" s="63"/>
      <c r="Q4" s="21"/>
      <c r="R4" s="63"/>
      <c r="S4" s="63"/>
      <c r="T4" s="25" t="str">
        <f>IF(ISNA(VLOOKUP(A4,'Stock Nodes'!$A$1:$C$63,1,FALSE)),"FALSE","TRUE")</f>
        <v>FALSE</v>
      </c>
      <c r="U4" s="25" t="str">
        <f>IF(ISNA(VLOOKUP(A4,'CTT Nodes'!$A$1:$D$83,1,FALSE)),"FALSE","TRUE")</f>
        <v>TRUE</v>
      </c>
      <c r="V4" s="25" t="str">
        <f>IF(OR(T4="TRUE",U4="TRUE"),"FALSE","TRUE")</f>
        <v>FALSE</v>
      </c>
      <c r="W4" s="63">
        <v>2</v>
      </c>
      <c r="X4" s="59">
        <v>5</v>
      </c>
    </row>
    <row r="5" spans="1:67" x14ac:dyDescent="0.25">
      <c r="A5" s="14" t="s">
        <v>167</v>
      </c>
      <c r="B5" s="21" t="s">
        <v>396</v>
      </c>
      <c r="C5" s="21" t="str">
        <f>IF(T5="TRUE",VLOOKUP(A5,'Stock Nodes'!$A$1:$D$63,4,FALSE),IF(U5="TRUE",VLOOKUP(A5,'CTT Nodes'!$A$1:$D$83,4,FALSE),VLOOKUP(A5,'ETT Nodes'!$A$1:$D$87,3,FALSE)))</f>
        <v>Automation</v>
      </c>
      <c r="D5" s="21" t="str">
        <f>"Node"&amp;TEXT(X5,"0")&amp;"_"&amp;A5</f>
        <v>Node6_automation</v>
      </c>
      <c r="E5" s="22" t="str">
        <f>IF(OR(V5="TRUE",B5&lt;&gt;C5),"#LOC_ETT_"&amp;A5&amp;"_description",IF(T5="TRUE",VLOOKUP(A5,'Stock Nodes'!$A$1:$C$63,2,FALSE),IF(U5="TRUE",VLOOKUP(A5,'CTT Nodes'!$A$1:$D$83,2,FALSE))))</f>
        <v>#autoLOC_501135 //#autoLOC_501135 = We can't think of anything that could go wrong with letting an experimental AI handle every aspect of a mission.</v>
      </c>
      <c r="F5" s="58">
        <v>200</v>
      </c>
      <c r="G5" s="21">
        <f t="array" ref="G5">INDEX(TNodeCols,MATCH(1,MMULT(--(TTechTree=A5),TRANSPOSE(COLUMN(TTechTree)^0)),0))</f>
        <v>-1641.0000000000009</v>
      </c>
      <c r="H5" s="21">
        <f t="array" ref="H5">INDEX(NodeRows,MATCH(1,MMULT(--(TechTree=A5),TRANSPOSE(COLUMN(TechTree)^0)),0))</f>
        <v>1025</v>
      </c>
      <c r="I5" s="63" t="str">
        <f>TEXT(G5,"0") &amp; ", " &amp; TEXT(H5,"0") &amp;", -2"</f>
        <v>-1641, 1025, -2</v>
      </c>
      <c r="J5" s="63" t="str">
        <f>IF(T5="TRUE",VLOOKUP(A5,'Stock Nodes'!$A$1:$C$63,3,FALSE),IF(U5="TRUE",VLOOKUP(A5,'CTT Nodes'!$A$1:$G$83,7,FALSE),VLOOKUP(A5,'ETT Nodes'!$A$1:$E$87,5,FALSE)))</f>
        <v>RDicon_robotics</v>
      </c>
      <c r="K5" s="63" t="s">
        <v>100</v>
      </c>
      <c r="L5" s="63" t="s">
        <v>2068</v>
      </c>
      <c r="M5" s="63" t="s">
        <v>2069</v>
      </c>
      <c r="N5" s="63"/>
      <c r="O5" s="63"/>
      <c r="P5" s="63"/>
      <c r="Q5" s="6"/>
      <c r="R5" s="63"/>
      <c r="S5" s="63"/>
      <c r="T5" s="25" t="str">
        <f>IF(ISNA(VLOOKUP(A5,'Stock Nodes'!$A$1:$C$63,1,FALSE)),"FALSE","TRUE")</f>
        <v>TRUE</v>
      </c>
      <c r="U5" s="25" t="str">
        <f>IF(ISNA(VLOOKUP(A5,'CTT Nodes'!$A$1:$D$83,1,FALSE)),"FALSE","TRUE")</f>
        <v>FALSE</v>
      </c>
      <c r="V5" s="25" t="str">
        <f>IF(OR(T5="TRUE",U5="TRUE"),"FALSE","TRUE")</f>
        <v>FALSE</v>
      </c>
      <c r="W5" s="68">
        <v>3</v>
      </c>
      <c r="X5" s="59">
        <v>5.75</v>
      </c>
      <c r="Y5" s="20"/>
      <c r="Z5" s="20"/>
      <c r="AA5" s="20"/>
      <c r="AB5" s="20"/>
      <c r="AC5" s="20"/>
      <c r="AD5" s="20"/>
      <c r="AE5" s="20"/>
      <c r="AF5" s="20"/>
      <c r="AG5" s="20"/>
      <c r="AH5" s="20"/>
      <c r="AI5" s="20"/>
      <c r="AJ5" s="20"/>
      <c r="AK5" s="20"/>
      <c r="AL5" s="20"/>
      <c r="AM5" s="20"/>
      <c r="AN5" s="20"/>
      <c r="AO5" s="20"/>
      <c r="AP5" s="20"/>
      <c r="AQ5" s="20"/>
      <c r="AR5" s="20"/>
      <c r="AS5" s="20"/>
      <c r="AT5" s="20"/>
      <c r="AU5" s="20"/>
      <c r="AV5" s="20"/>
      <c r="AW5" s="20"/>
      <c r="AX5" s="20"/>
      <c r="AY5" s="20"/>
      <c r="AZ5" s="20"/>
      <c r="BA5" s="20"/>
      <c r="BB5" s="20"/>
      <c r="BC5" s="20"/>
      <c r="BD5" s="20"/>
      <c r="BE5" s="20"/>
      <c r="BF5" s="20"/>
      <c r="BG5" s="20"/>
      <c r="BH5" s="20"/>
    </row>
    <row r="6" spans="1:67" x14ac:dyDescent="0.25">
      <c r="A6" s="63" t="s">
        <v>148</v>
      </c>
      <c r="B6" s="63" t="s">
        <v>284</v>
      </c>
      <c r="C6" s="21" t="str">
        <f>IF(T6="TRUE",VLOOKUP(A6,'Stock Nodes'!$A$1:$D$63,4,FALSE),IF(U6="TRUE",VLOOKUP(A6,'CTT Nodes'!$A$1:$D$83,4,FALSE),VLOOKUP(A6,'ETT Nodes'!$A$1:$D$87,3,FALSE)))</f>
        <v>Mechatronics</v>
      </c>
      <c r="D6" s="21" t="str">
        <f>"Node"&amp;TEXT(X6,"0")&amp;"_"&amp;A6</f>
        <v>Node7_mechatronics</v>
      </c>
      <c r="E6" s="22" t="str">
        <f>IF(OR(V6="TRUE",B6&lt;&gt;C6),"#LOC_ETT_"&amp;A6&amp;"_description",IF(T6="TRUE",VLOOKUP(A6,'Stock Nodes'!$A$1:$C$63,2,FALSE),IF(U6="TRUE",VLOOKUP(A6,'CTT Nodes'!$A$1:$D$83,2,FALSE))))</f>
        <v>#LOC_CTT_mechatronics_description</v>
      </c>
      <c r="F6" s="58">
        <v>375</v>
      </c>
      <c r="G6" s="21">
        <f t="array" ref="G6">INDEX(TNodeCols,MATCH(1,MMULT(--(TTechTree=A6),TRANSPOSE(COLUMN(TTechTree)^0)),0))</f>
        <v>-1406.1000000000004</v>
      </c>
      <c r="H6" s="21">
        <f t="array" ref="H6">INDEX(NodeRows,MATCH(1,MMULT(--(TechTree=A6),TRANSPOSE(COLUMN(TechTree)^0)),0))</f>
        <v>1025</v>
      </c>
      <c r="I6" s="63" t="str">
        <f>TEXT(G6,"0") &amp; ", " &amp; TEXT(H6,"0") &amp;", -2"</f>
        <v>-1406, 1025, -2</v>
      </c>
      <c r="J6" s="63" t="str">
        <f>IF(T6="TRUE",VLOOKUP(A6,'Stock Nodes'!$A$1:$C$63,3,FALSE),IF(U6="TRUE",VLOOKUP(A6,'CTT Nodes'!$A$1:$G$83,7,FALSE),VLOOKUP(A6,'ETT Nodes'!$A$1:$E$87,5,FALSE)))</f>
        <v>ETTR/UI/CTT/ctt_icon_advancedActuators</v>
      </c>
      <c r="K6" s="63" t="s">
        <v>167</v>
      </c>
      <c r="L6" s="63" t="s">
        <v>2068</v>
      </c>
      <c r="M6" s="63" t="s">
        <v>2069</v>
      </c>
      <c r="N6" s="63"/>
      <c r="O6" s="63"/>
      <c r="P6" s="63"/>
      <c r="Q6" s="63"/>
      <c r="R6" s="63"/>
      <c r="S6" s="63"/>
      <c r="T6" s="25" t="str">
        <f>IF(ISNA(VLOOKUP(A6,'Stock Nodes'!$A$1:$C$63,1,FALSE)),"FALSE","TRUE")</f>
        <v>FALSE</v>
      </c>
      <c r="U6" s="25" t="str">
        <f>IF(ISNA(VLOOKUP(A6,'CTT Nodes'!$A$1:$D$83,1,FALSE)),"FALSE","TRUE")</f>
        <v>TRUE</v>
      </c>
      <c r="V6" s="25" t="str">
        <f>IF(OR(T6="TRUE",U6="TRUE"),"FALSE","TRUE")</f>
        <v>FALSE</v>
      </c>
      <c r="W6" s="68">
        <v>4</v>
      </c>
      <c r="X6" s="59">
        <v>7</v>
      </c>
      <c r="Y6" s="20"/>
      <c r="Z6" s="20"/>
      <c r="AA6" s="20"/>
      <c r="AB6" s="20"/>
      <c r="AC6" s="20"/>
      <c r="AD6" s="20"/>
      <c r="AE6" s="20"/>
      <c r="AF6" s="20"/>
      <c r="AG6" s="20"/>
      <c r="AH6" s="20"/>
      <c r="AI6" s="20"/>
      <c r="AJ6" s="20"/>
      <c r="AK6" s="20"/>
      <c r="AL6" s="20"/>
      <c r="AM6" s="20"/>
      <c r="AN6" s="20"/>
      <c r="AO6" s="20"/>
      <c r="AP6" s="20"/>
      <c r="AQ6" s="20"/>
      <c r="AR6" s="20"/>
      <c r="AS6" s="20"/>
      <c r="AT6" s="20"/>
      <c r="AU6" s="20"/>
      <c r="AV6" s="20"/>
      <c r="AW6" s="20"/>
      <c r="AX6" s="20"/>
      <c r="AY6" s="20"/>
      <c r="AZ6" s="20"/>
      <c r="BA6" s="20"/>
      <c r="BB6" s="20"/>
      <c r="BC6" s="20"/>
      <c r="BD6" s="20"/>
      <c r="BE6" s="20"/>
      <c r="BF6" s="20"/>
      <c r="BG6" s="20"/>
      <c r="BH6" s="20"/>
    </row>
    <row r="7" spans="1:67" x14ac:dyDescent="0.25">
      <c r="A7" s="63" t="s">
        <v>161</v>
      </c>
      <c r="B7" s="63" t="s">
        <v>162</v>
      </c>
      <c r="C7" s="21" t="str">
        <f>IF(T7="TRUE",VLOOKUP(A7,'Stock Nodes'!$A$1:$D$63,4,FALSE),IF(U7="TRUE",VLOOKUP(A7,'CTT Nodes'!$A$1:$D$83,4,FALSE),VLOOKUP(A7,'ETT Nodes'!$A$1:$D$87,3,FALSE)))</f>
        <v>Experimental Actuators</v>
      </c>
      <c r="D7" s="21" t="str">
        <f>"Node"&amp;TEXT(X7,"0")&amp;"_"&amp;A7</f>
        <v>Node8_experimentalActuators</v>
      </c>
      <c r="E7" s="22" t="str">
        <f>IF(OR(V7="TRUE",B7&lt;&gt;C7),"#LOC_ETT_"&amp;A7&amp;"_description",IF(T7="TRUE",VLOOKUP(A7,'Stock Nodes'!$A$1:$C$63,2,FALSE),IF(U7="TRUE",VLOOKUP(A7,'CTT Nodes'!$A$1:$D$83,2,FALSE))))</f>
        <v>#LOC_CTT_experimentalActuators_description</v>
      </c>
      <c r="F7" s="58">
        <v>495</v>
      </c>
      <c r="G7" s="21">
        <f t="array" ref="G7">INDEX(TNodeCols,MATCH(1,MMULT(--(TTechTree=A7),TRANSPOSE(COLUMN(TTechTree)^0)),0))</f>
        <v>-1406.1000000000004</v>
      </c>
      <c r="H7" s="21">
        <f t="array" ref="H7">INDEX(NodeRows,MATCH(1,MMULT(--(TechTree=A7),TRANSPOSE(COLUMN(TechTree)^0)),0))</f>
        <v>949</v>
      </c>
      <c r="I7" s="63" t="str">
        <f>TEXT(G7,"0") &amp; ", " &amp; TEXT(H7,"0") &amp;", -2"</f>
        <v>-1406, 949, -2</v>
      </c>
      <c r="J7" s="63" t="str">
        <f>IF(T7="TRUE",VLOOKUP(A7,'Stock Nodes'!$A$1:$C$63,3,FALSE),IF(U7="TRUE",VLOOKUP(A7,'CTT Nodes'!$A$1:$G$83,7,FALSE),VLOOKUP(A7,'ETT Nodes'!$A$1:$E$87,5,FALSE)))</f>
        <v>ETTR/UI/CTT/ctt_icon_experimentalActuators</v>
      </c>
      <c r="K7" s="63" t="s">
        <v>148</v>
      </c>
      <c r="L7" s="63" t="s">
        <v>2070</v>
      </c>
      <c r="M7" s="63" t="s">
        <v>2067</v>
      </c>
      <c r="N7" s="63"/>
      <c r="O7" s="63"/>
      <c r="P7" s="63"/>
      <c r="Q7" s="63"/>
      <c r="R7" s="63"/>
      <c r="S7" s="63"/>
      <c r="T7" s="25" t="str">
        <f>IF(ISNA(VLOOKUP(A7,'Stock Nodes'!$A$1:$C$63,1,FALSE)),"FALSE","TRUE")</f>
        <v>FALSE</v>
      </c>
      <c r="U7" s="25" t="str">
        <f>IF(ISNA(VLOOKUP(A7,'CTT Nodes'!$A$1:$D$83,1,FALSE)),"FALSE","TRUE")</f>
        <v>TRUE</v>
      </c>
      <c r="V7" s="25" t="str">
        <f>IF(OR(T7="TRUE",U7="TRUE"),"FALSE","TRUE")</f>
        <v>FALSE</v>
      </c>
      <c r="W7" s="63">
        <v>5</v>
      </c>
      <c r="X7" s="59">
        <v>8</v>
      </c>
      <c r="Y7" s="18"/>
      <c r="Z7" s="20"/>
      <c r="AA7" s="20"/>
      <c r="AB7" s="20"/>
      <c r="AC7" s="20"/>
      <c r="AD7" s="20"/>
      <c r="AE7" s="20"/>
      <c r="AF7" s="20"/>
      <c r="AG7" s="20"/>
      <c r="AH7" s="20"/>
      <c r="AI7" s="20"/>
      <c r="AJ7" s="20"/>
      <c r="AK7" s="20"/>
      <c r="AL7" s="20"/>
      <c r="AM7" s="20"/>
      <c r="AN7" s="20"/>
      <c r="AO7" s="20"/>
      <c r="AP7" s="20"/>
      <c r="AQ7" s="20"/>
      <c r="AR7" s="20"/>
      <c r="AS7" s="20"/>
      <c r="AT7" s="20"/>
      <c r="AU7" s="20"/>
      <c r="AV7" s="20"/>
      <c r="AW7" s="20"/>
      <c r="AX7" s="20"/>
      <c r="AY7" s="20"/>
      <c r="AZ7" s="20"/>
      <c r="BA7" s="20"/>
      <c r="BB7" s="20"/>
      <c r="BC7" s="20"/>
      <c r="BD7" s="20"/>
      <c r="BE7" s="20"/>
      <c r="BF7" s="20"/>
      <c r="BG7" s="20"/>
      <c r="BH7" s="20"/>
    </row>
    <row r="8" spans="1:67" x14ac:dyDescent="0.25">
      <c r="A8" s="63" t="s">
        <v>188</v>
      </c>
      <c r="B8" s="63" t="s">
        <v>160</v>
      </c>
      <c r="C8" s="21" t="str">
        <f>IF(T8="TRUE",VLOOKUP(A8,'Stock Nodes'!$A$1:$D$63,4,FALSE),IF(U8="TRUE",VLOOKUP(A8,'CTT Nodes'!$A$1:$D$83,4,FALSE),VLOOKUP(A8,'ETT Nodes'!$A$1:$D$87,3,FALSE)))</f>
        <v>Artificial Intelligence</v>
      </c>
      <c r="D8" s="21" t="str">
        <f>"Node"&amp;TEXT(X8,"0")&amp;"_"&amp;A8</f>
        <v>Node9_artificialIntelligence</v>
      </c>
      <c r="E8" s="22" t="str">
        <f>IF(OR(V8="TRUE",B8&lt;&gt;C8),"#LOC_ETT_"&amp;A8&amp;"_description",IF(T8="TRUE",VLOOKUP(A8,'Stock Nodes'!$A$1:$C$63,2,FALSE),IF(U8="TRUE",VLOOKUP(A8,'CTT Nodes'!$A$1:$D$83,2,FALSE))))</f>
        <v>#LOC_ETT_artificialIntelligence_description</v>
      </c>
      <c r="F8" s="58">
        <v>750</v>
      </c>
      <c r="G8" s="21">
        <f t="array" ref="G8">INDEX(TNodeCols,MATCH(1,MMULT(--(TTechTree=A8),TRANSPOSE(COLUMN(TTechTree)^0)),0))</f>
        <v>-1406.1000000000004</v>
      </c>
      <c r="H8" s="21">
        <f t="array" ref="H8">INDEX(NodeRows,MATCH(1,MMULT(--(TechTree=A8),TRANSPOSE(COLUMN(TechTree)^0)),0))</f>
        <v>873</v>
      </c>
      <c r="I8" s="63" t="str">
        <f>TEXT(G8,"0") &amp; ", " &amp; TEXT(H8,"0") &amp;", -2"</f>
        <v>-1406, 873, -2</v>
      </c>
      <c r="J8" s="63" t="str">
        <f>IF(T8="TRUE",VLOOKUP(A8,'Stock Nodes'!$A$1:$C$63,3,FALSE),IF(U8="TRUE",VLOOKUP(A8,'CTT Nodes'!$A$1:$G$83,7,FALSE),VLOOKUP(A8,'ETT Nodes'!$A$1:$E$87,5,FALSE)))</f>
        <v>ETTR/UI/CTT/RDicon_robotics</v>
      </c>
      <c r="K8" s="63" t="s">
        <v>161</v>
      </c>
      <c r="L8" s="63" t="s">
        <v>2070</v>
      </c>
      <c r="M8" s="63" t="s">
        <v>2067</v>
      </c>
      <c r="N8" s="63"/>
      <c r="O8" s="63"/>
      <c r="P8" s="63"/>
      <c r="Q8" s="63"/>
      <c r="R8" s="63"/>
      <c r="S8" s="63"/>
      <c r="T8" s="25" t="str">
        <f>IF(ISNA(VLOOKUP(A8,'Stock Nodes'!$A$1:$C$63,1,FALSE)),"FALSE","TRUE")</f>
        <v>FALSE</v>
      </c>
      <c r="U8" s="25" t="str">
        <f>IF(ISNA(VLOOKUP(A8,'CTT Nodes'!$A$1:$D$83,1,FALSE)),"FALSE","TRUE")</f>
        <v>TRUE</v>
      </c>
      <c r="V8" s="25" t="str">
        <f>IF(OR(T8="TRUE",U8="TRUE"),"FALSE","TRUE")</f>
        <v>FALSE</v>
      </c>
      <c r="W8" s="68">
        <v>6</v>
      </c>
      <c r="X8" s="59">
        <v>9</v>
      </c>
      <c r="Y8" s="18"/>
      <c r="Z8" s="20"/>
      <c r="AA8" s="20"/>
      <c r="AB8" s="20"/>
      <c r="AC8" s="20"/>
      <c r="AD8" s="20"/>
      <c r="AE8" s="20"/>
      <c r="AF8" s="20"/>
      <c r="AG8" s="20"/>
      <c r="AH8" s="20"/>
      <c r="AI8" s="20"/>
      <c r="AJ8" s="20"/>
      <c r="AK8" s="20"/>
      <c r="AL8" s="20"/>
      <c r="AM8" s="20"/>
      <c r="AN8" s="20"/>
      <c r="AO8" s="20"/>
      <c r="AP8" s="20"/>
      <c r="AQ8" s="20"/>
      <c r="AR8" s="20"/>
      <c r="AS8" s="20"/>
      <c r="AT8" s="20"/>
      <c r="AU8" s="20"/>
      <c r="AV8" s="20"/>
      <c r="AW8" s="20"/>
      <c r="AX8" s="20"/>
      <c r="AY8" s="20"/>
      <c r="AZ8" s="20"/>
      <c r="BA8" s="20"/>
      <c r="BB8" s="20"/>
      <c r="BC8" s="20"/>
      <c r="BD8" s="20"/>
      <c r="BE8" s="20"/>
      <c r="BF8" s="20"/>
      <c r="BG8" s="20"/>
      <c r="BH8" s="20"/>
    </row>
    <row r="9" spans="1:67" x14ac:dyDescent="0.25">
      <c r="A9" s="63" t="s">
        <v>144</v>
      </c>
      <c r="B9" s="63" t="s">
        <v>358</v>
      </c>
      <c r="C9" s="21" t="str">
        <f>IF(T9="TRUE",VLOOKUP(A9,'Stock Nodes'!$A$1:$D$63,4,FALSE),IF(U9="TRUE",VLOOKUP(A9,'CTT Nodes'!$A$1:$D$83,4,FALSE),VLOOKUP(A9,'ETT Nodes'!$A$1:$D$87,3,FALSE)))</f>
        <v>Small Docking Ports and Airlocks</v>
      </c>
      <c r="D9" s="21" t="str">
        <f>"Node"&amp;TEXT(X9,"0")&amp;"_"&amp;A9</f>
        <v>Node5_docking</v>
      </c>
      <c r="E9" s="22" t="str">
        <f>IF(OR(V9="TRUE",B9&lt;&gt;C9),"#LOC_ETT_"&amp;A9&amp;"_description",IF(T9="TRUE",VLOOKUP(A9,'Stock Nodes'!$A$1:$C$63,2,FALSE),IF(U9="TRUE",VLOOKUP(A9,'CTT Nodes'!$A$1:$D$83,2,FALSE))))</f>
        <v>#LOC_ETT_docking_description</v>
      </c>
      <c r="F9" s="58">
        <v>95</v>
      </c>
      <c r="G9" s="21">
        <f t="array" ref="G9">INDEX(TNodeCols,MATCH(1,MMULT(--(TTechTree=A9),TRANSPOSE(COLUMN(TTechTree)^0)),0))</f>
        <v>-1797.6000000000013</v>
      </c>
      <c r="H9" s="21">
        <f t="array" ref="H9">INDEX(NodeRows,MATCH(1,MMULT(--(TechTree=A9),TRANSPOSE(COLUMN(TechTree)^0)),0))</f>
        <v>873</v>
      </c>
      <c r="I9" s="63" t="str">
        <f>TEXT(G9,"0") &amp; ", " &amp; TEXT(H9,"0") &amp;", -2"</f>
        <v>-1798, 873, -2</v>
      </c>
      <c r="J9" s="63">
        <f>IF(T9="TRUE",VLOOKUP(A9,'Stock Nodes'!$A$1:$C$63,3,FALSE),IF(U9="TRUE",VLOOKUP(A9,'CTT Nodes'!$A$1:$G$83,7,FALSE),VLOOKUP(A9,'ETT Nodes'!$A$1:$E$87,5,FALSE)))</f>
        <v>0</v>
      </c>
      <c r="K9" s="63" t="s">
        <v>81</v>
      </c>
      <c r="L9" s="63" t="s">
        <v>2070</v>
      </c>
      <c r="M9" s="63" t="s">
        <v>2069</v>
      </c>
      <c r="N9" s="63"/>
      <c r="O9" s="63"/>
      <c r="P9" s="63"/>
      <c r="Q9" s="63"/>
      <c r="R9" s="63"/>
      <c r="S9" s="63"/>
      <c r="T9" s="25" t="str">
        <f>IF(ISNA(VLOOKUP(A9,'Stock Nodes'!$A$1:$C$63,1,FALSE)),"FALSE","TRUE")</f>
        <v>FALSE</v>
      </c>
      <c r="U9" s="25" t="str">
        <f>IF(ISNA(VLOOKUP(A9,'CTT Nodes'!$A$1:$D$83,1,FALSE)),"FALSE","TRUE")</f>
        <v>FALSE</v>
      </c>
      <c r="V9" s="25" t="str">
        <f>IF(OR(T9="TRUE",U9="TRUE"),"FALSE","TRUE")</f>
        <v>TRUE</v>
      </c>
      <c r="W9" s="68">
        <v>7</v>
      </c>
      <c r="X9" s="59">
        <v>4.67</v>
      </c>
      <c r="Y9" s="18"/>
      <c r="Z9" s="20"/>
      <c r="AA9" s="20"/>
      <c r="AB9" s="23"/>
      <c r="AC9" s="20"/>
      <c r="AD9" s="20"/>
      <c r="AE9" s="20"/>
      <c r="AF9" s="20"/>
      <c r="AG9" s="20"/>
      <c r="AH9" s="20"/>
      <c r="AI9" s="20"/>
      <c r="AJ9" s="20"/>
      <c r="AK9" s="20"/>
      <c r="AL9" s="20"/>
      <c r="AM9" s="20"/>
      <c r="AN9" s="20"/>
      <c r="AO9" s="20"/>
      <c r="AP9" s="20"/>
      <c r="AQ9" s="20"/>
      <c r="AR9" s="20"/>
      <c r="AS9" s="20"/>
      <c r="AT9" s="20"/>
      <c r="AU9" s="20"/>
      <c r="AV9" s="20"/>
      <c r="AW9" s="20"/>
      <c r="AX9" s="20"/>
      <c r="AY9" s="20"/>
      <c r="AZ9" s="20"/>
      <c r="BA9" s="20"/>
      <c r="BB9" s="20"/>
      <c r="BC9" s="20"/>
      <c r="BD9" s="20"/>
      <c r="BE9" s="20"/>
      <c r="BF9" s="20"/>
      <c r="BG9" s="20"/>
      <c r="BH9" s="20"/>
    </row>
    <row r="10" spans="1:67" x14ac:dyDescent="0.25">
      <c r="A10" s="63" t="s">
        <v>462</v>
      </c>
      <c r="B10" s="21" t="s">
        <v>143</v>
      </c>
      <c r="C10" s="21" t="str">
        <f>IF(T10="TRUE",VLOOKUP(A10,'Stock Nodes'!$A$1:$D$63,4,FALSE),IF(U10="TRUE",VLOOKUP(A10,'CTT Nodes'!$A$1:$D$83,4,FALSE),VLOOKUP(A10,'ETT Nodes'!$A$1:$D$87,3,FALSE)))</f>
        <v>Advanced Docking</v>
      </c>
      <c r="D10" s="21" t="str">
        <f>"Node"&amp;TEXT(X10,"0")&amp;"_"&amp;A10</f>
        <v>Node7_advDocking</v>
      </c>
      <c r="E10" s="22" t="str">
        <f>IF(OR(V10="TRUE",B10&lt;&gt;C10),"#LOC_ETT_"&amp;A10&amp;"_description",IF(T10="TRUE",VLOOKUP(A10,'Stock Nodes'!$A$1:$C$63,2,FALSE),IF(U10="TRUE",VLOOKUP(A10,'CTT Nodes'!$A$1:$D$83,2,FALSE))))</f>
        <v>#LOC_ETT_advDocking_description</v>
      </c>
      <c r="F10" s="58">
        <v>375</v>
      </c>
      <c r="G10" s="21">
        <f t="array" ref="G10">INDEX(TNodeCols,MATCH(1,MMULT(--(TTechTree=A10),TRANSPOSE(COLUMN(TTechTree)^0)),0))</f>
        <v>-1719.3000000000011</v>
      </c>
      <c r="H10" s="21">
        <f t="array" ref="H10">INDEX(NodeRows,MATCH(1,MMULT(--(TechTree=A10),TRANSPOSE(COLUMN(TechTree)^0)),0))</f>
        <v>873</v>
      </c>
      <c r="I10" s="63" t="str">
        <f>TEXT(G10,"0") &amp; ", " &amp; TEXT(H10,"0") &amp;", -2"</f>
        <v>-1719, 873, -2</v>
      </c>
      <c r="J10" s="63">
        <f>IF(T10="TRUE",VLOOKUP(A10,'Stock Nodes'!$A$1:$C$63,3,FALSE),IF(U10="TRUE",VLOOKUP(A10,'CTT Nodes'!$A$1:$G$83,7,FALSE),VLOOKUP(A10,'ETT Nodes'!$A$1:$E$87,5,FALSE)))</f>
        <v>0</v>
      </c>
      <c r="K10" s="21" t="s">
        <v>144</v>
      </c>
      <c r="L10" s="63" t="s">
        <v>2068</v>
      </c>
      <c r="M10" s="63" t="s">
        <v>2069</v>
      </c>
      <c r="N10" s="63"/>
      <c r="O10" s="63"/>
      <c r="P10" s="63"/>
      <c r="Q10" s="6"/>
      <c r="R10" s="63"/>
      <c r="S10" s="63"/>
      <c r="T10" s="25" t="str">
        <f>IF(ISNA(VLOOKUP(A10,'Stock Nodes'!$A$1:$C$63,1,FALSE)),"FALSE","TRUE")</f>
        <v>FALSE</v>
      </c>
      <c r="U10" s="25" t="str">
        <f>IF(ISNA(VLOOKUP(A10,'CTT Nodes'!$A$1:$D$83,1,FALSE)),"FALSE","TRUE")</f>
        <v>FALSE</v>
      </c>
      <c r="V10" s="25" t="str">
        <f>IF(OR(T10="TRUE",U10="TRUE"),"FALSE","TRUE")</f>
        <v>TRUE</v>
      </c>
      <c r="W10" s="63">
        <v>8</v>
      </c>
      <c r="X10" s="59">
        <v>7</v>
      </c>
      <c r="Y10" s="18"/>
      <c r="Z10" s="20"/>
      <c r="AA10" s="20"/>
      <c r="AB10" s="23"/>
      <c r="AC10" s="20"/>
      <c r="AD10" s="20"/>
      <c r="AE10" s="20"/>
      <c r="AF10" s="20"/>
      <c r="AG10" s="20"/>
      <c r="AH10" s="20"/>
      <c r="AI10" s="20"/>
      <c r="AJ10" s="20"/>
      <c r="AK10" s="20"/>
      <c r="AL10" s="20"/>
      <c r="AM10" s="20"/>
      <c r="AN10" s="20"/>
      <c r="AO10" s="20"/>
      <c r="AP10" s="20"/>
      <c r="AQ10" s="20"/>
      <c r="AR10" s="20"/>
      <c r="AS10" s="20"/>
      <c r="AT10" s="20"/>
      <c r="AU10" s="20"/>
      <c r="AV10" s="20"/>
      <c r="AW10" s="20"/>
      <c r="AX10" s="20"/>
      <c r="AY10" s="20"/>
      <c r="AZ10" s="20"/>
      <c r="BA10" s="20"/>
      <c r="BB10" s="20"/>
      <c r="BC10" s="20"/>
      <c r="BD10" s="20"/>
      <c r="BE10" s="20"/>
      <c r="BF10" s="20"/>
      <c r="BG10" s="20"/>
      <c r="BH10" s="20"/>
    </row>
    <row r="11" spans="1:67" x14ac:dyDescent="0.25">
      <c r="A11" s="14" t="s">
        <v>142</v>
      </c>
      <c r="B11" s="21" t="s">
        <v>258</v>
      </c>
      <c r="C11" s="21" t="str">
        <f>IF(T11="TRUE",VLOOKUP(A11,'Stock Nodes'!$A$1:$D$63,4,FALSE),IF(U11="TRUE",VLOOKUP(A11,'CTT Nodes'!$A$1:$D$83,4,FALSE),VLOOKUP(A11,'ETT Nodes'!$A$1:$D$87,3,FALSE)))</f>
        <v>Orbital Assembly</v>
      </c>
      <c r="D11" s="21" t="str">
        <f>"Node"&amp;TEXT(X11,"0")&amp;"_"&amp;A11</f>
        <v>Node10_orbitalAssembly</v>
      </c>
      <c r="E11" s="22" t="str">
        <f>IF(OR(V11="TRUE",B11&lt;&gt;C11),"#LOC_ETT_"&amp;A11&amp;"_description",IF(T11="TRUE",VLOOKUP(A11,'Stock Nodes'!$A$1:$C$63,2,FALSE),IF(U11="TRUE",VLOOKUP(A11,'CTT Nodes'!$A$1:$D$83,2,FALSE))))</f>
        <v>#LOC_CTT_orbitalAssembly_description</v>
      </c>
      <c r="F11" s="58">
        <v>1000</v>
      </c>
      <c r="G11" s="21">
        <f t="array" ref="G11">INDEX(TNodeCols,MATCH(1,MMULT(--(TTechTree=A11),TRANSPOSE(COLUMN(TTechTree)^0)),0))</f>
        <v>-1406.1000000000004</v>
      </c>
      <c r="H11" s="21">
        <f t="array" ref="H11">INDEX(NodeRows,MATCH(1,MMULT(--(TechTree=A11),TRANSPOSE(COLUMN(TechTree)^0)),0))</f>
        <v>797</v>
      </c>
      <c r="I11" s="63" t="str">
        <f>TEXT(G11,"0") &amp; ", " &amp; TEXT(H11,"0") &amp;", -2"</f>
        <v>-1406, 797, -2</v>
      </c>
      <c r="J11" s="63" t="str">
        <f>IF(T11="TRUE",VLOOKUP(A11,'Stock Nodes'!$A$1:$C$63,3,FALSE),IF(U11="TRUE",VLOOKUP(A11,'CTT Nodes'!$A$1:$G$83,7,FALSE),VLOOKUP(A11,'ETT Nodes'!$A$1:$E$87,5,FALSE)))</f>
        <v>ETTR/UI/CTT/ctt_icon_orbitalAssembly</v>
      </c>
      <c r="K11" s="63" t="s">
        <v>188</v>
      </c>
      <c r="L11" s="63" t="s">
        <v>2070</v>
      </c>
      <c r="M11" s="63" t="s">
        <v>2067</v>
      </c>
      <c r="N11" s="6" t="s">
        <v>11</v>
      </c>
      <c r="O11" s="63" t="s">
        <v>2068</v>
      </c>
      <c r="P11" s="63" t="s">
        <v>2069</v>
      </c>
      <c r="Q11" s="6"/>
      <c r="R11" s="63"/>
      <c r="S11" s="63"/>
      <c r="T11" s="25" t="str">
        <f>IF(ISNA(VLOOKUP(A11,'Stock Nodes'!$A$1:$C$63,1,FALSE)),"FALSE","TRUE")</f>
        <v>FALSE</v>
      </c>
      <c r="U11" s="25" t="str">
        <f>IF(ISNA(VLOOKUP(A11,'CTT Nodes'!$A$1:$D$83,1,FALSE)),"FALSE","TRUE")</f>
        <v>TRUE</v>
      </c>
      <c r="V11" s="25" t="str">
        <f>IF(OR(T11="TRUE",U11="TRUE"),"FALSE","TRUE")</f>
        <v>FALSE</v>
      </c>
      <c r="W11" s="68">
        <v>9</v>
      </c>
      <c r="X11" s="59">
        <v>10</v>
      </c>
      <c r="Y11" s="18"/>
      <c r="Z11" s="20"/>
      <c r="AA11" s="20"/>
      <c r="AB11" s="23"/>
      <c r="AC11" s="20"/>
      <c r="AD11" s="20"/>
      <c r="AE11" s="20"/>
      <c r="AF11" s="20"/>
      <c r="AG11" s="20"/>
      <c r="AH11" s="20"/>
      <c r="AI11" s="20"/>
      <c r="AJ11" s="20"/>
      <c r="AK11" s="20"/>
      <c r="AL11" s="20"/>
      <c r="AM11" s="20"/>
      <c r="AN11" s="20"/>
      <c r="AO11" s="20"/>
      <c r="AP11" s="20"/>
      <c r="AQ11" s="20"/>
      <c r="AR11" s="20"/>
      <c r="AS11" s="20"/>
      <c r="AT11" s="20"/>
      <c r="AU11" s="20"/>
      <c r="AV11" s="20"/>
      <c r="AW11" s="20"/>
      <c r="AX11" s="20"/>
      <c r="AY11" s="20"/>
      <c r="AZ11" s="20"/>
      <c r="BA11" s="20"/>
      <c r="BB11" s="20"/>
      <c r="BC11" s="20"/>
      <c r="BD11" s="20"/>
      <c r="BE11" s="20"/>
      <c r="BF11" s="20"/>
      <c r="BG11" s="20"/>
      <c r="BH11" s="20"/>
    </row>
    <row r="12" spans="1:67" x14ac:dyDescent="0.25">
      <c r="A12" s="63" t="s">
        <v>524</v>
      </c>
      <c r="B12" s="21" t="s">
        <v>246</v>
      </c>
      <c r="C12" s="21" t="str">
        <f>IF(T12="TRUE",VLOOKUP(A12,'Stock Nodes'!$A$1:$D$63,4,FALSE),IF(U12="TRUE",VLOOKUP(A12,'CTT Nodes'!$A$1:$D$83,4,FALSE),VLOOKUP(A12,'ETT Nodes'!$A$1:$D$87,3,FALSE)))</f>
        <v>Small Launch Clamps</v>
      </c>
      <c r="D12" s="21" t="str">
        <f>"Node"&amp;TEXT(X12,"0")&amp;"_"&amp;A12</f>
        <v>Node2_smallLaunchClamps</v>
      </c>
      <c r="E12" s="22" t="str">
        <f>IF(OR(V12="TRUE",B12&lt;&gt;C12),"#LOC_ETT_"&amp;A12&amp;"_description",IF(T12="TRUE",VLOOKUP(A12,'Stock Nodes'!$A$1:$C$63,2,FALSE),IF(U12="TRUE",VLOOKUP(A12,'CTT Nodes'!$A$1:$D$83,2,FALSE))))</f>
        <v>#LOC_ETT_smallLaunchClamps_description</v>
      </c>
      <c r="F12" s="58">
        <v>8</v>
      </c>
      <c r="G12" s="21">
        <f t="array" ref="G12">INDEX(TNodeCols,MATCH(1,MMULT(--(TTechTree=A12),TRANSPOSE(COLUMN(TTechTree)^0)),0))</f>
        <v>-1797.6000000000013</v>
      </c>
      <c r="H12" s="21">
        <f t="array" ref="H12">INDEX(NodeRows,MATCH(1,MMULT(--(TechTree=A12),TRANSPOSE(COLUMN(TechTree)^0)),0))</f>
        <v>949</v>
      </c>
      <c r="I12" s="63" t="str">
        <f>TEXT(G12,"0") &amp; ", " &amp; TEXT(H12,"0") &amp;", -2"</f>
        <v>-1798, 949, -2</v>
      </c>
      <c r="J12" s="63">
        <f>IF(T12="TRUE",VLOOKUP(A12,'Stock Nodes'!$A$1:$C$63,3,FALSE),IF(U12="TRUE",VLOOKUP(A12,'CTT Nodes'!$A$1:$G$83,7,FALSE),VLOOKUP(A12,'ETT Nodes'!$A$1:$E$87,5,FALSE)))</f>
        <v>0</v>
      </c>
      <c r="K12" s="63" t="s">
        <v>81</v>
      </c>
      <c r="L12" s="63" t="s">
        <v>2070</v>
      </c>
      <c r="M12" s="63" t="s">
        <v>2069</v>
      </c>
      <c r="N12" s="6"/>
      <c r="O12" s="63"/>
      <c r="P12" s="63"/>
      <c r="Q12" s="6"/>
      <c r="R12" s="63"/>
      <c r="S12" s="63"/>
      <c r="T12" s="25" t="str">
        <f>IF(ISNA(VLOOKUP(A12,'Stock Nodes'!$A$1:$C$63,1,FALSE)),"FALSE","TRUE")</f>
        <v>FALSE</v>
      </c>
      <c r="U12" s="25" t="str">
        <f>IF(ISNA(VLOOKUP(A12,'CTT Nodes'!$A$1:$D$83,1,FALSE)),"FALSE","TRUE")</f>
        <v>FALSE</v>
      </c>
      <c r="V12" s="25" t="str">
        <f>IF(OR(T12="TRUE",U12="TRUE"),"FALSE","TRUE")</f>
        <v>TRUE</v>
      </c>
      <c r="W12" s="68">
        <v>10</v>
      </c>
      <c r="X12" s="59">
        <v>2</v>
      </c>
      <c r="Y12" s="18"/>
      <c r="Z12" s="20"/>
      <c r="AA12" s="20"/>
      <c r="AB12" s="23"/>
      <c r="AC12" s="20"/>
      <c r="AD12" s="20"/>
      <c r="AE12" s="20"/>
      <c r="AF12" s="20"/>
      <c r="AG12" s="20"/>
      <c r="AH12" s="20"/>
      <c r="AI12" s="20"/>
      <c r="AJ12" s="20"/>
      <c r="AK12" s="20"/>
      <c r="AL12" s="20"/>
      <c r="AM12" s="20"/>
      <c r="AN12" s="20"/>
      <c r="AO12" s="20"/>
      <c r="AP12" s="20"/>
      <c r="AQ12" s="20"/>
      <c r="AR12" s="20"/>
      <c r="AS12" s="20"/>
      <c r="AT12" s="20"/>
      <c r="AU12" s="20"/>
      <c r="AV12" s="20"/>
      <c r="AW12" s="20"/>
      <c r="AX12" s="20"/>
      <c r="AY12" s="20"/>
      <c r="AZ12" s="20"/>
      <c r="BA12" s="20"/>
      <c r="BB12" s="20"/>
      <c r="BC12" s="20"/>
      <c r="BD12" s="20"/>
      <c r="BE12" s="20"/>
      <c r="BF12" s="20"/>
      <c r="BG12" s="20"/>
      <c r="BH12" s="20"/>
    </row>
    <row r="13" spans="1:67" x14ac:dyDescent="0.25">
      <c r="A13" s="14" t="s">
        <v>525</v>
      </c>
      <c r="B13" s="21" t="s">
        <v>247</v>
      </c>
      <c r="C13" s="21" t="str">
        <f>IF(T13="TRUE",VLOOKUP(A13,'Stock Nodes'!$A$1:$D$63,4,FALSE),IF(U13="TRUE",VLOOKUP(A13,'CTT Nodes'!$A$1:$D$83,4,FALSE),VLOOKUP(A13,'ETT Nodes'!$A$1:$D$87,3,FALSE)))</f>
        <v>Large Launch Clamps</v>
      </c>
      <c r="D13" s="21" t="str">
        <f>"Node"&amp;TEXT(X13,"0")&amp;"_"&amp;A13</f>
        <v>Node3_largeLaunchClamps</v>
      </c>
      <c r="E13" s="22" t="str">
        <f>IF(OR(V13="TRUE",B13&lt;&gt;C13),"#LOC_ETT_"&amp;A13&amp;"_description",IF(T13="TRUE",VLOOKUP(A13,'Stock Nodes'!$A$1:$C$63,2,FALSE),IF(U13="TRUE",VLOOKUP(A13,'CTT Nodes'!$A$1:$D$83,2,FALSE))))</f>
        <v>#LOC_ETT_largeLaunchClamps_description</v>
      </c>
      <c r="F13" s="58">
        <v>25</v>
      </c>
      <c r="G13" s="21">
        <f t="array" ref="G13">INDEX(TNodeCols,MATCH(1,MMULT(--(TTechTree=A13),TRANSPOSE(COLUMN(TTechTree)^0)),0))</f>
        <v>-1719.3000000000011</v>
      </c>
      <c r="H13" s="21">
        <f t="array" ref="H13">INDEX(NodeRows,MATCH(1,MMULT(--(TechTree=A13),TRANSPOSE(COLUMN(TechTree)^0)),0))</f>
        <v>949</v>
      </c>
      <c r="I13" s="63" t="str">
        <f>TEXT(G13,"0") &amp; ", " &amp; TEXT(H13,"0") &amp;", -2"</f>
        <v>-1719, 949, -2</v>
      </c>
      <c r="J13" s="63">
        <f>IF(T13="TRUE",VLOOKUP(A13,'Stock Nodes'!$A$1:$C$63,3,FALSE),IF(U13="TRUE",VLOOKUP(A13,'CTT Nodes'!$A$1:$G$83,7,FALSE),VLOOKUP(A13,'ETT Nodes'!$A$1:$E$87,5,FALSE)))</f>
        <v>0</v>
      </c>
      <c r="K13" s="6" t="s">
        <v>524</v>
      </c>
      <c r="L13" s="63" t="s">
        <v>2068</v>
      </c>
      <c r="M13" s="63" t="s">
        <v>2069</v>
      </c>
      <c r="N13" s="6"/>
      <c r="O13" s="63"/>
      <c r="P13" s="63"/>
      <c r="Q13" s="6"/>
      <c r="R13" s="63"/>
      <c r="S13" s="63"/>
      <c r="T13" s="25" t="str">
        <f>IF(ISNA(VLOOKUP(A13,'Stock Nodes'!$A$1:$C$63,1,FALSE)),"FALSE","TRUE")</f>
        <v>FALSE</v>
      </c>
      <c r="U13" s="25" t="str">
        <f>IF(ISNA(VLOOKUP(A13,'CTT Nodes'!$A$1:$D$83,1,FALSE)),"FALSE","TRUE")</f>
        <v>FALSE</v>
      </c>
      <c r="V13" s="25" t="str">
        <f>IF(OR(T13="TRUE",U13="TRUE"),"FALSE","TRUE")</f>
        <v>TRUE</v>
      </c>
      <c r="W13" s="63">
        <v>11</v>
      </c>
      <c r="X13" s="59">
        <v>3</v>
      </c>
      <c r="Y13" s="18"/>
      <c r="Z13" s="20"/>
      <c r="AA13" s="20"/>
      <c r="AB13" s="20"/>
      <c r="AC13" s="20"/>
      <c r="AD13" s="20"/>
      <c r="AE13" s="20"/>
      <c r="AF13" s="20"/>
      <c r="AG13" s="20"/>
      <c r="AH13" s="20"/>
      <c r="AI13" s="20"/>
      <c r="AJ13" s="20"/>
      <c r="AK13" s="20"/>
      <c r="AL13" s="20"/>
      <c r="AM13" s="20"/>
      <c r="AN13" s="20"/>
      <c r="AO13" s="20"/>
      <c r="AP13" s="20"/>
      <c r="AQ13" s="20"/>
      <c r="AR13" s="20"/>
      <c r="AS13" s="20"/>
      <c r="AT13" s="20"/>
      <c r="AU13" s="20"/>
      <c r="AV13" s="20"/>
      <c r="AW13" s="20"/>
      <c r="AX13" s="20"/>
      <c r="AY13" s="20"/>
      <c r="AZ13" s="20"/>
      <c r="BA13" s="20"/>
      <c r="BB13" s="20"/>
      <c r="BC13" s="20"/>
      <c r="BD13" s="20"/>
      <c r="BE13" s="20"/>
      <c r="BF13" s="20"/>
      <c r="BG13" s="20"/>
      <c r="BH13" s="20"/>
    </row>
    <row r="14" spans="1:67" x14ac:dyDescent="0.25">
      <c r="A14" s="63" t="s">
        <v>512</v>
      </c>
      <c r="B14" s="21" t="s">
        <v>360</v>
      </c>
      <c r="C14" s="21" t="str">
        <f>IF(T14="TRUE",VLOOKUP(A14,'Stock Nodes'!$A$1:$D$63,4,FALSE),IF(U14="TRUE",VLOOKUP(A14,'CTT Nodes'!$A$1:$D$83,4,FALSE),VLOOKUP(A14,'ETT Nodes'!$A$1:$D$87,3,FALSE)))</f>
        <v>Space Station Technologies</v>
      </c>
      <c r="D14" s="21" t="str">
        <f>"Node"&amp;TEXT(X14,"0")&amp;"_"&amp;A14</f>
        <v>Node6_spaceStationTech</v>
      </c>
      <c r="E14" s="22" t="str">
        <f>IF(OR(V14="TRUE",B14&lt;&gt;C14),"#LOC_ETT_"&amp;A14&amp;"_description",IF(T14="TRUE",VLOOKUP(A14,'Stock Nodes'!$A$1:$C$63,2,FALSE),IF(U14="TRUE",VLOOKUP(A14,'CTT Nodes'!$A$1:$D$83,2,FALSE))))</f>
        <v>#LOC_ETT_spaceStationTech_description</v>
      </c>
      <c r="F14" s="58">
        <v>250</v>
      </c>
      <c r="G14" s="21">
        <f t="array" ref="G14">INDEX(TNodeCols,MATCH(1,MMULT(--(TTechTree=A14),TRANSPOSE(COLUMN(TTechTree)^0)),0))</f>
        <v>-1641.0000000000009</v>
      </c>
      <c r="H14" s="21">
        <f t="array" ref="H14">INDEX(NodeRows,MATCH(1,MMULT(--(TechTree=A14),TRANSPOSE(COLUMN(TechTree)^0)),0))</f>
        <v>873</v>
      </c>
      <c r="I14" s="63" t="str">
        <f>TEXT(G14,"0") &amp; ", " &amp; TEXT(H14,"0") &amp;", -2"</f>
        <v>-1641, 873, -2</v>
      </c>
      <c r="J14" s="63">
        <f>IF(T14="TRUE",VLOOKUP(A14,'Stock Nodes'!$A$1:$C$63,3,FALSE),IF(U14="TRUE",VLOOKUP(A14,'CTT Nodes'!$A$1:$G$83,7,FALSE),VLOOKUP(A14,'ETT Nodes'!$A$1:$E$87,5,FALSE)))</f>
        <v>0</v>
      </c>
      <c r="K14" s="6" t="s">
        <v>462</v>
      </c>
      <c r="L14" s="63" t="s">
        <v>2068</v>
      </c>
      <c r="M14" s="63" t="s">
        <v>2069</v>
      </c>
      <c r="N14" s="63"/>
      <c r="O14" s="63"/>
      <c r="P14" s="63"/>
      <c r="Q14" s="6"/>
      <c r="R14" s="63"/>
      <c r="S14" s="63"/>
      <c r="T14" s="25" t="str">
        <f>IF(ISNA(VLOOKUP(A14,'Stock Nodes'!$A$1:$C$63,1,FALSE)),"FALSE","TRUE")</f>
        <v>FALSE</v>
      </c>
      <c r="U14" s="25" t="str">
        <f>IF(ISNA(VLOOKUP(A14,'CTT Nodes'!$A$1:$D$83,1,FALSE)),"FALSE","TRUE")</f>
        <v>FALSE</v>
      </c>
      <c r="V14" s="25" t="str">
        <f>IF(OR(T14="TRUE",U14="TRUE"),"FALSE","TRUE")</f>
        <v>TRUE</v>
      </c>
      <c r="W14" s="68">
        <v>12</v>
      </c>
      <c r="X14" s="59">
        <v>6</v>
      </c>
      <c r="Y14" s="18"/>
      <c r="Z14" s="20"/>
      <c r="AA14" s="20"/>
      <c r="AB14" s="20"/>
      <c r="AC14" s="20"/>
      <c r="AD14" s="20"/>
      <c r="AE14" s="20"/>
      <c r="AF14" s="20"/>
      <c r="AG14" s="20"/>
      <c r="AH14" s="20"/>
      <c r="AI14" s="20"/>
      <c r="AJ14" s="20"/>
      <c r="AK14" s="20"/>
      <c r="AL14" s="20"/>
      <c r="AM14" s="20"/>
      <c r="AN14" s="20"/>
      <c r="AO14" s="20"/>
      <c r="AP14" s="20"/>
      <c r="AQ14" s="20"/>
      <c r="AR14" s="20"/>
      <c r="AS14" s="20"/>
      <c r="AT14" s="20"/>
      <c r="AU14" s="20"/>
      <c r="AV14" s="20"/>
      <c r="AW14" s="20"/>
      <c r="AX14" s="20"/>
      <c r="AY14" s="20"/>
      <c r="AZ14" s="20"/>
      <c r="BA14" s="20"/>
      <c r="BB14" s="20"/>
      <c r="BC14" s="20"/>
      <c r="BD14" s="20"/>
      <c r="BE14" s="20"/>
      <c r="BF14" s="20"/>
      <c r="BG14" s="20"/>
      <c r="BH14" s="20"/>
    </row>
    <row r="15" spans="1:67" x14ac:dyDescent="0.25">
      <c r="A15" s="14" t="s">
        <v>41</v>
      </c>
      <c r="B15" s="21" t="s">
        <v>363</v>
      </c>
      <c r="C15" s="21" t="str">
        <f>IF(T15="TRUE",VLOOKUP(A15,'Stock Nodes'!$A$1:$D$63,4,FALSE),IF(U15="TRUE",VLOOKUP(A15,'CTT Nodes'!$A$1:$D$83,4,FALSE),VLOOKUP(A15,'ETT Nodes'!$A$1:$D$87,3,FALSE)))</f>
        <v>Short Term Habitation</v>
      </c>
      <c r="D15" s="21" t="str">
        <f>"Node"&amp;TEXT(X15,"0")&amp;"_"&amp;A15</f>
        <v>Node7_shortTermHabitation</v>
      </c>
      <c r="E15" s="22" t="str">
        <f>IF(OR(V15="TRUE",B15&lt;&gt;C15),"#LOC_ETT_"&amp;A15&amp;"_description",IF(T15="TRUE",VLOOKUP(A15,'Stock Nodes'!$A$1:$C$63,2,FALSE),IF(U15="TRUE",VLOOKUP(A15,'CTT Nodes'!$A$1:$D$83,2,FALSE))))</f>
        <v>#LOC_ETT_shortTermHabitation_description</v>
      </c>
      <c r="F15" s="58">
        <v>375</v>
      </c>
      <c r="G15" s="21">
        <f t="array" ref="G15">INDEX(TNodeCols,MATCH(1,MMULT(--(TTechTree=A15),TRANSPOSE(COLUMN(TTechTree)^0)),0))</f>
        <v>-1562.7000000000007</v>
      </c>
      <c r="H15" s="21">
        <f t="array" ref="H15">INDEX(NodeRows,MATCH(1,MMULT(--(TechTree=A15),TRANSPOSE(COLUMN(TechTree)^0)),0))</f>
        <v>873</v>
      </c>
      <c r="I15" s="63" t="str">
        <f>TEXT(G15,"0") &amp; ", " &amp; TEXT(H15,"0") &amp;", -2"</f>
        <v>-1563, 873, -2</v>
      </c>
      <c r="J15" s="63" t="str">
        <f>IF(T15="TRUE",VLOOKUP(A15,'Stock Nodes'!$A$1:$C$63,3,FALSE),IF(U15="TRUE",VLOOKUP(A15,'CTT Nodes'!$A$1:$G$83,7,FALSE),VLOOKUP(A15,'ETT Nodes'!$A$1:$E$87,5,FALSE)))</f>
        <v>ETTR/UI/CTT/RDicon_evaTech</v>
      </c>
      <c r="K15" s="63" t="s">
        <v>512</v>
      </c>
      <c r="L15" s="63" t="s">
        <v>2068</v>
      </c>
      <c r="M15" s="63" t="s">
        <v>2069</v>
      </c>
      <c r="N15" s="63" t="s">
        <v>109</v>
      </c>
      <c r="O15" s="63" t="s">
        <v>2068</v>
      </c>
      <c r="P15" s="63" t="s">
        <v>2069</v>
      </c>
      <c r="Q15" s="6"/>
      <c r="R15" s="63"/>
      <c r="S15" s="63"/>
      <c r="T15" s="25" t="str">
        <f>IF(ISNA(VLOOKUP(A15,'Stock Nodes'!$A$1:$C$63,1,FALSE)),"FALSE","TRUE")</f>
        <v>FALSE</v>
      </c>
      <c r="U15" s="25" t="str">
        <f>IF(ISNA(VLOOKUP(A15,'CTT Nodes'!$A$1:$D$83,1,FALSE)),"FALSE","TRUE")</f>
        <v>TRUE</v>
      </c>
      <c r="V15" s="25" t="str">
        <f>IF(OR(T15="TRUE",U15="TRUE"),"FALSE","TRUE")</f>
        <v>FALSE</v>
      </c>
      <c r="W15" s="68">
        <v>13</v>
      </c>
      <c r="X15" s="59">
        <v>7</v>
      </c>
      <c r="Y15" s="18"/>
      <c r="Z15" s="20"/>
      <c r="AA15" s="20"/>
      <c r="AB15" s="20"/>
      <c r="AC15" s="20"/>
      <c r="AD15" s="20"/>
      <c r="AE15" s="20"/>
      <c r="AF15" s="20"/>
      <c r="AG15" s="20"/>
      <c r="AH15" s="20"/>
      <c r="AI15" s="20"/>
      <c r="AJ15" s="20"/>
      <c r="AK15" s="20"/>
      <c r="AL15" s="20"/>
      <c r="AM15" s="20"/>
      <c r="AN15" s="20"/>
      <c r="AO15" s="20"/>
      <c r="AP15" s="20"/>
      <c r="AQ15" s="20"/>
      <c r="AR15" s="20"/>
      <c r="AS15" s="20"/>
      <c r="AT15" s="20"/>
      <c r="AU15" s="20"/>
      <c r="AV15" s="20"/>
      <c r="AW15" s="20"/>
      <c r="AX15" s="20"/>
      <c r="AY15" s="20"/>
      <c r="AZ15" s="20"/>
      <c r="BA15" s="20"/>
      <c r="BB15" s="20"/>
      <c r="BC15" s="20"/>
      <c r="BD15" s="20"/>
      <c r="BE15" s="20"/>
      <c r="BF15" s="20"/>
      <c r="BG15" s="20"/>
      <c r="BH15" s="20"/>
    </row>
    <row r="16" spans="1:67" x14ac:dyDescent="0.25">
      <c r="A16" s="63" t="s">
        <v>11</v>
      </c>
      <c r="B16" s="63" t="s">
        <v>318</v>
      </c>
      <c r="C16" s="21" t="str">
        <f>IF(T16="TRUE",VLOOKUP(A16,'Stock Nodes'!$A$1:$D$63,4,FALSE),IF(U16="TRUE",VLOOKUP(A16,'CTT Nodes'!$A$1:$D$83,4,FALSE),VLOOKUP(A16,'ETT Nodes'!$A$1:$D$87,3,FALSE)))</f>
        <v>Long Term Habitation</v>
      </c>
      <c r="D16" s="21" t="str">
        <f>"Node"&amp;TEXT(X16,"0")&amp;"_"&amp;A16</f>
        <v>Node9_longTermHabitation</v>
      </c>
      <c r="E16" s="22" t="str">
        <f>IF(OR(V16="TRUE",B16&lt;&gt;C16),"#LOC_ETT_"&amp;A16&amp;"_description",IF(T16="TRUE",VLOOKUP(A16,'Stock Nodes'!$A$1:$C$63,2,FALSE),IF(U16="TRUE",VLOOKUP(A16,'CTT Nodes'!$A$1:$D$83,2,FALSE))))</f>
        <v>#LOC_ETT_longTermHabitation_description</v>
      </c>
      <c r="F16" s="58">
        <v>750</v>
      </c>
      <c r="G16" s="21">
        <f t="array" ref="G16">INDEX(TNodeCols,MATCH(1,MMULT(--(TTechTree=A16),TRANSPOSE(COLUMN(TTechTree)^0)),0))</f>
        <v>-1484.4000000000005</v>
      </c>
      <c r="H16" s="21">
        <f t="array" ref="H16">INDEX(NodeRows,MATCH(1,MMULT(--(TechTree=A16),TRANSPOSE(COLUMN(TechTree)^0)),0))</f>
        <v>873</v>
      </c>
      <c r="I16" s="63" t="str">
        <f>TEXT(G16,"0") &amp; ", " &amp; TEXT(H16,"0") &amp;", -2"</f>
        <v>-1484, 873, -2</v>
      </c>
      <c r="J16" s="63" t="str">
        <f>IF(T16="TRUE",VLOOKUP(A16,'Stock Nodes'!$A$1:$C$63,3,FALSE),IF(U16="TRUE",VLOOKUP(A16,'CTT Nodes'!$A$1:$G$83,7,FALSE),VLOOKUP(A16,'ETT Nodes'!$A$1:$E$87,5,FALSE)))</f>
        <v>ETTR/UI/CTT/RDicon_start</v>
      </c>
      <c r="K16" s="63" t="s">
        <v>41</v>
      </c>
      <c r="L16" s="63" t="s">
        <v>2068</v>
      </c>
      <c r="M16" s="63" t="s">
        <v>2069</v>
      </c>
      <c r="N16" s="63"/>
      <c r="O16" s="63"/>
      <c r="P16" s="63"/>
      <c r="Q16" s="63"/>
      <c r="R16" s="63"/>
      <c r="S16" s="63"/>
      <c r="T16" s="25" t="str">
        <f>IF(ISNA(VLOOKUP(A16,'Stock Nodes'!$A$1:$C$63,1,FALSE)),"FALSE","TRUE")</f>
        <v>FALSE</v>
      </c>
      <c r="U16" s="25" t="str">
        <f>IF(ISNA(VLOOKUP(A16,'CTT Nodes'!$A$1:$D$83,1,FALSE)),"FALSE","TRUE")</f>
        <v>TRUE</v>
      </c>
      <c r="V16" s="25" t="str">
        <f>IF(OR(T16="TRUE",U16="TRUE"),"FALSE","TRUE")</f>
        <v>FALSE</v>
      </c>
      <c r="W16" s="63">
        <v>14</v>
      </c>
      <c r="X16" s="59">
        <v>9</v>
      </c>
      <c r="Y16" s="20"/>
      <c r="Z16" s="20"/>
      <c r="AA16" s="20"/>
      <c r="AB16" s="20"/>
      <c r="AC16" s="20"/>
      <c r="AD16" s="20"/>
      <c r="AE16" s="20"/>
      <c r="AF16" s="20"/>
      <c r="AG16" s="20"/>
      <c r="AH16" s="20"/>
      <c r="AI16" s="20"/>
      <c r="AJ16" s="20"/>
      <c r="AK16" s="20"/>
      <c r="AL16" s="20"/>
      <c r="AM16" s="20"/>
      <c r="AN16" s="20"/>
      <c r="AO16" s="20"/>
      <c r="AP16" s="20"/>
      <c r="AQ16" s="20"/>
      <c r="AR16" s="20"/>
      <c r="AS16" s="20"/>
      <c r="AT16" s="20"/>
      <c r="AU16" s="20"/>
      <c r="AV16" s="20"/>
      <c r="AW16" s="20"/>
      <c r="AX16" s="20"/>
      <c r="AY16" s="20"/>
      <c r="AZ16" s="20"/>
      <c r="BA16" s="20"/>
      <c r="BB16" s="20"/>
      <c r="BC16" s="20"/>
      <c r="BD16" s="20"/>
      <c r="BE16" s="20"/>
      <c r="BF16" s="20"/>
      <c r="BG16" s="20"/>
      <c r="BH16" s="20"/>
    </row>
    <row r="17" spans="1:60" x14ac:dyDescent="0.25">
      <c r="A17" s="14" t="s">
        <v>42</v>
      </c>
      <c r="B17" s="21" t="s">
        <v>43</v>
      </c>
      <c r="C17" s="21" t="str">
        <f>IF(T17="TRUE",VLOOKUP(A17,'Stock Nodes'!$A$1:$D$63,4,FALSE),IF(U17="TRUE",VLOOKUP(A17,'CTT Nodes'!$A$1:$D$83,4,FALSE),VLOOKUP(A17,'ETT Nodes'!$A$1:$D$87,3,FALSE)))</f>
        <v>Orbital Megastructures</v>
      </c>
      <c r="D17" s="21" t="str">
        <f>"Node"&amp;TEXT(X17,"0")&amp;"_"&amp;A17</f>
        <v>Node13_orbitalMegastructures</v>
      </c>
      <c r="E17" s="22" t="str">
        <f>IF(OR(V17="TRUE",B17&lt;&gt;C17),"#LOC_ETT_"&amp;A17&amp;"_description",IF(T17="TRUE",VLOOKUP(A17,'Stock Nodes'!$A$1:$C$63,2,FALSE),IF(U17="TRUE",VLOOKUP(A17,'CTT Nodes'!$A$1:$D$83,2,FALSE))))</f>
        <v>#LOC_CTT_orbitalMegastructures_description</v>
      </c>
      <c r="F17" s="58">
        <v>2250</v>
      </c>
      <c r="G17" s="21">
        <f t="array" ref="G17">INDEX(TNodeCols,MATCH(1,MMULT(--(TTechTree=A17),TRANSPOSE(COLUMN(TTechTree)^0)),0))</f>
        <v>-1406.1000000000004</v>
      </c>
      <c r="H17" s="21">
        <f t="array" ref="H17">INDEX(NodeRows,MATCH(1,MMULT(--(TechTree=A17),TRANSPOSE(COLUMN(TechTree)^0)),0))</f>
        <v>721</v>
      </c>
      <c r="I17" s="63" t="str">
        <f>TEXT(G17,"0") &amp; ", " &amp; TEXT(H17,"0") &amp;", -2"</f>
        <v>-1406, 721, -2</v>
      </c>
      <c r="J17" s="63" t="str">
        <f>IF(T17="TRUE",VLOOKUP(A17,'Stock Nodes'!$A$1:$C$63,3,FALSE),IF(U17="TRUE",VLOOKUP(A17,'CTT Nodes'!$A$1:$G$83,7,FALSE),VLOOKUP(A17,'ETT Nodes'!$A$1:$E$87,5,FALSE)))</f>
        <v>ETTR/UI/CTT/ctt_icon_orbitalMegastructures</v>
      </c>
      <c r="K17" s="6" t="s">
        <v>142</v>
      </c>
      <c r="L17" s="63" t="s">
        <v>2070</v>
      </c>
      <c r="M17" s="63" t="s">
        <v>2067</v>
      </c>
      <c r="N17" s="6"/>
      <c r="O17" s="63"/>
      <c r="P17" s="63"/>
      <c r="Q17" s="6"/>
      <c r="R17" s="63"/>
      <c r="S17" s="63"/>
      <c r="T17" s="25" t="str">
        <f>IF(ISNA(VLOOKUP(A17,'Stock Nodes'!$A$1:$C$63,1,FALSE)),"FALSE","TRUE")</f>
        <v>FALSE</v>
      </c>
      <c r="U17" s="25" t="str">
        <f>IF(ISNA(VLOOKUP(A17,'CTT Nodes'!$A$1:$D$83,1,FALSE)),"FALSE","TRUE")</f>
        <v>TRUE</v>
      </c>
      <c r="V17" s="25" t="str">
        <f>IF(OR(T17="TRUE",U17="TRUE"),"FALSE","TRUE")</f>
        <v>FALSE</v>
      </c>
      <c r="W17" s="68">
        <v>15</v>
      </c>
      <c r="X17" s="59">
        <v>13</v>
      </c>
      <c r="Y17" s="20"/>
      <c r="Z17" s="20"/>
      <c r="AA17" s="20"/>
      <c r="AB17" s="20"/>
      <c r="AC17" s="20"/>
      <c r="AD17" s="20"/>
      <c r="AE17" s="20"/>
      <c r="AF17" s="20"/>
      <c r="AG17" s="20"/>
      <c r="AH17" s="20"/>
      <c r="AI17" s="20"/>
      <c r="AJ17" s="20"/>
      <c r="AK17" s="20"/>
      <c r="AL17" s="20"/>
      <c r="AM17" s="20"/>
      <c r="AN17" s="20"/>
      <c r="AO17" s="20"/>
      <c r="AP17" s="20"/>
      <c r="AQ17" s="20"/>
      <c r="AR17" s="20"/>
      <c r="AS17" s="20"/>
      <c r="AT17" s="20"/>
      <c r="AU17" s="20"/>
      <c r="AV17" s="20"/>
      <c r="AW17" s="20"/>
      <c r="AX17" s="20"/>
      <c r="AY17" s="20"/>
      <c r="AZ17" s="20"/>
      <c r="BA17" s="20"/>
      <c r="BB17" s="20"/>
      <c r="BC17" s="20"/>
      <c r="BD17" s="20"/>
      <c r="BE17" s="20"/>
      <c r="BF17" s="20"/>
      <c r="BG17" s="20"/>
      <c r="BH17" s="20"/>
    </row>
    <row r="18" spans="1:60" x14ac:dyDescent="0.25">
      <c r="A18" s="21" t="s">
        <v>523</v>
      </c>
      <c r="B18" s="21" t="s">
        <v>359</v>
      </c>
      <c r="C18" s="21" t="str">
        <f>IF(T18="TRUE",VLOOKUP(A18,'Stock Nodes'!$A$1:$D$63,4,FALSE),IF(U18="TRUE",VLOOKUP(A18,'CTT Nodes'!$A$1:$D$83,4,FALSE),VLOOKUP(A18,'ETT Nodes'!$A$1:$D$87,3,FALSE)))</f>
        <v>Small Landing Legs</v>
      </c>
      <c r="D18" s="21" t="str">
        <f>"Node"&amp;TEXT(X18,"0")&amp;"_"&amp;A18</f>
        <v>Node3_landingLegs</v>
      </c>
      <c r="E18" s="22" t="str">
        <f>IF(OR(V18="TRUE",B18&lt;&gt;C18),"#LOC_ETT_"&amp;A18&amp;"_description",IF(T18="TRUE",VLOOKUP(A18,'Stock Nodes'!$A$1:$C$63,2,FALSE),IF(U18="TRUE",VLOOKUP(A18,'CTT Nodes'!$A$1:$D$83,2,FALSE))))</f>
        <v>#LOC_ETT_landingLegs_description</v>
      </c>
      <c r="F18" s="58">
        <v>35</v>
      </c>
      <c r="G18" s="21">
        <f t="array" ref="G18">INDEX(TNodeCols,MATCH(1,MMULT(--(TTechTree=A18),TRANSPOSE(COLUMN(TTechTree)^0)),0))</f>
        <v>-1875.9000000000015</v>
      </c>
      <c r="H18" s="21">
        <f t="array" ref="H18">INDEX(NodeRows,MATCH(1,MMULT(--(TechTree=A18),TRANSPOSE(COLUMN(TechTree)^0)),0))</f>
        <v>1443</v>
      </c>
      <c r="I18" s="63" t="str">
        <f>TEXT(G18,"0") &amp; ", " &amp; TEXT(H18,"0") &amp;", -2"</f>
        <v>-1876, 1443, -2</v>
      </c>
      <c r="J18" s="63">
        <f>IF(T18="TRUE",VLOOKUP(A18,'Stock Nodes'!$A$1:$C$63,3,FALSE),IF(U18="TRUE",VLOOKUP(A18,'CTT Nodes'!$A$1:$G$83,7,FALSE),VLOOKUP(A18,'ETT Nodes'!$A$1:$E$87,5,FALSE)))</f>
        <v>0</v>
      </c>
      <c r="K18" s="6"/>
      <c r="L18" s="63"/>
      <c r="M18" s="63"/>
      <c r="N18" s="63"/>
      <c r="O18" s="63"/>
      <c r="P18" s="63"/>
      <c r="Q18" s="6"/>
      <c r="R18" s="63"/>
      <c r="S18" s="63"/>
      <c r="T18" s="25" t="str">
        <f>IF(ISNA(VLOOKUP(A18,'Stock Nodes'!$A$1:$C$63,1,FALSE)),"FALSE","TRUE")</f>
        <v>FALSE</v>
      </c>
      <c r="U18" s="25" t="str">
        <f>IF(ISNA(VLOOKUP(A18,'CTT Nodes'!$A$1:$D$83,1,FALSE)),"FALSE","TRUE")</f>
        <v>FALSE</v>
      </c>
      <c r="V18" s="25" t="str">
        <f>IF(OR(T18="TRUE",U18="TRUE"),"FALSE","TRUE")</f>
        <v>TRUE</v>
      </c>
      <c r="W18" s="68">
        <v>16</v>
      </c>
      <c r="X18" s="59">
        <v>3.33</v>
      </c>
      <c r="Y18" s="20"/>
      <c r="Z18" s="20"/>
      <c r="AA18" s="20"/>
      <c r="AB18" s="20"/>
      <c r="AC18" s="20"/>
      <c r="AD18" s="20"/>
      <c r="AE18" s="20"/>
      <c r="AF18" s="20"/>
      <c r="AG18" s="20"/>
      <c r="AH18" s="20"/>
      <c r="AI18" s="20"/>
      <c r="AJ18" s="20"/>
      <c r="AK18" s="20"/>
      <c r="AL18" s="20"/>
      <c r="AM18" s="20"/>
      <c r="AN18" s="20"/>
      <c r="AO18" s="20"/>
      <c r="AP18" s="20"/>
      <c r="AQ18" s="20"/>
      <c r="AR18" s="20"/>
      <c r="AS18" s="20"/>
      <c r="AT18" s="20"/>
      <c r="AU18" s="20"/>
      <c r="AV18" s="20"/>
      <c r="AW18" s="20"/>
      <c r="AX18" s="20"/>
      <c r="AY18" s="20"/>
      <c r="AZ18" s="20"/>
      <c r="BA18" s="20"/>
      <c r="BB18" s="20"/>
      <c r="BC18" s="20"/>
      <c r="BD18" s="20"/>
      <c r="BE18" s="20"/>
      <c r="BF18" s="20"/>
      <c r="BG18" s="20"/>
      <c r="BH18" s="20"/>
    </row>
    <row r="19" spans="1:60" x14ac:dyDescent="0.25">
      <c r="A19" s="14" t="s">
        <v>521</v>
      </c>
      <c r="B19" s="21" t="s">
        <v>522</v>
      </c>
      <c r="C19" s="21" t="str">
        <f>IF(T19="TRUE",VLOOKUP(A19,'Stock Nodes'!$A$1:$D$63,4,FALSE),IF(U19="TRUE",VLOOKUP(A19,'CTT Nodes'!$A$1:$D$83,4,FALSE),VLOOKUP(A19,'ETT Nodes'!$A$1:$D$87,3,FALSE)))</f>
        <v>Advanced Landing Legs</v>
      </c>
      <c r="D19" s="21" t="str">
        <f>"Node"&amp;TEXT(X19,"0")&amp;"_"&amp;A19</f>
        <v>Node5_advLandingLegs</v>
      </c>
      <c r="E19" s="22" t="str">
        <f>IF(OR(V19="TRUE",B19&lt;&gt;C19),"#LOC_ETT_"&amp;A19&amp;"_description",IF(T19="TRUE",VLOOKUP(A19,'Stock Nodes'!$A$1:$C$63,2,FALSE),IF(U19="TRUE",VLOOKUP(A19,'CTT Nodes'!$A$1:$D$83,2,FALSE))))</f>
        <v>#LOC_ETT_advLandingLegs_description</v>
      </c>
      <c r="F19" s="58">
        <v>95</v>
      </c>
      <c r="G19" s="21">
        <f t="array" ref="G19">INDEX(TNodeCols,MATCH(1,MMULT(--(TTechTree=A19),TRANSPOSE(COLUMN(TTechTree)^0)),0))</f>
        <v>-1797.6000000000013</v>
      </c>
      <c r="H19" s="21">
        <f t="array" ref="H19">INDEX(NodeRows,MATCH(1,MMULT(--(TechTree=A19),TRANSPOSE(COLUMN(TechTree)^0)),0))</f>
        <v>1443</v>
      </c>
      <c r="I19" s="63" t="str">
        <f>TEXT(G19,"0") &amp; ", " &amp; TEXT(H19,"0") &amp;", -2"</f>
        <v>-1798, 1443, -2</v>
      </c>
      <c r="J19" s="63">
        <f>IF(T19="TRUE",VLOOKUP(A19,'Stock Nodes'!$A$1:$C$63,3,FALSE),IF(U19="TRUE",VLOOKUP(A19,'CTT Nodes'!$A$1:$G$83,7,FALSE),VLOOKUP(A19,'ETT Nodes'!$A$1:$E$87,5,FALSE)))</f>
        <v>0</v>
      </c>
      <c r="K19" s="63"/>
      <c r="L19" s="63"/>
      <c r="M19" s="63"/>
      <c r="N19" s="63"/>
      <c r="O19" s="63"/>
      <c r="P19" s="63"/>
      <c r="Q19" s="6"/>
      <c r="R19" s="63"/>
      <c r="S19" s="63"/>
      <c r="T19" s="25" t="str">
        <f>IF(ISNA(VLOOKUP(A19,'Stock Nodes'!$A$1:$C$63,1,FALSE)),"FALSE","TRUE")</f>
        <v>FALSE</v>
      </c>
      <c r="U19" s="25" t="str">
        <f>IF(ISNA(VLOOKUP(A19,'CTT Nodes'!$A$1:$D$83,1,FALSE)),"FALSE","TRUE")</f>
        <v>FALSE</v>
      </c>
      <c r="V19" s="25" t="str">
        <f>IF(OR(T19="TRUE",U19="TRUE"),"FALSE","TRUE")</f>
        <v>TRUE</v>
      </c>
      <c r="W19" s="63">
        <v>17</v>
      </c>
      <c r="X19" s="59">
        <v>4.67</v>
      </c>
      <c r="Y19" s="20"/>
      <c r="Z19" s="20"/>
      <c r="AA19" s="20"/>
      <c r="AB19" s="20"/>
      <c r="AC19" s="20"/>
      <c r="AD19" s="20"/>
      <c r="AE19" s="20"/>
      <c r="AF19" s="20"/>
      <c r="AG19" s="20"/>
      <c r="AH19" s="20"/>
      <c r="AI19" s="20"/>
      <c r="AJ19" s="20"/>
      <c r="AK19" s="20"/>
      <c r="AL19" s="20"/>
      <c r="AM19" s="20"/>
      <c r="AN19" s="20"/>
      <c r="AO19" s="20"/>
      <c r="AP19" s="20"/>
      <c r="AQ19" s="20"/>
      <c r="AR19" s="20"/>
      <c r="AS19" s="20"/>
      <c r="AT19" s="20"/>
      <c r="AU19" s="20"/>
      <c r="AV19" s="20"/>
      <c r="AW19" s="20"/>
      <c r="AX19" s="20"/>
      <c r="AY19" s="20"/>
      <c r="AZ19" s="20"/>
      <c r="BA19" s="20"/>
      <c r="BB19" s="20"/>
      <c r="BC19" s="20"/>
      <c r="BD19" s="20"/>
      <c r="BE19" s="20"/>
      <c r="BF19" s="20"/>
      <c r="BG19" s="20"/>
      <c r="BH19" s="20"/>
    </row>
    <row r="20" spans="1:60" x14ac:dyDescent="0.25">
      <c r="A20" s="14" t="s">
        <v>542</v>
      </c>
      <c r="B20" s="21" t="s">
        <v>1345</v>
      </c>
      <c r="C20" s="21" t="str">
        <f>IF(T20="TRUE",VLOOKUP(A20,'Stock Nodes'!$A$1:$D$63,4,FALSE),IF(U20="TRUE",VLOOKUP(A20,'CTT Nodes'!$A$1:$D$83,4,FALSE),VLOOKUP(A20,'ETT Nodes'!$A$1:$D$87,3,FALSE)))</f>
        <v>Large Landing Legs</v>
      </c>
      <c r="D20" s="21" t="str">
        <f>"Node"&amp;TEXT(X20,"0")&amp;"_"&amp;A20</f>
        <v>Node6_largeLandingLegs</v>
      </c>
      <c r="E20" s="22" t="str">
        <f>IF(OR(V20="TRUE",B20&lt;&gt;C20),"#LOC_ETT_"&amp;A20&amp;"_description",IF(T20="TRUE",VLOOKUP(A20,'Stock Nodes'!$A$1:$C$63,2,FALSE),IF(U20="TRUE",VLOOKUP(A20,'CTT Nodes'!$A$1:$D$83,2,FALSE))))</f>
        <v>#LOC_ETT_largeLandingLegs_description</v>
      </c>
      <c r="F20" s="58">
        <v>250</v>
      </c>
      <c r="G20" s="21">
        <f t="array" ref="G20">INDEX(TNodeCols,MATCH(1,MMULT(--(TTechTree=A20),TRANSPOSE(COLUMN(TTechTree)^0)),0))</f>
        <v>-1719.3000000000011</v>
      </c>
      <c r="H20" s="21">
        <f t="array" ref="H20">INDEX(NodeRows,MATCH(1,MMULT(--(TechTree=A20),TRANSPOSE(COLUMN(TechTree)^0)),0))</f>
        <v>1443</v>
      </c>
      <c r="I20" s="63" t="str">
        <f>TEXT(G20,"0") &amp; ", " &amp; TEXT(H20,"0") &amp;", -2"</f>
        <v>-1719, 1443, -2</v>
      </c>
      <c r="J20" s="63">
        <f>IF(T20="TRUE",VLOOKUP(A20,'Stock Nodes'!$A$1:$C$63,3,FALSE),IF(U20="TRUE",VLOOKUP(A20,'CTT Nodes'!$A$1:$G$83,7,FALSE),VLOOKUP(A20,'ETT Nodes'!$A$1:$E$87,5,FALSE)))</f>
        <v>0</v>
      </c>
      <c r="K20" s="6"/>
      <c r="L20" s="63"/>
      <c r="M20" s="63"/>
      <c r="N20" s="6"/>
      <c r="O20" s="63"/>
      <c r="P20" s="63"/>
      <c r="Q20" s="6"/>
      <c r="R20" s="63"/>
      <c r="S20" s="63"/>
      <c r="T20" s="25" t="str">
        <f>IF(ISNA(VLOOKUP(A20,'Stock Nodes'!$A$1:$C$63,1,FALSE)),"FALSE","TRUE")</f>
        <v>FALSE</v>
      </c>
      <c r="U20" s="25" t="str">
        <f>IF(ISNA(VLOOKUP(A20,'CTT Nodes'!$A$1:$D$83,1,FALSE)),"FALSE","TRUE")</f>
        <v>FALSE</v>
      </c>
      <c r="V20" s="25" t="str">
        <f>IF(OR(T20="TRUE",U20="TRUE"),"FALSE","TRUE")</f>
        <v>TRUE</v>
      </c>
      <c r="W20" s="68">
        <v>18</v>
      </c>
      <c r="X20" s="59">
        <v>6</v>
      </c>
      <c r="Y20" s="20"/>
      <c r="Z20" s="20"/>
      <c r="AA20" s="20"/>
      <c r="AB20" s="20"/>
      <c r="AC20" s="20"/>
      <c r="AD20" s="20"/>
      <c r="AE20" s="20"/>
      <c r="AF20" s="20"/>
      <c r="AG20" s="20"/>
      <c r="AH20" s="20"/>
      <c r="AI20" s="20"/>
      <c r="AJ20" s="20"/>
      <c r="AK20" s="20"/>
      <c r="AL20" s="20"/>
      <c r="AM20" s="20"/>
      <c r="AN20" s="20"/>
      <c r="AO20" s="20"/>
      <c r="AP20" s="20"/>
      <c r="AQ20" s="20"/>
      <c r="AR20" s="20"/>
      <c r="AS20" s="20"/>
      <c r="AT20" s="20"/>
      <c r="AU20" s="20"/>
      <c r="AV20" s="20"/>
      <c r="AW20" s="20"/>
      <c r="AX20" s="20"/>
      <c r="AY20" s="20"/>
      <c r="AZ20" s="20"/>
      <c r="BA20" s="20"/>
      <c r="BB20" s="20"/>
      <c r="BC20" s="20"/>
      <c r="BD20" s="20"/>
      <c r="BE20" s="20"/>
      <c r="BF20" s="20"/>
      <c r="BG20" s="20"/>
      <c r="BH20" s="20"/>
    </row>
    <row r="21" spans="1:60" x14ac:dyDescent="0.25">
      <c r="A21" s="63" t="s">
        <v>10</v>
      </c>
      <c r="B21" s="21" t="s">
        <v>534</v>
      </c>
      <c r="C21" s="21" t="str">
        <f>IF(T21="TRUE",VLOOKUP(A21,'Stock Nodes'!$A$1:$D$63,4,FALSE),IF(U21="TRUE",VLOOKUP(A21,'CTT Nodes'!$A$1:$D$83,4,FALSE),VLOOKUP(A21,'ETT Nodes'!$A$1:$D$87,3,FALSE)))</f>
        <v>Off-World Robotics</v>
      </c>
      <c r="D21" s="21" t="str">
        <f>"Node"&amp;TEXT(X21,"0")&amp;"_"&amp;A21</f>
        <v>Node15_offworldManufacturing</v>
      </c>
      <c r="E21" s="22" t="str">
        <f>IF(OR(V21="TRUE",B21&lt;&gt;C21),"#LOC_ETT_"&amp;A21&amp;"_description",IF(T21="TRUE",VLOOKUP(A21,'Stock Nodes'!$A$1:$C$63,2,FALSE),IF(U21="TRUE",VLOOKUP(A21,'CTT Nodes'!$A$1:$D$83,2,FALSE))))</f>
        <v>#LOC_ETT_offworldManufacturing_description</v>
      </c>
      <c r="F21" s="58">
        <v>3500</v>
      </c>
      <c r="G21" s="21">
        <f t="array" ref="G21">INDEX(TNodeCols,MATCH(1,MMULT(--(TTechTree=A21),TRANSPOSE(COLUMN(TTechTree)^0)),0))</f>
        <v>-1406.1000000000004</v>
      </c>
      <c r="H21" s="21">
        <f t="array" ref="H21">INDEX(NodeRows,MATCH(1,MMULT(--(TechTree=A21),TRANSPOSE(COLUMN(TechTree)^0)),0))</f>
        <v>645</v>
      </c>
      <c r="I21" s="63" t="str">
        <f>TEXT(G21,"0") &amp; ", " &amp; TEXT(H21,"0") &amp;", -2"</f>
        <v>-1406, 645, -2</v>
      </c>
      <c r="J21" s="63" t="str">
        <f>IF(T21="TRUE",VLOOKUP(A21,'Stock Nodes'!$A$1:$C$63,3,FALSE),IF(U21="TRUE",VLOOKUP(A21,'CTT Nodes'!$A$1:$G$83,7,FALSE),VLOOKUP(A21,'ETT Nodes'!$A$1:$E$87,5,FALSE)))</f>
        <v>ETTR/UI/CTT/RDicon_robotics</v>
      </c>
      <c r="K21" s="15" t="s">
        <v>42</v>
      </c>
      <c r="L21" s="63" t="s">
        <v>2070</v>
      </c>
      <c r="M21" s="63" t="s">
        <v>2067</v>
      </c>
      <c r="N21" s="21"/>
      <c r="O21" s="63"/>
      <c r="P21" s="63"/>
      <c r="Q21" s="15"/>
      <c r="R21" s="63"/>
      <c r="S21" s="63"/>
      <c r="T21" s="25" t="str">
        <f>IF(ISNA(VLOOKUP(A21,'Stock Nodes'!$A$1:$C$63,1,FALSE)),"FALSE","TRUE")</f>
        <v>FALSE</v>
      </c>
      <c r="U21" s="25" t="str">
        <f>IF(ISNA(VLOOKUP(A21,'CTT Nodes'!$A$1:$D$83,1,FALSE)),"FALSE","TRUE")</f>
        <v>TRUE</v>
      </c>
      <c r="V21" s="25" t="str">
        <f>IF(OR(T21="TRUE",U21="TRUE"),"FALSE","TRUE")</f>
        <v>FALSE</v>
      </c>
      <c r="W21" s="68">
        <v>19</v>
      </c>
      <c r="X21" s="59">
        <v>15</v>
      </c>
      <c r="Y21" s="20"/>
      <c r="Z21" s="20"/>
      <c r="AA21" s="20"/>
      <c r="AB21" s="20"/>
      <c r="AC21" s="20"/>
      <c r="AD21" s="20"/>
      <c r="AE21" s="20"/>
      <c r="AF21" s="20"/>
      <c r="AG21" s="20"/>
      <c r="AH21" s="20"/>
      <c r="AI21" s="20"/>
      <c r="AJ21" s="20"/>
      <c r="AK21" s="20"/>
      <c r="AL21" s="20"/>
      <c r="AM21" s="20"/>
      <c r="AN21" s="20"/>
      <c r="AO21" s="20"/>
      <c r="AP21" s="20"/>
      <c r="AQ21" s="20"/>
      <c r="AR21" s="20"/>
      <c r="AS21" s="20"/>
      <c r="AT21" s="20"/>
      <c r="AU21" s="20"/>
      <c r="AV21" s="20"/>
      <c r="AW21" s="20"/>
      <c r="AX21" s="20"/>
      <c r="AY21" s="20"/>
      <c r="AZ21" s="20"/>
      <c r="BA21" s="20"/>
      <c r="BB21" s="20"/>
      <c r="BC21" s="20"/>
      <c r="BD21" s="20"/>
      <c r="BE21" s="20"/>
      <c r="BF21" s="20"/>
      <c r="BG21" s="20"/>
      <c r="BH21" s="20"/>
    </row>
    <row r="22" spans="1:60" x14ac:dyDescent="0.25">
      <c r="A22" s="21" t="s">
        <v>532</v>
      </c>
      <c r="B22" s="21" t="s">
        <v>531</v>
      </c>
      <c r="C22" s="21" t="str">
        <f>IF(T22="TRUE",VLOOKUP(A22,'Stock Nodes'!$A$1:$D$63,4,FALSE),IF(U22="TRUE",VLOOKUP(A22,'CTT Nodes'!$A$1:$D$83,4,FALSE),VLOOKUP(A22,'ETT Nodes'!$A$1:$D$87,3,FALSE)))</f>
        <v>Off-world Launchsites</v>
      </c>
      <c r="D22" s="21" t="str">
        <f>"Node"&amp;TEXT(X22,"0")&amp;"_"&amp;A22</f>
        <v>Node18_offworldLaunchsites</v>
      </c>
      <c r="E22" s="22" t="str">
        <f>IF(OR(V22="TRUE",B22&lt;&gt;C22),"#LOC_ETT_"&amp;A22&amp;"_description",IF(T22="TRUE",VLOOKUP(A22,'Stock Nodes'!$A$1:$C$63,2,FALSE),IF(U22="TRUE",VLOOKUP(A22,'CTT Nodes'!$A$1:$D$83,2,FALSE))))</f>
        <v>#LOC_ETT_offworldLaunchsites_description</v>
      </c>
      <c r="F22" s="58">
        <v>6000</v>
      </c>
      <c r="G22" s="21">
        <f t="array" ref="G22">INDEX(TNodeCols,MATCH(1,MMULT(--(TTechTree=A22),TRANSPOSE(COLUMN(TTechTree)^0)),0))</f>
        <v>-1171.1999999999998</v>
      </c>
      <c r="H22" s="21">
        <f t="array" ref="H22">INDEX(NodeRows,MATCH(1,MMULT(--(TechTree=A22),TRANSPOSE(COLUMN(TechTree)^0)),0))</f>
        <v>1481</v>
      </c>
      <c r="I22" s="63" t="str">
        <f>TEXT(G22,"0") &amp; ", " &amp; TEXT(H22,"0") &amp;", -2"</f>
        <v>-1171, 1481, -2</v>
      </c>
      <c r="J22" s="63">
        <f>IF(T22="TRUE",VLOOKUP(A22,'Stock Nodes'!$A$1:$C$63,3,FALSE),IF(U22="TRUE",VLOOKUP(A22,'CTT Nodes'!$A$1:$G$83,7,FALSE),VLOOKUP(A22,'ETT Nodes'!$A$1:$E$87,5,FALSE)))</f>
        <v>0</v>
      </c>
      <c r="K22" s="21"/>
      <c r="L22" s="63"/>
      <c r="M22" s="63"/>
      <c r="N22" s="63"/>
      <c r="O22" s="63"/>
      <c r="P22" s="63"/>
      <c r="Q22" s="21"/>
      <c r="R22" s="63"/>
      <c r="S22" s="63"/>
      <c r="T22" s="25" t="str">
        <f>IF(ISNA(VLOOKUP(A22,'Stock Nodes'!$A$1:$C$63,1,FALSE)),"FALSE","TRUE")</f>
        <v>FALSE</v>
      </c>
      <c r="U22" s="25" t="str">
        <f>IF(ISNA(VLOOKUP(A22,'CTT Nodes'!$A$1:$D$83,1,FALSE)),"FALSE","TRUE")</f>
        <v>FALSE</v>
      </c>
      <c r="V22" s="25" t="str">
        <f>IF(OR(T22="TRUE",U22="TRUE"),"FALSE","TRUE")</f>
        <v>TRUE</v>
      </c>
      <c r="W22" s="63">
        <v>20</v>
      </c>
      <c r="X22" s="59">
        <v>18</v>
      </c>
      <c r="Y22" s="20"/>
      <c r="Z22" s="20"/>
      <c r="AA22" s="20"/>
      <c r="AB22" s="20"/>
      <c r="AC22" s="20"/>
      <c r="AD22" s="20"/>
      <c r="AE22" s="20"/>
      <c r="AF22" s="20"/>
      <c r="AG22" s="20"/>
      <c r="AH22" s="20"/>
      <c r="AI22" s="20"/>
      <c r="AJ22" s="20"/>
      <c r="AK22" s="20"/>
      <c r="AL22" s="20"/>
      <c r="AM22" s="20"/>
      <c r="AN22" s="20"/>
      <c r="AO22" s="20"/>
      <c r="AP22" s="20"/>
      <c r="AQ22" s="20"/>
      <c r="AR22" s="20"/>
      <c r="AS22" s="20"/>
      <c r="AT22" s="20"/>
      <c r="AU22" s="20"/>
      <c r="AV22" s="20"/>
      <c r="AW22" s="20"/>
      <c r="AX22" s="20"/>
      <c r="AY22" s="20"/>
      <c r="AZ22" s="20"/>
      <c r="BA22" s="20"/>
      <c r="BB22" s="20"/>
      <c r="BC22" s="20"/>
      <c r="BD22" s="20"/>
      <c r="BE22" s="20"/>
      <c r="BF22" s="20"/>
      <c r="BG22" s="20"/>
      <c r="BH22" s="20"/>
    </row>
    <row r="23" spans="1:60" x14ac:dyDescent="0.25">
      <c r="A23" s="14" t="s">
        <v>538</v>
      </c>
      <c r="B23" s="21" t="s">
        <v>537</v>
      </c>
      <c r="C23" s="21" t="str">
        <f>IF(T23="TRUE",VLOOKUP(A23,'Stock Nodes'!$A$1:$D$63,4,FALSE),IF(U23="TRUE",VLOOKUP(A23,'CTT Nodes'!$A$1:$D$83,4,FALSE),VLOOKUP(A23,'ETT Nodes'!$A$1:$D$87,3,FALSE)))</f>
        <v>Marine Engineering</v>
      </c>
      <c r="D23" s="21" t="str">
        <f>"Node"&amp;TEXT(X23,"0")&amp;"_"&amp;A23</f>
        <v>Node3_bouyancy</v>
      </c>
      <c r="E23" s="22" t="str">
        <f>IF(OR(V23="TRUE",B23&lt;&gt;C23),"#LOC_ETT_"&amp;A23&amp;"_description",IF(T23="TRUE",VLOOKUP(A23,'Stock Nodes'!$A$1:$C$63,2,FALSE),IF(U23="TRUE",VLOOKUP(A23,'CTT Nodes'!$A$1:$D$83,2,FALSE))))</f>
        <v>#LOC_ETT_bouyancy_description</v>
      </c>
      <c r="F23" s="58">
        <v>15</v>
      </c>
      <c r="G23" s="21">
        <f t="array" ref="G23">INDEX(TNodeCols,MATCH(1,MMULT(--(TTechTree=A23),TRANSPOSE(COLUMN(TTechTree)^0)),0))</f>
        <v>-2110.800000000002</v>
      </c>
      <c r="H23" s="21">
        <f t="array" ref="H23">INDEX(NodeRows,MATCH(1,MMULT(--(TechTree=A23),TRANSPOSE(COLUMN(TechTree)^0)),0))</f>
        <v>1633</v>
      </c>
      <c r="I23" s="63" t="str">
        <f>TEXT(G23,"0") &amp; ", " &amp; TEXT(H23,"0") &amp;", -2"</f>
        <v>-2111, 1633, -2</v>
      </c>
      <c r="J23" s="63">
        <f>IF(T23="TRUE",VLOOKUP(A23,'Stock Nodes'!$A$1:$C$63,3,FALSE),IF(U23="TRUE",VLOOKUP(A23,'CTT Nodes'!$A$1:$G$83,7,FALSE),VLOOKUP(A23,'ETT Nodes'!$A$1:$E$87,5,FALSE)))</f>
        <v>0</v>
      </c>
      <c r="K23" s="6" t="s">
        <v>57</v>
      </c>
      <c r="L23" s="63" t="s">
        <v>2067</v>
      </c>
      <c r="M23" s="63" t="s">
        <v>2068</v>
      </c>
      <c r="N23" s="6"/>
      <c r="O23" s="63"/>
      <c r="P23" s="63"/>
      <c r="Q23" s="6"/>
      <c r="R23" s="63"/>
      <c r="S23" s="63"/>
      <c r="T23" s="25" t="str">
        <f>IF(ISNA(VLOOKUP(A23,'Stock Nodes'!$A$1:$C$63,1,FALSE)),"FALSE","TRUE")</f>
        <v>FALSE</v>
      </c>
      <c r="U23" s="25" t="str">
        <f>IF(ISNA(VLOOKUP(A23,'CTT Nodes'!$A$1:$D$83,1,FALSE)),"FALSE","TRUE")</f>
        <v>FALSE</v>
      </c>
      <c r="V23" s="25" t="str">
        <f>IF(OR(T23="TRUE",U23="TRUE"),"FALSE","TRUE")</f>
        <v>TRUE</v>
      </c>
      <c r="W23" s="68">
        <v>21</v>
      </c>
      <c r="X23" s="59">
        <v>2.5</v>
      </c>
      <c r="Y23" s="20"/>
      <c r="Z23" s="20"/>
      <c r="AA23" s="20"/>
      <c r="AB23" s="20"/>
      <c r="AC23" s="20"/>
      <c r="AD23" s="20"/>
      <c r="AE23" s="20"/>
      <c r="AF23" s="20"/>
      <c r="AG23" s="20"/>
      <c r="AH23" s="20"/>
      <c r="AI23" s="20"/>
      <c r="AJ23" s="20"/>
      <c r="AK23" s="20"/>
      <c r="AL23" s="20"/>
      <c r="AM23" s="20"/>
      <c r="AN23" s="20"/>
      <c r="AO23" s="20"/>
      <c r="AP23" s="20"/>
      <c r="AQ23" s="20"/>
      <c r="AR23" s="20"/>
      <c r="AS23" s="20"/>
      <c r="AT23" s="20"/>
      <c r="AU23" s="20"/>
      <c r="AV23" s="20"/>
      <c r="AW23" s="20"/>
      <c r="AX23" s="20"/>
      <c r="AY23" s="20"/>
      <c r="AZ23" s="20"/>
      <c r="BA23" s="20"/>
      <c r="BB23" s="20"/>
      <c r="BC23" s="20"/>
      <c r="BD23" s="20"/>
      <c r="BE23" s="20"/>
      <c r="BF23" s="20"/>
      <c r="BG23" s="20"/>
      <c r="BH23" s="20"/>
    </row>
    <row r="24" spans="1:60" x14ac:dyDescent="0.25">
      <c r="A24" s="14" t="s">
        <v>539</v>
      </c>
      <c r="B24" s="21" t="s">
        <v>540</v>
      </c>
      <c r="C24" s="21" t="str">
        <f>IF(T24="TRUE",VLOOKUP(A24,'Stock Nodes'!$A$1:$D$63,4,FALSE),IF(U24="TRUE",VLOOKUP(A24,'CTT Nodes'!$A$1:$D$83,4,FALSE),VLOOKUP(A24,'ETT Nodes'!$A$1:$D$87,3,FALSE)))</f>
        <v>Ballasting &amp; Bouyancy</v>
      </c>
      <c r="D24" s="21" t="str">
        <f>"Node"&amp;TEXT(X24,"0")&amp;"_"&amp;A24</f>
        <v>Node5_advBouyancy</v>
      </c>
      <c r="E24" s="22" t="str">
        <f>IF(OR(V24="TRUE",B24&lt;&gt;C24),"#LOC_ETT_"&amp;A24&amp;"_description",IF(T24="TRUE",VLOOKUP(A24,'Stock Nodes'!$A$1:$C$63,2,FALSE),IF(U24="TRUE",VLOOKUP(A24,'CTT Nodes'!$A$1:$D$83,2,FALSE))))</f>
        <v>#LOC_ETT_advBouyancy_description</v>
      </c>
      <c r="F24" s="58">
        <v>95</v>
      </c>
      <c r="G24" s="21">
        <f t="array" ref="G24">INDEX(TNodeCols,MATCH(1,MMULT(--(TTechTree=A24),TRANSPOSE(COLUMN(TTechTree)^0)),0))</f>
        <v>-2189.1000000000022</v>
      </c>
      <c r="H24" s="21">
        <f t="array" ref="H24">INDEX(NodeRows,MATCH(1,MMULT(--(TechTree=A24),TRANSPOSE(COLUMN(TechTree)^0)),0))</f>
        <v>1633</v>
      </c>
      <c r="I24" s="63" t="str">
        <f>TEXT(G24,"0") &amp; ", " &amp; TEXT(H24,"0") &amp;", -2"</f>
        <v>-2189, 1633, -2</v>
      </c>
      <c r="J24" s="63">
        <f>IF(T24="TRUE",VLOOKUP(A24,'Stock Nodes'!$A$1:$C$63,3,FALSE),IF(U24="TRUE",VLOOKUP(A24,'CTT Nodes'!$A$1:$G$83,7,FALSE),VLOOKUP(A24,'ETT Nodes'!$A$1:$E$87,5,FALSE)))</f>
        <v>0</v>
      </c>
      <c r="K24" s="63" t="s">
        <v>538</v>
      </c>
      <c r="L24" s="63" t="s">
        <v>2069</v>
      </c>
      <c r="M24" s="63" t="s">
        <v>2068</v>
      </c>
      <c r="N24" s="6"/>
      <c r="O24" s="63"/>
      <c r="P24" s="63"/>
      <c r="Q24" s="6"/>
      <c r="R24" s="63"/>
      <c r="S24" s="63"/>
      <c r="T24" s="25" t="str">
        <f>IF(ISNA(VLOOKUP(A24,'Stock Nodes'!$A$1:$C$63,1,FALSE)),"FALSE","TRUE")</f>
        <v>FALSE</v>
      </c>
      <c r="U24" s="25" t="str">
        <f>IF(ISNA(VLOOKUP(A24,'CTT Nodes'!$A$1:$D$83,1,FALSE)),"FALSE","TRUE")</f>
        <v>FALSE</v>
      </c>
      <c r="V24" s="25" t="str">
        <f>IF(OR(T24="TRUE",U24="TRUE"),"FALSE","TRUE")</f>
        <v>TRUE</v>
      </c>
      <c r="W24" s="68">
        <v>22</v>
      </c>
      <c r="X24" s="59">
        <v>4.67</v>
      </c>
      <c r="Y24" s="20"/>
      <c r="Z24" s="20"/>
      <c r="AA24" s="20"/>
      <c r="AB24" s="20"/>
      <c r="AC24" s="20"/>
      <c r="AD24" s="20"/>
      <c r="AE24" s="20"/>
      <c r="AF24" s="20"/>
      <c r="AG24" s="20"/>
      <c r="AH24" s="20"/>
      <c r="AI24" s="20"/>
      <c r="AJ24" s="20"/>
      <c r="AK24" s="20"/>
      <c r="AL24" s="20"/>
      <c r="AM24" s="20"/>
      <c r="AN24" s="20"/>
      <c r="AO24" s="20"/>
      <c r="AP24" s="20"/>
      <c r="AQ24" s="20"/>
      <c r="AR24" s="20"/>
      <c r="AS24" s="20"/>
      <c r="AT24" s="20"/>
      <c r="AU24" s="20"/>
      <c r="AV24" s="20"/>
      <c r="AW24" s="20"/>
      <c r="AX24" s="20"/>
      <c r="AY24" s="20"/>
      <c r="AZ24" s="20"/>
      <c r="BA24" s="20"/>
      <c r="BB24" s="20"/>
      <c r="BC24" s="20"/>
      <c r="BD24" s="20"/>
      <c r="BE24" s="20"/>
      <c r="BF24" s="20"/>
      <c r="BG24" s="20"/>
      <c r="BH24" s="20"/>
    </row>
    <row r="25" spans="1:60" x14ac:dyDescent="0.25">
      <c r="A25" s="14" t="s">
        <v>551</v>
      </c>
      <c r="B25" s="21" t="s">
        <v>321</v>
      </c>
      <c r="C25" s="21" t="str">
        <f>IF(T25="TRUE",VLOOKUP(A25,'Stock Nodes'!$A$1:$D$63,4,FALSE),IF(U25="TRUE",VLOOKUP(A25,'CTT Nodes'!$A$1:$D$83,4,FALSE),VLOOKUP(A25,'ETT Nodes'!$A$1:$D$87,3,FALSE)))</f>
        <v>Experimental Trimming</v>
      </c>
      <c r="D25" s="21" t="str">
        <f>"Node"&amp;TEXT(X25,"0")&amp;"_"&amp;A25</f>
        <v>Node8_experimentalBouyancy</v>
      </c>
      <c r="E25" s="22" t="str">
        <f>IF(OR(V25="TRUE",B25&lt;&gt;C25),"#LOC_ETT_"&amp;A25&amp;"_description",IF(T25="TRUE",VLOOKUP(A25,'Stock Nodes'!$A$1:$C$63,2,FALSE),IF(U25="TRUE",VLOOKUP(A25,'CTT Nodes'!$A$1:$D$83,2,FALSE))))</f>
        <v>#LOC_ETT_experimentalBouyancy_description</v>
      </c>
      <c r="F25" s="58">
        <v>495</v>
      </c>
      <c r="G25" s="21">
        <f t="array" ref="G25">INDEX(TNodeCols,MATCH(1,MMULT(--(TTechTree=A25),TRANSPOSE(COLUMN(TTechTree)^0)),0))</f>
        <v>-2267.4000000000024</v>
      </c>
      <c r="H25" s="21">
        <f t="array" ref="H25">INDEX(NodeRows,MATCH(1,MMULT(--(TechTree=A25),TRANSPOSE(COLUMN(TechTree)^0)),0))</f>
        <v>1633</v>
      </c>
      <c r="I25" s="63" t="str">
        <f>TEXT(G25,"0") &amp; ", " &amp; TEXT(H25,"0") &amp;", -2"</f>
        <v>-2267, 1633, -2</v>
      </c>
      <c r="J25" s="63">
        <f>IF(T25="TRUE",VLOOKUP(A25,'Stock Nodes'!$A$1:$C$63,3,FALSE),IF(U25="TRUE",VLOOKUP(A25,'CTT Nodes'!$A$1:$G$83,7,FALSE),VLOOKUP(A25,'ETT Nodes'!$A$1:$E$87,5,FALSE)))</f>
        <v>0</v>
      </c>
      <c r="K25" s="6" t="s">
        <v>539</v>
      </c>
      <c r="L25" s="63" t="s">
        <v>2069</v>
      </c>
      <c r="M25" s="63" t="s">
        <v>2068</v>
      </c>
      <c r="N25" s="6"/>
      <c r="O25" s="63"/>
      <c r="P25" s="63"/>
      <c r="Q25" s="6"/>
      <c r="R25" s="63"/>
      <c r="S25" s="63"/>
      <c r="T25" s="25" t="str">
        <f>IF(ISNA(VLOOKUP(A25,'Stock Nodes'!$A$1:$C$63,1,FALSE)),"FALSE","TRUE")</f>
        <v>FALSE</v>
      </c>
      <c r="U25" s="25" t="str">
        <f>IF(ISNA(VLOOKUP(A25,'CTT Nodes'!$A$1:$D$83,1,FALSE)),"FALSE","TRUE")</f>
        <v>FALSE</v>
      </c>
      <c r="V25" s="25" t="str">
        <f>IF(OR(T25="TRUE",U25="TRUE"),"FALSE","TRUE")</f>
        <v>TRUE</v>
      </c>
      <c r="W25" s="63">
        <v>23</v>
      </c>
      <c r="X25" s="59">
        <v>8</v>
      </c>
      <c r="Y25" s="20"/>
      <c r="Z25" s="20"/>
      <c r="AA25" s="20"/>
      <c r="AB25" s="20"/>
      <c r="AC25" s="20"/>
      <c r="AD25" s="20"/>
      <c r="AE25" s="20"/>
      <c r="AF25" s="20"/>
      <c r="AG25" s="20"/>
      <c r="AH25" s="20"/>
      <c r="AI25" s="20"/>
      <c r="AJ25" s="20"/>
      <c r="AK25" s="20"/>
      <c r="AL25" s="20"/>
      <c r="AM25" s="20"/>
      <c r="AN25" s="20"/>
      <c r="AO25" s="20"/>
      <c r="AP25" s="20"/>
      <c r="AQ25" s="20"/>
      <c r="AR25" s="20"/>
      <c r="AS25" s="20"/>
      <c r="AT25" s="20"/>
      <c r="AU25" s="20"/>
      <c r="AV25" s="20"/>
      <c r="AW25" s="20"/>
      <c r="AX25" s="20"/>
      <c r="AY25" s="20"/>
      <c r="AZ25" s="20"/>
      <c r="BA25" s="20"/>
      <c r="BB25" s="20"/>
      <c r="BC25" s="20"/>
      <c r="BD25" s="20"/>
      <c r="BE25" s="20"/>
      <c r="BF25" s="20"/>
      <c r="BG25" s="20"/>
      <c r="BH25" s="20"/>
    </row>
    <row r="26" spans="1:60" x14ac:dyDescent="0.25">
      <c r="A26" s="63" t="s">
        <v>38</v>
      </c>
      <c r="B26" s="63" t="s">
        <v>39</v>
      </c>
      <c r="C26" s="21" t="str">
        <f>IF(T26="TRUE",VLOOKUP(A26,'Stock Nodes'!$A$1:$D$63,4,FALSE),IF(U26="TRUE",VLOOKUP(A26,'CTT Nodes'!$A$1:$D$83,4,FALSE),VLOOKUP(A26,'ETT Nodes'!$A$1:$D$87,3,FALSE)))</f>
        <v>Colonization</v>
      </c>
      <c r="D26" s="21" t="str">
        <f>"Node"&amp;TEXT(X26,"0")&amp;"_"&amp;A26</f>
        <v>Node14_colonization</v>
      </c>
      <c r="E26" s="22" t="str">
        <f>IF(OR(V26="TRUE",B26&lt;&gt;C26),"#LOC_ETT_"&amp;A26&amp;"_description",IF(T26="TRUE",VLOOKUP(A26,'Stock Nodes'!$A$1:$C$63,2,FALSE),IF(U26="TRUE",VLOOKUP(A26,'CTT Nodes'!$A$1:$D$83,2,FALSE))))</f>
        <v>#LOC_CTT_colonization_description</v>
      </c>
      <c r="F26" s="58">
        <v>2750</v>
      </c>
      <c r="G26" s="21">
        <f t="array" ref="G26">INDEX(TNodeCols,MATCH(1,MMULT(--(TTechTree=A26),TRANSPOSE(COLUMN(TTechTree)^0)),0))</f>
        <v>-1327.8000000000002</v>
      </c>
      <c r="H26" s="21">
        <f t="array" ref="H26">INDEX(NodeRows,MATCH(1,MMULT(--(TechTree=A26),TRANSPOSE(COLUMN(TechTree)^0)),0))</f>
        <v>1481</v>
      </c>
      <c r="I26" s="63" t="str">
        <f>TEXT(G26,"0") &amp; ", " &amp; TEXT(H26,"0") &amp;", -2"</f>
        <v>-1328, 1481, -2</v>
      </c>
      <c r="J26" s="63" t="str">
        <f>IF(T26="TRUE",VLOOKUP(A26,'Stock Nodes'!$A$1:$C$63,3,FALSE),IF(U26="TRUE",VLOOKUP(A26,'CTT Nodes'!$A$1:$G$83,7,FALSE),VLOOKUP(A26,'ETT Nodes'!$A$1:$E$87,5,FALSE)))</f>
        <v>ETTR/UI/CTT/RDicon_start</v>
      </c>
      <c r="K26" s="63"/>
      <c r="L26" s="63"/>
      <c r="M26" s="63"/>
      <c r="N26" s="63"/>
      <c r="O26" s="63"/>
      <c r="P26" s="63"/>
      <c r="Q26" s="63"/>
      <c r="R26" s="63"/>
      <c r="S26" s="63"/>
      <c r="T26" s="25" t="str">
        <f>IF(ISNA(VLOOKUP(A26,'Stock Nodes'!$A$1:$C$63,1,FALSE)),"FALSE","TRUE")</f>
        <v>FALSE</v>
      </c>
      <c r="U26" s="25" t="str">
        <f>IF(ISNA(VLOOKUP(A26,'CTT Nodes'!$A$1:$D$83,1,FALSE)),"FALSE","TRUE")</f>
        <v>TRUE</v>
      </c>
      <c r="V26" s="25" t="str">
        <f>IF(OR(T26="TRUE",U26="TRUE"),"FALSE","TRUE")</f>
        <v>FALSE</v>
      </c>
      <c r="W26" s="68">
        <v>24</v>
      </c>
      <c r="X26" s="59">
        <v>14</v>
      </c>
      <c r="Y26" s="20"/>
      <c r="Z26" s="20"/>
      <c r="AA26" s="20"/>
      <c r="AB26" s="20"/>
      <c r="AC26" s="20"/>
      <c r="AD26" s="20"/>
      <c r="AE26" s="20"/>
      <c r="AF26" s="20"/>
      <c r="AG26" s="20"/>
      <c r="AH26" s="20"/>
      <c r="AI26" s="20"/>
      <c r="AJ26" s="20"/>
      <c r="AK26" s="20"/>
      <c r="AL26" s="20"/>
      <c r="AM26" s="20"/>
      <c r="AN26" s="20"/>
      <c r="AO26" s="20"/>
      <c r="AP26" s="20"/>
      <c r="AQ26" s="20"/>
      <c r="AR26" s="20"/>
      <c r="AS26" s="20"/>
      <c r="AT26" s="20"/>
      <c r="AU26" s="20"/>
      <c r="AV26" s="20"/>
      <c r="AW26" s="20"/>
      <c r="AX26" s="20"/>
      <c r="AY26" s="20"/>
      <c r="AZ26" s="20"/>
      <c r="BA26" s="20"/>
      <c r="BB26" s="20"/>
      <c r="BC26" s="20"/>
      <c r="BD26" s="20"/>
      <c r="BE26" s="20"/>
      <c r="BF26" s="20"/>
      <c r="BG26" s="20"/>
      <c r="BH26" s="20"/>
    </row>
    <row r="27" spans="1:60" x14ac:dyDescent="0.25">
      <c r="A27" s="63" t="s">
        <v>183</v>
      </c>
      <c r="B27" s="21" t="s">
        <v>184</v>
      </c>
      <c r="C27" s="21" t="str">
        <f>IF(T27="TRUE",VLOOKUP(A27,'Stock Nodes'!$A$1:$D$63,4,FALSE),IF(U27="TRUE",VLOOKUP(A27,'CTT Nodes'!$A$1:$D$83,4,FALSE),VLOOKUP(A27,'ETT Nodes'!$A$1:$D$87,3,FALSE)))</f>
        <v>Advanced Colonization</v>
      </c>
      <c r="D27" s="21" t="str">
        <f>"Node"&amp;TEXT(X27,"0")&amp;"_"&amp;A27</f>
        <v>Node16_advColonization</v>
      </c>
      <c r="E27" s="22" t="str">
        <f>IF(OR(V27="TRUE",B27&lt;&gt;C27),"#LOC_ETT_"&amp;A27&amp;"_description",IF(T27="TRUE",VLOOKUP(A27,'Stock Nodes'!$A$1:$C$63,2,FALSE),IF(U27="TRUE",VLOOKUP(A27,'CTT Nodes'!$A$1:$D$83,2,FALSE))))</f>
        <v>#LOC_CTT_advColonization_description</v>
      </c>
      <c r="F27" s="58">
        <v>4000</v>
      </c>
      <c r="G27" s="21">
        <f t="array" ref="G27">INDEX(TNodeCols,MATCH(1,MMULT(--(TTechTree=A27),TRANSPOSE(COLUMN(TTechTree)^0)),0))</f>
        <v>-1249.5</v>
      </c>
      <c r="H27" s="21">
        <f t="array" ref="H27">INDEX(NodeRows,MATCH(1,MMULT(--(TechTree=A27),TRANSPOSE(COLUMN(TechTree)^0)),0))</f>
        <v>1481</v>
      </c>
      <c r="I27" s="63" t="str">
        <f>TEXT(G27,"0") &amp; ", " &amp; TEXT(H27,"0") &amp;", -2"</f>
        <v>-1250, 1481, -2</v>
      </c>
      <c r="J27" s="63" t="str">
        <f>IF(T27="TRUE",VLOOKUP(A27,'Stock Nodes'!$A$1:$C$63,3,FALSE),IF(U27="TRUE",VLOOKUP(A27,'CTT Nodes'!$A$1:$G$83,7,FALSE),VLOOKUP(A27,'ETT Nodes'!$A$1:$E$87,5,FALSE)))</f>
        <v>ETTR/UI/CTT/RDicon_start</v>
      </c>
      <c r="K27" s="63"/>
      <c r="L27" s="63"/>
      <c r="M27" s="63"/>
      <c r="N27" s="21"/>
      <c r="O27" s="63"/>
      <c r="P27" s="63"/>
      <c r="Q27" s="21"/>
      <c r="R27" s="63"/>
      <c r="S27" s="63"/>
      <c r="T27" s="25" t="str">
        <f>IF(ISNA(VLOOKUP(A27,'Stock Nodes'!$A$1:$C$63,1,FALSE)),"FALSE","TRUE")</f>
        <v>FALSE</v>
      </c>
      <c r="U27" s="25" t="str">
        <f>IF(ISNA(VLOOKUP(A27,'CTT Nodes'!$A$1:$D$83,1,FALSE)),"FALSE","TRUE")</f>
        <v>TRUE</v>
      </c>
      <c r="V27" s="25" t="str">
        <f>IF(OR(T27="TRUE",U27="TRUE"),"FALSE","TRUE")</f>
        <v>FALSE</v>
      </c>
      <c r="W27" s="68">
        <v>25</v>
      </c>
      <c r="X27" s="59">
        <v>16</v>
      </c>
      <c r="Y27" s="20"/>
      <c r="Z27" s="20"/>
      <c r="AA27" s="20"/>
      <c r="AB27" s="20"/>
      <c r="AC27" s="20"/>
      <c r="AD27" s="20"/>
      <c r="AE27" s="20"/>
      <c r="AF27" s="20"/>
      <c r="AG27" s="20"/>
      <c r="AH27" s="20"/>
      <c r="AI27" s="20"/>
      <c r="AJ27" s="20"/>
      <c r="AK27" s="20"/>
      <c r="AL27" s="20"/>
      <c r="AM27" s="20"/>
      <c r="AN27" s="20"/>
      <c r="AO27" s="20"/>
      <c r="AP27" s="20"/>
      <c r="AQ27" s="20"/>
      <c r="AR27" s="20"/>
      <c r="AS27" s="20"/>
      <c r="AT27" s="20"/>
      <c r="AU27" s="20"/>
      <c r="AV27" s="20"/>
      <c r="AW27" s="20"/>
      <c r="AX27" s="20"/>
      <c r="AY27" s="20"/>
      <c r="AZ27" s="20"/>
      <c r="BA27" s="20"/>
      <c r="BB27" s="20"/>
      <c r="BC27" s="20"/>
      <c r="BD27" s="20"/>
      <c r="BE27" s="20"/>
      <c r="BF27" s="20"/>
      <c r="BG27" s="20"/>
      <c r="BH27" s="20"/>
    </row>
    <row r="28" spans="1:60" x14ac:dyDescent="0.25">
      <c r="A28" s="63" t="s">
        <v>57</v>
      </c>
      <c r="B28" s="21" t="s">
        <v>245</v>
      </c>
      <c r="C28" s="21" t="str">
        <f>IF(T28="TRUE",VLOOKUP(A28,'Stock Nodes'!$A$1:$D$63,4,FALSE),IF(U28="TRUE",VLOOKUP(A28,'CTT Nodes'!$A$1:$D$83,4,FALSE),VLOOKUP(A28,'ETT Nodes'!$A$1:$D$87,3,FALSE)))</f>
        <v>Engineering 101</v>
      </c>
      <c r="D28" s="21" t="str">
        <f>"Node"&amp;TEXT(X28,"0")&amp;"_"&amp;A28</f>
        <v>Node0_engineering101</v>
      </c>
      <c r="E28" s="22" t="str">
        <f>IF(OR(V28="TRUE",B28&lt;&gt;C28),"#LOC_ETT_"&amp;A28&amp;"_description",IF(T28="TRUE",VLOOKUP(A28,'Stock Nodes'!$A$1:$C$63,2,FALSE),IF(U28="TRUE",VLOOKUP(A28,'CTT Nodes'!$A$1:$D$83,2,FALSE))))</f>
        <v>#LOC_ETT_engineering101_description</v>
      </c>
      <c r="F28" s="58">
        <v>0</v>
      </c>
      <c r="G28" s="21">
        <f t="array" ref="G28">INDEX(TNodeCols,MATCH(1,MMULT(--(TTechTree=A28),TRANSPOSE(COLUMN(TTechTree)^0)),0))</f>
        <v>-2032.5000000000018</v>
      </c>
      <c r="H28" s="21">
        <f t="array" ref="H28">INDEX(NodeRows,MATCH(1,MMULT(--(TechTree=A28),TRANSPOSE(COLUMN(TechTree)^0)),0))</f>
        <v>1025</v>
      </c>
      <c r="I28" s="63" t="str">
        <f>TEXT(G28,"0") &amp; ", " &amp; TEXT(H28,"0") &amp;", -2"</f>
        <v>-2033, 1025, -2</v>
      </c>
      <c r="J28" s="63" t="str">
        <f>IF(T28="TRUE",VLOOKUP(A28,'Stock Nodes'!$A$1:$C$63,3,FALSE),IF(U28="TRUE",VLOOKUP(A28,'CTT Nodes'!$A$1:$G$83,7,FALSE),VLOOKUP(A28,'ETT Nodes'!$A$1:$E$87,5,FALSE)))</f>
        <v>RDicon_emgineering101</v>
      </c>
      <c r="K28" s="63"/>
      <c r="L28" s="63"/>
      <c r="M28" s="63"/>
      <c r="N28" s="21"/>
      <c r="O28" s="63"/>
      <c r="P28" s="63"/>
      <c r="Q28" s="21"/>
      <c r="R28" s="63"/>
      <c r="S28" s="63"/>
      <c r="T28" s="25" t="str">
        <f>IF(ISNA(VLOOKUP(A28,'Stock Nodes'!$A$1:$C$63,1,FALSE)),"FALSE","TRUE")</f>
        <v>TRUE</v>
      </c>
      <c r="U28" s="25" t="str">
        <f>IF(ISNA(VLOOKUP(A28,'CTT Nodes'!$A$1:$D$83,1,FALSE)),"FALSE","TRUE")</f>
        <v>FALSE</v>
      </c>
      <c r="V28" s="25" t="str">
        <f>IF(OR(T28="TRUE",U28="TRUE"),"FALSE","TRUE")</f>
        <v>FALSE</v>
      </c>
      <c r="W28" s="63">
        <v>26</v>
      </c>
      <c r="X28" s="59">
        <v>0</v>
      </c>
      <c r="Y28" s="20"/>
      <c r="Z28" s="20"/>
      <c r="AA28" s="20"/>
      <c r="AB28" s="20"/>
      <c r="AC28" s="20"/>
      <c r="AD28" s="20"/>
      <c r="AE28" s="20"/>
      <c r="AF28" s="20"/>
      <c r="AG28" s="20"/>
      <c r="AH28" s="20"/>
      <c r="AI28" s="20"/>
      <c r="AJ28" s="20"/>
      <c r="AK28" s="20"/>
      <c r="AL28" s="20"/>
      <c r="AM28" s="20"/>
      <c r="AN28" s="20"/>
      <c r="AO28" s="20"/>
      <c r="AP28" s="20"/>
      <c r="AQ28" s="20"/>
      <c r="AR28" s="20"/>
      <c r="AS28" s="20"/>
      <c r="AT28" s="20"/>
      <c r="AU28" s="20"/>
      <c r="AV28" s="20"/>
      <c r="AW28" s="20"/>
      <c r="AX28" s="20"/>
      <c r="AY28" s="20"/>
      <c r="AZ28" s="20"/>
      <c r="BA28" s="20"/>
      <c r="BB28" s="20"/>
      <c r="BC28" s="20"/>
      <c r="BD28" s="20"/>
      <c r="BE28" s="20"/>
      <c r="BF28" s="20"/>
      <c r="BG28" s="20"/>
      <c r="BH28" s="20"/>
    </row>
    <row r="29" spans="1:60" x14ac:dyDescent="0.25">
      <c r="A29" s="14" t="s">
        <v>81</v>
      </c>
      <c r="B29" s="21" t="s">
        <v>82</v>
      </c>
      <c r="C29" s="21" t="str">
        <f>IF(T29="TRUE",VLOOKUP(A29,'Stock Nodes'!$A$1:$D$63,4,FALSE),IF(U29="TRUE",VLOOKUP(A29,'CTT Nodes'!$A$1:$D$83,4,FALSE),VLOOKUP(A29,'ETT Nodes'!$A$1:$D$87,3,FALSE)))</f>
        <v>General Construction</v>
      </c>
      <c r="D29" s="21" t="str">
        <f>"Node"&amp;TEXT(X29,"0")&amp;"_"&amp;A29</f>
        <v>Node2_generalConstruction</v>
      </c>
      <c r="E29" s="22" t="str">
        <f>IF(OR(V29="TRUE",B29&lt;&gt;C29),"#LOC_ETT_"&amp;A29&amp;"_description",IF(T29="TRUE",VLOOKUP(A29,'Stock Nodes'!$A$1:$C$63,2,FALSE),IF(U29="TRUE",VLOOKUP(A29,'CTT Nodes'!$A$1:$D$83,2,FALSE))))</f>
        <v>#autoLOC_501041 //#autoLOC_501041 = New equipment to help out in keeping things stable, especially useful when the size of the spacecraft defies the current bounds of sanity.</v>
      </c>
      <c r="F29" s="58">
        <v>5</v>
      </c>
      <c r="G29" s="21">
        <f t="array" ref="G29">INDEX(TNodeCols,MATCH(1,MMULT(--(TTechTree=A29),TRANSPOSE(COLUMN(TTechTree)^0)),0))</f>
        <v>-1875.9000000000015</v>
      </c>
      <c r="H29" s="21">
        <f t="array" ref="H29">INDEX(NodeRows,MATCH(1,MMULT(--(TechTree=A29),TRANSPOSE(COLUMN(TechTree)^0)),0))</f>
        <v>1025</v>
      </c>
      <c r="I29" s="63" t="str">
        <f>TEXT(G29,"0") &amp; ", " &amp; TEXT(H29,"0") &amp;", -2"</f>
        <v>-1876, 1025, -2</v>
      </c>
      <c r="J29" s="63" t="str">
        <f>IF(T29="TRUE",VLOOKUP(A29,'Stock Nodes'!$A$1:$C$63,3,FALSE),IF(U29="TRUE",VLOOKUP(A29,'CTT Nodes'!$A$1:$G$83,7,FALSE),VLOOKUP(A29,'ETT Nodes'!$A$1:$E$87,5,FALSE)))</f>
        <v>RDicon_construction-general</v>
      </c>
      <c r="K29" s="6" t="s">
        <v>57</v>
      </c>
      <c r="L29" s="63" t="s">
        <v>2068</v>
      </c>
      <c r="M29" s="63" t="s">
        <v>2069</v>
      </c>
      <c r="N29" s="6"/>
      <c r="O29" s="63"/>
      <c r="P29" s="63"/>
      <c r="Q29" s="6"/>
      <c r="R29" s="63"/>
      <c r="S29" s="63"/>
      <c r="T29" s="25" t="str">
        <f>IF(ISNA(VLOOKUP(A29,'Stock Nodes'!$A$1:$C$63,1,FALSE)),"FALSE","TRUE")</f>
        <v>TRUE</v>
      </c>
      <c r="U29" s="25" t="str">
        <f>IF(ISNA(VLOOKUP(A29,'CTT Nodes'!$A$1:$D$83,1,FALSE)),"FALSE","TRUE")</f>
        <v>FALSE</v>
      </c>
      <c r="V29" s="25" t="str">
        <f>IF(OR(T29="TRUE",U29="TRUE"),"FALSE","TRUE")</f>
        <v>FALSE</v>
      </c>
      <c r="W29" s="68">
        <v>27</v>
      </c>
      <c r="X29" s="59">
        <v>1.5</v>
      </c>
      <c r="Y29" s="20"/>
      <c r="Z29" s="20"/>
      <c r="AA29" s="20"/>
      <c r="AB29" s="20"/>
      <c r="AC29" s="20"/>
      <c r="AD29" s="20"/>
      <c r="AE29" s="20"/>
      <c r="AF29" s="20"/>
      <c r="AG29" s="20"/>
      <c r="AH29" s="20"/>
      <c r="AI29" s="20"/>
      <c r="AJ29" s="20"/>
      <c r="AK29" s="20"/>
      <c r="AL29" s="20"/>
      <c r="AM29" s="20"/>
      <c r="AN29" s="20"/>
      <c r="AO29" s="20"/>
      <c r="AP29" s="20"/>
      <c r="AQ29" s="20"/>
      <c r="AR29" s="20"/>
      <c r="AS29" s="20"/>
      <c r="AT29" s="20"/>
      <c r="AU29" s="20"/>
      <c r="AV29" s="20"/>
      <c r="AW29" s="20"/>
      <c r="AX29" s="20"/>
      <c r="AY29" s="20"/>
      <c r="AZ29" s="20"/>
      <c r="BA29" s="20"/>
      <c r="BB29" s="20"/>
      <c r="BC29" s="20"/>
      <c r="BD29" s="20"/>
      <c r="BE29" s="20"/>
      <c r="BF29" s="20"/>
      <c r="BG29" s="20"/>
      <c r="BH29" s="20"/>
    </row>
    <row r="30" spans="1:60" x14ac:dyDescent="0.25">
      <c r="A30" s="67" t="s">
        <v>78</v>
      </c>
      <c r="B30" s="21" t="s">
        <v>228</v>
      </c>
      <c r="C30" s="21" t="str">
        <f>IF(T30="TRUE",VLOOKUP(A30,'Stock Nodes'!$A$1:$D$63,4,FALSE),IF(U30="TRUE",VLOOKUP(A30,'CTT Nodes'!$A$1:$D$83,4,FALSE),VLOOKUP(A30,'ETT Nodes'!$A$1:$D$87,3,FALSE)))</f>
        <v>Advanced Construction</v>
      </c>
      <c r="D30" s="21" t="str">
        <f>"Node"&amp;TEXT(X30,"0")&amp;"_"&amp;A30</f>
        <v>Node3_advConstruction</v>
      </c>
      <c r="E30" s="22" t="str">
        <f>IF(OR(V30="TRUE",B30&lt;&gt;C30),"#LOC_ETT_"&amp;A30&amp;"_description",IF(T30="TRUE",VLOOKUP(A30,'Stock Nodes'!$A$1:$C$63,2,FALSE),IF(U30="TRUE",VLOOKUP(A30,'CTT Nodes'!$A$1:$D$83,2,FALSE))))</f>
        <v>#LOC_ETT_advConstruction_description</v>
      </c>
      <c r="F30" s="58">
        <v>15</v>
      </c>
      <c r="G30" s="21">
        <f t="array" ref="G30">INDEX(TNodeCols,MATCH(1,MMULT(--(TTechTree=A30),TRANSPOSE(COLUMN(TTechTree)^0)),0))</f>
        <v>-1797.6000000000013</v>
      </c>
      <c r="H30" s="21">
        <f t="array" ref="H30">INDEX(NodeRows,MATCH(1,MMULT(--(TechTree=A30),TRANSPOSE(COLUMN(TechTree)^0)),0))</f>
        <v>1253</v>
      </c>
      <c r="I30" s="63" t="str">
        <f>TEXT(G30,"0") &amp; ", " &amp; TEXT(H30,"0") &amp;", -2"</f>
        <v>-1798, 1253, -2</v>
      </c>
      <c r="J30" s="63" t="str">
        <f>IF(T30="TRUE",VLOOKUP(A30,'Stock Nodes'!$A$1:$C$63,3,FALSE),IF(U30="TRUE",VLOOKUP(A30,'CTT Nodes'!$A$1:$G$83,7,FALSE),VLOOKUP(A30,'ETT Nodes'!$A$1:$E$87,5,FALSE)))</f>
        <v>RDicon_construction-advanced</v>
      </c>
      <c r="K30" s="6"/>
      <c r="L30" s="63"/>
      <c r="M30" s="63"/>
      <c r="N30" s="6"/>
      <c r="O30" s="63"/>
      <c r="P30" s="63"/>
      <c r="Q30" s="6"/>
      <c r="R30" s="63"/>
      <c r="S30" s="63"/>
      <c r="T30" s="25" t="str">
        <f>IF(ISNA(VLOOKUP(A30,'Stock Nodes'!$A$1:$C$63,1,FALSE)),"FALSE","TRUE")</f>
        <v>TRUE</v>
      </c>
      <c r="U30" s="25" t="str">
        <f>IF(ISNA(VLOOKUP(A30,'CTT Nodes'!$A$1:$D$83,1,FALSE)),"FALSE","TRUE")</f>
        <v>FALSE</v>
      </c>
      <c r="V30" s="25" t="str">
        <f>IF(OR(T30="TRUE",U30="TRUE"),"FALSE","TRUE")</f>
        <v>FALSE</v>
      </c>
      <c r="W30" s="68">
        <v>28</v>
      </c>
      <c r="X30" s="59">
        <v>2.5</v>
      </c>
      <c r="Y30" s="20"/>
      <c r="Z30" s="20"/>
      <c r="AA30" s="20"/>
      <c r="AB30" s="20"/>
      <c r="AC30" s="20"/>
      <c r="AD30" s="20"/>
      <c r="AE30" s="20"/>
      <c r="AF30" s="20"/>
      <c r="AG30" s="20"/>
      <c r="AH30" s="20"/>
      <c r="AI30" s="20"/>
      <c r="AJ30" s="20"/>
      <c r="AK30" s="20"/>
      <c r="AL30" s="20"/>
      <c r="AM30" s="20"/>
      <c r="AN30" s="20"/>
      <c r="AO30" s="20"/>
      <c r="AP30" s="20"/>
      <c r="AQ30" s="20"/>
      <c r="AR30" s="20"/>
      <c r="AS30" s="20"/>
      <c r="AT30" s="20"/>
      <c r="AU30" s="20"/>
      <c r="AV30" s="20"/>
      <c r="AW30" s="20"/>
      <c r="AX30" s="20"/>
      <c r="AY30" s="20"/>
      <c r="AZ30" s="20"/>
      <c r="BA30" s="20"/>
      <c r="BB30" s="20"/>
      <c r="BC30" s="20"/>
      <c r="BD30" s="20"/>
      <c r="BE30" s="20"/>
      <c r="BF30" s="20"/>
      <c r="BG30" s="20"/>
      <c r="BH30" s="20"/>
    </row>
    <row r="31" spans="1:60" x14ac:dyDescent="0.25">
      <c r="A31" s="21" t="s">
        <v>89</v>
      </c>
      <c r="B31" s="21" t="s">
        <v>90</v>
      </c>
      <c r="C31" s="21" t="str">
        <f>IF(T31="TRUE",VLOOKUP(A31,'Stock Nodes'!$A$1:$D$63,4,FALSE),IF(U31="TRUE",VLOOKUP(A31,'CTT Nodes'!$A$1:$D$83,4,FALSE),VLOOKUP(A31,'ETT Nodes'!$A$1:$D$87,3,FALSE)))</f>
        <v>Specialized Construction</v>
      </c>
      <c r="D31" s="21" t="str">
        <f>"Node"&amp;TEXT(X31,"0")&amp;"_"&amp;A31</f>
        <v>Node4_specializedConstruction</v>
      </c>
      <c r="E31" s="22" t="str">
        <f>IF(OR(V31="TRUE",B31&lt;&gt;C31),"#LOC_ETT_"&amp;A31&amp;"_description",IF(T31="TRUE",VLOOKUP(A31,'Stock Nodes'!$A$1:$C$63,2,FALSE),IF(U31="TRUE",VLOOKUP(A31,'CTT Nodes'!$A$1:$D$83,2,FALSE))))</f>
        <v>#autoLOC_501083 //#autoLOC_501083 = Specialized construction techniques provide new ways of attaching things together, and detaching things on purpose.</v>
      </c>
      <c r="F31" s="58">
        <v>50</v>
      </c>
      <c r="G31" s="21">
        <f t="array" ref="G31">INDEX(TNodeCols,MATCH(1,MMULT(--(TTechTree=A31),TRANSPOSE(COLUMN(TTechTree)^0)),0))</f>
        <v>-1719.3000000000011</v>
      </c>
      <c r="H31" s="21">
        <f t="array" ref="H31">INDEX(NodeRows,MATCH(1,MMULT(--(TechTree=A31),TRANSPOSE(COLUMN(TechTree)^0)),0))</f>
        <v>1253</v>
      </c>
      <c r="I31" s="63" t="str">
        <f>TEXT(G31,"0") &amp; ", " &amp; TEXT(H31,"0") &amp;", -2"</f>
        <v>-1719, 1253, -2</v>
      </c>
      <c r="J31" s="63" t="str">
        <f>IF(T31="TRUE",VLOOKUP(A31,'Stock Nodes'!$A$1:$C$63,3,FALSE),IF(U31="TRUE",VLOOKUP(A31,'CTT Nodes'!$A$1:$G$83,7,FALSE),VLOOKUP(A31,'ETT Nodes'!$A$1:$E$87,5,FALSE)))</f>
        <v>RDicon_automation</v>
      </c>
      <c r="K31" s="6"/>
      <c r="L31" s="63"/>
      <c r="M31" s="63"/>
      <c r="N31" s="6"/>
      <c r="O31" s="63"/>
      <c r="P31" s="63"/>
      <c r="Q31" s="6"/>
      <c r="R31" s="63"/>
      <c r="S31" s="63"/>
      <c r="T31" s="25" t="str">
        <f>IF(ISNA(VLOOKUP(A31,'Stock Nodes'!$A$1:$C$63,1,FALSE)),"FALSE","TRUE")</f>
        <v>TRUE</v>
      </c>
      <c r="U31" s="25" t="str">
        <f>IF(ISNA(VLOOKUP(A31,'CTT Nodes'!$A$1:$D$83,1,FALSE)),"FALSE","TRUE")</f>
        <v>FALSE</v>
      </c>
      <c r="V31" s="25" t="str">
        <f>IF(OR(T31="TRUE",U31="TRUE"),"FALSE","TRUE")</f>
        <v>FALSE</v>
      </c>
      <c r="W31" s="63">
        <v>29</v>
      </c>
      <c r="X31" s="59">
        <v>3.67</v>
      </c>
      <c r="Y31" s="20"/>
      <c r="Z31" s="20"/>
      <c r="AA31" s="20"/>
      <c r="AB31" s="20"/>
      <c r="AC31" s="20"/>
      <c r="AD31" s="20"/>
      <c r="AE31" s="20"/>
      <c r="AF31" s="20"/>
      <c r="AG31" s="20"/>
      <c r="AH31" s="20"/>
      <c r="AI31" s="20"/>
      <c r="AJ31" s="20"/>
      <c r="AK31" s="20"/>
      <c r="AL31" s="20"/>
      <c r="AM31" s="20"/>
      <c r="AN31" s="20"/>
      <c r="AO31" s="20"/>
      <c r="AP31" s="20"/>
      <c r="AQ31" s="20"/>
      <c r="AR31" s="20"/>
      <c r="AS31" s="20"/>
      <c r="AT31" s="20"/>
      <c r="AU31" s="20"/>
      <c r="AV31" s="20"/>
      <c r="AW31" s="20"/>
      <c r="AX31" s="20"/>
      <c r="AY31" s="20"/>
      <c r="AZ31" s="20"/>
      <c r="BA31" s="20"/>
      <c r="BB31" s="20"/>
      <c r="BC31" s="20"/>
      <c r="BD31" s="20"/>
      <c r="BE31" s="20"/>
      <c r="BF31" s="20"/>
      <c r="BG31" s="20"/>
      <c r="BH31" s="20"/>
    </row>
    <row r="32" spans="1:60" x14ac:dyDescent="0.25">
      <c r="A32" s="14" t="s">
        <v>115</v>
      </c>
      <c r="B32" s="21" t="s">
        <v>248</v>
      </c>
      <c r="C32" s="21" t="str">
        <f>IF(T32="TRUE",VLOOKUP(A32,'Stock Nodes'!$A$1:$D$63,4,FALSE),IF(U32="TRUE",VLOOKUP(A32,'CTT Nodes'!$A$1:$D$83,4,FALSE),VLOOKUP(A32,'ETT Nodes'!$A$1:$D$87,3,FALSE)))</f>
        <v>Advanced MetalWorks</v>
      </c>
      <c r="D32" s="21" t="str">
        <f>"Node"&amp;TEXT(X32,"0")&amp;"_"&amp;A32</f>
        <v>Node5_advMetalworks</v>
      </c>
      <c r="E32" s="22" t="str">
        <f>IF(OR(V32="TRUE",B32&lt;&gt;C32),"#LOC_ETT_"&amp;A32&amp;"_description",IF(T32="TRUE",VLOOKUP(A32,'Stock Nodes'!$A$1:$C$63,2,FALSE),IF(U32="TRUE",VLOOKUP(A32,'CTT Nodes'!$A$1:$D$83,2,FALSE))))</f>
        <v>#autoLOC_501097 //#autoLOC_501097 = These new construction techniques allow for craft designs that were considered insane not too long ago... and still are. But they're now possible!</v>
      </c>
      <c r="F32" s="58">
        <v>95</v>
      </c>
      <c r="G32" s="21">
        <f t="array" ref="G32">INDEX(TNodeCols,MATCH(1,MMULT(--(TTechTree=A32),TRANSPOSE(COLUMN(TTechTree)^0)),0))</f>
        <v>-1641.0000000000009</v>
      </c>
      <c r="H32" s="21">
        <f t="array" ref="H32">INDEX(NodeRows,MATCH(1,MMULT(--(TechTree=A32),TRANSPOSE(COLUMN(TechTree)^0)),0))</f>
        <v>1253</v>
      </c>
      <c r="I32" s="63" t="str">
        <f>TEXT(G32,"0") &amp; ", " &amp; TEXT(H32,"0") &amp;", -2"</f>
        <v>-1641, 1253, -2</v>
      </c>
      <c r="J32" s="63" t="str">
        <f>IF(T32="TRUE",VLOOKUP(A32,'Stock Nodes'!$A$1:$C$63,3,FALSE),IF(U32="TRUE",VLOOKUP(A32,'CTT Nodes'!$A$1:$G$83,7,FALSE),VLOOKUP(A32,'ETT Nodes'!$A$1:$E$87,5,FALSE)))</f>
        <v>RDicon_metalworks-advanced</v>
      </c>
      <c r="K32" s="63"/>
      <c r="L32" s="63"/>
      <c r="M32" s="63"/>
      <c r="N32" s="6"/>
      <c r="O32" s="63"/>
      <c r="P32" s="63"/>
      <c r="Q32" s="6"/>
      <c r="R32" s="63"/>
      <c r="S32" s="63"/>
      <c r="T32" s="25" t="str">
        <f>IF(ISNA(VLOOKUP(A32,'Stock Nodes'!$A$1:$C$63,1,FALSE)),"FALSE","TRUE")</f>
        <v>TRUE</v>
      </c>
      <c r="U32" s="25" t="str">
        <f>IF(ISNA(VLOOKUP(A32,'CTT Nodes'!$A$1:$D$83,1,FALSE)),"FALSE","TRUE")</f>
        <v>FALSE</v>
      </c>
      <c r="V32" s="25" t="str">
        <f>IF(OR(T32="TRUE",U32="TRUE"),"FALSE","TRUE")</f>
        <v>FALSE</v>
      </c>
      <c r="W32" s="68">
        <v>30</v>
      </c>
      <c r="X32" s="59">
        <v>4.67</v>
      </c>
      <c r="Y32" s="20"/>
      <c r="Z32" s="20"/>
      <c r="AA32" s="20"/>
      <c r="AB32" s="20"/>
      <c r="AC32" s="20"/>
      <c r="AD32" s="20"/>
      <c r="AE32" s="20"/>
      <c r="AF32" s="20"/>
      <c r="AG32" s="20"/>
      <c r="AH32" s="20"/>
      <c r="AI32" s="20"/>
      <c r="AJ32" s="20"/>
      <c r="AK32" s="20"/>
      <c r="AL32" s="20"/>
      <c r="AM32" s="20"/>
      <c r="AN32" s="20"/>
      <c r="AO32" s="20"/>
      <c r="AP32" s="20"/>
      <c r="AQ32" s="20"/>
      <c r="AR32" s="20"/>
      <c r="AS32" s="20"/>
      <c r="AT32" s="20"/>
      <c r="AU32" s="20"/>
      <c r="AV32" s="20"/>
      <c r="AW32" s="20"/>
      <c r="AX32" s="20"/>
      <c r="AY32" s="20"/>
      <c r="AZ32" s="20"/>
      <c r="BA32" s="20"/>
      <c r="BB32" s="20"/>
      <c r="BC32" s="20"/>
      <c r="BD32" s="20"/>
      <c r="BE32" s="20"/>
      <c r="BF32" s="20"/>
      <c r="BG32" s="20"/>
      <c r="BH32" s="20"/>
    </row>
    <row r="33" spans="1:60" x14ac:dyDescent="0.25">
      <c r="A33" s="14" t="s">
        <v>114</v>
      </c>
      <c r="B33" s="21" t="s">
        <v>411</v>
      </c>
      <c r="C33" s="21" t="str">
        <f>IF(T33="TRUE",VLOOKUP(A33,'Stock Nodes'!$A$1:$D$63,4,FALSE),IF(U33="TRUE",VLOOKUP(A33,'CTT Nodes'!$A$1:$D$83,4,FALSE),VLOOKUP(A33,'ETT Nodes'!$A$1:$D$87,3,FALSE)))</f>
        <v>Nanolathing</v>
      </c>
      <c r="D33" s="21" t="str">
        <f>"Node"&amp;TEXT(X33,"0")&amp;"_"&amp;A33</f>
        <v>Node6_nanolathing</v>
      </c>
      <c r="E33" s="22" t="str">
        <f>IF(OR(V33="TRUE",B33&lt;&gt;C33),"#LOC_ETT_"&amp;A33&amp;"_description",IF(T33="TRUE",VLOOKUP(A33,'Stock Nodes'!$A$1:$C$63,2,FALSE),IF(U33="TRUE",VLOOKUP(A33,'CTT Nodes'!$A$1:$D$83,2,FALSE))))</f>
        <v>#autoLOC_501117 //#autoLOC_501117 = Despite the threatening appearance of the green metablobs shot out of the Nanolathing Injectors, none can argue the fact that Kerbals have indeed developed technologies at least just as dangerous as this one.</v>
      </c>
      <c r="F33" s="58">
        <v>175</v>
      </c>
      <c r="G33" s="21">
        <f t="array" ref="G33">INDEX(TNodeCols,MATCH(1,MMULT(--(TTechTree=A33),TRANSPOSE(COLUMN(TTechTree)^0)),0))</f>
        <v>-1562.7000000000007</v>
      </c>
      <c r="H33" s="21">
        <f t="array" ref="H33">INDEX(NodeRows,MATCH(1,MMULT(--(TechTree=A33),TRANSPOSE(COLUMN(TechTree)^0)),0))</f>
        <v>1253</v>
      </c>
      <c r="I33" s="63" t="str">
        <f>TEXT(G33,"0") &amp; ", " &amp; TEXT(H33,"0") &amp;", -2"</f>
        <v>-1563, 1253, -2</v>
      </c>
      <c r="J33" s="63" t="str">
        <f>IF(T33="TRUE",VLOOKUP(A33,'Stock Nodes'!$A$1:$C$63,3,FALSE),IF(U33="TRUE",VLOOKUP(A33,'CTT Nodes'!$A$1:$G$83,7,FALSE),VLOOKUP(A33,'ETT Nodes'!$A$1:$E$87,5,FALSE)))</f>
        <v>RDicon_generic</v>
      </c>
      <c r="K33" s="63"/>
      <c r="L33" s="63"/>
      <c r="M33" s="63"/>
      <c r="N33" s="21"/>
      <c r="O33" s="63"/>
      <c r="P33" s="63"/>
      <c r="Q33" s="6"/>
      <c r="R33" s="63"/>
      <c r="S33" s="63"/>
      <c r="T33" s="25" t="str">
        <f>IF(ISNA(VLOOKUP(A33,'Stock Nodes'!$A$1:$C$63,1,FALSE)),"FALSE","TRUE")</f>
        <v>TRUE</v>
      </c>
      <c r="U33" s="25" t="str">
        <f>IF(ISNA(VLOOKUP(A33,'CTT Nodes'!$A$1:$D$83,1,FALSE)),"FALSE","TRUE")</f>
        <v>FALSE</v>
      </c>
      <c r="V33" s="25" t="str">
        <f>IF(OR(T33="TRUE",U33="TRUE"),"FALSE","TRUE")</f>
        <v>FALSE</v>
      </c>
      <c r="W33" s="68">
        <v>31</v>
      </c>
      <c r="X33" s="59">
        <v>5.5</v>
      </c>
      <c r="Y33" s="20"/>
      <c r="Z33" s="20"/>
      <c r="AA33" s="20"/>
      <c r="AB33" s="20"/>
      <c r="AC33" s="20"/>
      <c r="AD33" s="20"/>
      <c r="AE33" s="20"/>
      <c r="AF33" s="20"/>
      <c r="AG33" s="20"/>
      <c r="AH33" s="20"/>
      <c r="AI33" s="20"/>
      <c r="AJ33" s="20"/>
      <c r="AK33" s="20"/>
      <c r="AL33" s="20"/>
      <c r="AM33" s="20"/>
      <c r="AN33" s="20"/>
      <c r="AO33" s="20"/>
      <c r="AP33" s="20"/>
      <c r="AQ33" s="20"/>
      <c r="AR33" s="20"/>
      <c r="AS33" s="20"/>
      <c r="AT33" s="20"/>
      <c r="AU33" s="20"/>
      <c r="AV33" s="20"/>
      <c r="AW33" s="20"/>
      <c r="AX33" s="20"/>
      <c r="AY33" s="20"/>
      <c r="AZ33" s="20"/>
      <c r="BA33" s="20"/>
      <c r="BB33" s="20"/>
      <c r="BC33" s="20"/>
      <c r="BD33" s="20"/>
      <c r="BE33" s="20"/>
      <c r="BF33" s="20"/>
      <c r="BG33" s="20"/>
      <c r="BH33" s="20"/>
    </row>
    <row r="34" spans="1:60" x14ac:dyDescent="0.25">
      <c r="A34" s="21" t="s">
        <v>76</v>
      </c>
      <c r="B34" s="21" t="s">
        <v>77</v>
      </c>
      <c r="C34" s="21" t="str">
        <f>IF(T34="TRUE",VLOOKUP(A34,'Stock Nodes'!$A$1:$D$63,4,FALSE),IF(U34="TRUE",VLOOKUP(A34,'CTT Nodes'!$A$1:$D$83,4,FALSE),VLOOKUP(A34,'ETT Nodes'!$A$1:$D$87,3,FALSE)))</f>
        <v>Exotic Alloys</v>
      </c>
      <c r="D34" s="21" t="str">
        <f>"Node"&amp;TEXT(X34,"0")&amp;"_"&amp;A34</f>
        <v>Node7_exoticAlloys</v>
      </c>
      <c r="E34" s="22" t="str">
        <f>IF(OR(V34="TRUE",B34&lt;&gt;C34),"#LOC_ETT_"&amp;A34&amp;"_description",IF(T34="TRUE",VLOOKUP(A34,'Stock Nodes'!$A$1:$C$63,2,FALSE),IF(U34="TRUE",VLOOKUP(A34,'CTT Nodes'!$A$1:$D$83,2,FALSE))))</f>
        <v>#LOC_CTT_exoticAlloys_description</v>
      </c>
      <c r="F34" s="58">
        <v>375</v>
      </c>
      <c r="G34" s="46">
        <f t="array" ref="G34">INDEX(TNodeCols,MATCH(1,MMULT(--(TTechTree=A34),TRANSPOSE(COLUMN(TTechTree)^0)),0))</f>
        <v>-1484.4000000000005</v>
      </c>
      <c r="H34" s="21">
        <f t="array" ref="H34">INDEX(NodeRows,MATCH(1,MMULT(--(TechTree=A34),TRANSPOSE(COLUMN(TechTree)^0)),0))</f>
        <v>1253</v>
      </c>
      <c r="I34" s="63" t="str">
        <f>TEXT(G34,"0") &amp; ", " &amp; TEXT(H34,"0") &amp;", -2"</f>
        <v>-1484, 1253, -2</v>
      </c>
      <c r="J34" s="63" t="str">
        <f>IF(T34="TRUE",VLOOKUP(A34,'Stock Nodes'!$A$1:$C$63,3,FALSE),IF(U34="TRUE",VLOOKUP(A34,'CTT Nodes'!$A$1:$G$83,7,FALSE),VLOOKUP(A34,'ETT Nodes'!$A$1:$E$87,5,FALSE)))</f>
        <v>ETTR/UI/CTT/ctt_icon_exoticAlloys</v>
      </c>
      <c r="K34" s="63"/>
      <c r="L34" s="63"/>
      <c r="M34" s="63"/>
      <c r="N34" s="63"/>
      <c r="O34" s="63"/>
      <c r="P34" s="63"/>
      <c r="Q34" s="21"/>
      <c r="R34" s="63"/>
      <c r="S34" s="63"/>
      <c r="T34" s="25" t="str">
        <f>IF(ISNA(VLOOKUP(A34,'Stock Nodes'!$A$1:$C$63,1,FALSE)),"FALSE","TRUE")</f>
        <v>FALSE</v>
      </c>
      <c r="U34" s="25" t="str">
        <f>IF(ISNA(VLOOKUP(A34,'CTT Nodes'!$A$1:$D$83,1,FALSE)),"FALSE","TRUE")</f>
        <v>TRUE</v>
      </c>
      <c r="V34" s="25" t="str">
        <f>IF(OR(T34="TRUE",U34="TRUE"),"FALSE","TRUE")</f>
        <v>FALSE</v>
      </c>
      <c r="W34" s="63">
        <v>32</v>
      </c>
      <c r="X34" s="59">
        <v>7</v>
      </c>
      <c r="Y34" s="20"/>
      <c r="Z34" s="20"/>
      <c r="AA34" s="20"/>
      <c r="AB34" s="20"/>
      <c r="AC34" s="20"/>
      <c r="AD34" s="20"/>
      <c r="AE34" s="20"/>
      <c r="AF34" s="20"/>
      <c r="AG34" s="20"/>
      <c r="AH34" s="20"/>
      <c r="AI34" s="20"/>
      <c r="AJ34" s="20"/>
      <c r="AK34" s="20"/>
      <c r="AL34" s="20"/>
      <c r="AM34" s="20"/>
      <c r="AN34" s="20"/>
      <c r="AO34" s="20"/>
      <c r="AP34" s="20"/>
      <c r="AQ34" s="20"/>
      <c r="AR34" s="20"/>
      <c r="AS34" s="20"/>
      <c r="AT34" s="20"/>
      <c r="AU34" s="20"/>
      <c r="AV34" s="20"/>
      <c r="AW34" s="20"/>
      <c r="AX34" s="20"/>
      <c r="AY34" s="20"/>
      <c r="AZ34" s="20"/>
      <c r="BA34" s="20"/>
      <c r="BB34" s="20"/>
      <c r="BC34" s="20"/>
      <c r="BD34" s="20"/>
      <c r="BE34" s="20"/>
      <c r="BF34" s="20"/>
      <c r="BG34" s="20"/>
      <c r="BH34" s="20"/>
    </row>
    <row r="35" spans="1:60" x14ac:dyDescent="0.25">
      <c r="A35" s="21" t="s">
        <v>72</v>
      </c>
      <c r="B35" s="21" t="s">
        <v>251</v>
      </c>
      <c r="C35" s="21" t="str">
        <f>IF(T35="TRUE",VLOOKUP(A35,'Stock Nodes'!$A$1:$D$63,4,FALSE),IF(U35="TRUE",VLOOKUP(A35,'CTT Nodes'!$A$1:$D$83,4,FALSE),VLOOKUP(A35,'ETT Nodes'!$A$1:$D$87,3,FALSE)))</f>
        <v>Landing</v>
      </c>
      <c r="D35" s="21" t="str">
        <f>"Node"&amp;TEXT(X35,"0")&amp;"_"&amp;A35</f>
        <v>Node3_landing</v>
      </c>
      <c r="E35" s="22" t="str">
        <f>IF(OR(V35="TRUE",B35&lt;&gt;C35),"#LOC_ETT_"&amp;A35&amp;"_description",IF(T35="TRUE",VLOOKUP(A35,'Stock Nodes'!$A$1:$C$63,2,FALSE),IF(U35="TRUE",VLOOKUP(A35,'CTT Nodes'!$A$1:$D$83,2,FALSE))))</f>
        <v>#LOC_ETT_landing_description</v>
      </c>
      <c r="F35" s="58">
        <v>25</v>
      </c>
      <c r="G35" s="46">
        <f t="array" ref="G35">INDEX(TNodeCols,MATCH(1,MMULT(--(TTechTree=A35),TRANSPOSE(COLUMN(TTechTree)^0)),0))</f>
        <v>-1875.9000000000015</v>
      </c>
      <c r="H35" s="21">
        <f t="array" ref="H35">INDEX(NodeRows,MATCH(1,MMULT(--(TechTree=A35),TRANSPOSE(COLUMN(TechTree)^0)),0))</f>
        <v>1861</v>
      </c>
      <c r="I35" s="63" t="str">
        <f>TEXT(G35,"0") &amp; ", " &amp; TEXT(H35,"0") &amp;", -2"</f>
        <v>-1876, 1861, -2</v>
      </c>
      <c r="J35" s="63" t="str">
        <f>IF(T35="TRUE",VLOOKUP(A35,'Stock Nodes'!$A$1:$C$63,3,FALSE),IF(U35="TRUE",VLOOKUP(A35,'CTT Nodes'!$A$1:$G$83,7,FALSE),VLOOKUP(A35,'ETT Nodes'!$A$1:$E$87,5,FALSE)))</f>
        <v>RDicon_landing</v>
      </c>
      <c r="K35" s="63"/>
      <c r="L35" s="63"/>
      <c r="M35" s="63"/>
      <c r="N35" s="63"/>
      <c r="O35" s="63"/>
      <c r="P35" s="63"/>
      <c r="Q35" s="6"/>
      <c r="R35" s="63"/>
      <c r="S35" s="63"/>
      <c r="T35" s="25" t="str">
        <f>IF(ISNA(VLOOKUP(A35,'Stock Nodes'!$A$1:$C$63,1,FALSE)),"FALSE","TRUE")</f>
        <v>TRUE</v>
      </c>
      <c r="U35" s="25" t="str">
        <f>IF(ISNA(VLOOKUP(A35,'CTT Nodes'!$A$1:$D$83,1,FALSE)),"FALSE","TRUE")</f>
        <v>FALSE</v>
      </c>
      <c r="V35" s="25" t="str">
        <f>IF(OR(T35="TRUE",U35="TRUE"),"FALSE","TRUE")</f>
        <v>FALSE</v>
      </c>
      <c r="W35" s="68">
        <v>33</v>
      </c>
      <c r="X35" s="59">
        <v>3</v>
      </c>
      <c r="Y35" s="20"/>
      <c r="Z35" s="20"/>
      <c r="AA35" s="20"/>
      <c r="AB35" s="20"/>
      <c r="AC35" s="20"/>
      <c r="AD35" s="20"/>
      <c r="AE35" s="20"/>
      <c r="AF35" s="20"/>
      <c r="AG35" s="20"/>
      <c r="AH35" s="20"/>
      <c r="AI35" s="20"/>
      <c r="AJ35" s="20"/>
      <c r="AK35" s="20"/>
      <c r="AL35" s="20"/>
      <c r="AM35" s="20"/>
      <c r="AN35" s="20"/>
      <c r="AO35" s="20"/>
      <c r="AP35" s="20"/>
      <c r="AQ35" s="20"/>
      <c r="AR35" s="20"/>
      <c r="AS35" s="20"/>
      <c r="AT35" s="20"/>
      <c r="AU35" s="20"/>
      <c r="AV35" s="20"/>
      <c r="AW35" s="20"/>
      <c r="AX35" s="20"/>
      <c r="AY35" s="20"/>
      <c r="AZ35" s="20"/>
      <c r="BA35" s="20"/>
      <c r="BB35" s="20"/>
      <c r="BC35" s="20"/>
      <c r="BD35" s="20"/>
      <c r="BE35" s="20"/>
      <c r="BF35" s="20"/>
      <c r="BG35" s="20"/>
      <c r="BH35" s="20"/>
    </row>
    <row r="36" spans="1:60" x14ac:dyDescent="0.25">
      <c r="A36" s="63" t="s">
        <v>102</v>
      </c>
      <c r="B36" s="63" t="s">
        <v>296</v>
      </c>
      <c r="C36" s="21" t="str">
        <f>IF(T36="TRUE",VLOOKUP(A36,'Stock Nodes'!$A$1:$D$63,4,FALSE),IF(U36="TRUE",VLOOKUP(A36,'CTT Nodes'!$A$1:$D$83,4,FALSE),VLOOKUP(A36,'ETT Nodes'!$A$1:$D$87,3,FALSE)))</f>
        <v>Advanced Landing</v>
      </c>
      <c r="D36" s="21" t="str">
        <f>"Node"&amp;TEXT(X36,"0")&amp;"_"&amp;A36</f>
        <v>Node4_advLanding</v>
      </c>
      <c r="E36" s="22" t="str">
        <f>IF(OR(V36="TRUE",B36&lt;&gt;C36),"#LOC_ETT_"&amp;A36&amp;"_description",IF(T36="TRUE",VLOOKUP(A36,'Stock Nodes'!$A$1:$C$63,2,FALSE),IF(U36="TRUE",VLOOKUP(A36,'CTT Nodes'!$A$1:$D$83,2,FALSE))))</f>
        <v>#LOC_ETT_advLanding_description</v>
      </c>
      <c r="F36" s="58">
        <v>50</v>
      </c>
      <c r="G36" s="46">
        <f t="array" ref="G36">INDEX(TNodeCols,MATCH(1,MMULT(--(TTechTree=A36),TRANSPOSE(COLUMN(TTechTree)^0)),0))</f>
        <v>-1875.9000000000015</v>
      </c>
      <c r="H36" s="21">
        <f t="array" ref="H36">INDEX(NodeRows,MATCH(1,MMULT(--(TechTree=A36),TRANSPOSE(COLUMN(TechTree)^0)),0))</f>
        <v>1937</v>
      </c>
      <c r="I36" s="63" t="str">
        <f>TEXT(G36,"0") &amp; ", " &amp; TEXT(H36,"0") &amp;", -2"</f>
        <v>-1876, 1937, -2</v>
      </c>
      <c r="J36" s="63" t="str">
        <f>IF(T36="TRUE",VLOOKUP(A36,'Stock Nodes'!$A$1:$C$63,3,FALSE),IF(U36="TRUE",VLOOKUP(A36,'CTT Nodes'!$A$1:$G$83,7,FALSE),VLOOKUP(A36,'ETT Nodes'!$A$1:$E$87,5,FALSE)))</f>
        <v>RDicon_landing-advanced</v>
      </c>
      <c r="K36" s="63"/>
      <c r="L36" s="63"/>
      <c r="M36" s="63"/>
      <c r="N36" s="63"/>
      <c r="O36" s="63"/>
      <c r="P36" s="63"/>
      <c r="Q36" s="63"/>
      <c r="R36" s="63"/>
      <c r="S36" s="63"/>
      <c r="T36" s="25" t="str">
        <f>IF(ISNA(VLOOKUP(A36,'Stock Nodes'!$A$1:$C$63,1,FALSE)),"FALSE","TRUE")</f>
        <v>TRUE</v>
      </c>
      <c r="U36" s="25" t="str">
        <f>IF(ISNA(VLOOKUP(A36,'CTT Nodes'!$A$1:$D$83,1,FALSE)),"FALSE","TRUE")</f>
        <v>FALSE</v>
      </c>
      <c r="V36" s="25" t="str">
        <f>IF(OR(T36="TRUE",U36="TRUE"),"FALSE","TRUE")</f>
        <v>FALSE</v>
      </c>
      <c r="W36" s="68">
        <v>34</v>
      </c>
      <c r="X36" s="59">
        <v>3.67</v>
      </c>
      <c r="Y36" s="20"/>
      <c r="Z36" s="20"/>
      <c r="AA36" s="20"/>
      <c r="AB36" s="20"/>
      <c r="AC36" s="20"/>
      <c r="AD36" s="20"/>
      <c r="AE36" s="20"/>
      <c r="AF36" s="20"/>
      <c r="AG36" s="20"/>
      <c r="AH36" s="20"/>
      <c r="AI36" s="20"/>
      <c r="AJ36" s="20"/>
      <c r="AK36" s="20"/>
      <c r="AL36" s="20"/>
      <c r="AM36" s="20"/>
      <c r="AN36" s="20"/>
      <c r="AO36" s="20"/>
      <c r="AP36" s="20"/>
      <c r="AQ36" s="20"/>
      <c r="AR36" s="20"/>
      <c r="AS36" s="20"/>
      <c r="AT36" s="20"/>
      <c r="AU36" s="20"/>
      <c r="AV36" s="20"/>
      <c r="AW36" s="20"/>
      <c r="AX36" s="20"/>
      <c r="AY36" s="20"/>
      <c r="AZ36" s="20"/>
      <c r="BA36" s="20"/>
      <c r="BB36" s="20"/>
      <c r="BC36" s="20"/>
      <c r="BD36" s="20"/>
      <c r="BE36" s="20"/>
      <c r="BF36" s="20"/>
      <c r="BG36" s="20"/>
      <c r="BH36" s="20"/>
    </row>
    <row r="37" spans="1:60" x14ac:dyDescent="0.25">
      <c r="A37" s="63" t="s">
        <v>73</v>
      </c>
      <c r="B37" s="21" t="s">
        <v>74</v>
      </c>
      <c r="C37" s="21" t="str">
        <f>IF(T37="TRUE",VLOOKUP(A37,'Stock Nodes'!$A$1:$D$63,4,FALSE),IF(U37="TRUE",VLOOKUP(A37,'CTT Nodes'!$A$1:$D$83,4,FALSE),VLOOKUP(A37,'ETT Nodes'!$A$1:$D$87,3,FALSE)))</f>
        <v>Heavy Landing</v>
      </c>
      <c r="D37" s="21" t="str">
        <f>"Node"&amp;TEXT(X37,"0")&amp;"_"&amp;A37</f>
        <v>Node4_heavyLanding</v>
      </c>
      <c r="E37" s="22" t="str">
        <f>IF(OR(V37="TRUE",B37&lt;&gt;C37),"#LOC_ETT_"&amp;A37&amp;"_description",IF(T37="TRUE",VLOOKUP(A37,'Stock Nodes'!$A$1:$C$63,2,FALSE),IF(U37="TRUE",VLOOKUP(A37,'CTT Nodes'!$A$1:$D$83,2,FALSE))))</f>
        <v>#LOC_ETT_heavyLanding_description</v>
      </c>
      <c r="F37" s="58">
        <v>80</v>
      </c>
      <c r="G37" s="46">
        <f t="array" ref="G37">INDEX(TNodeCols,MATCH(1,MMULT(--(TTechTree=A37),TRANSPOSE(COLUMN(TTechTree)^0)),0))</f>
        <v>-1875.9000000000015</v>
      </c>
      <c r="H37" s="21">
        <f t="array" ref="H37">INDEX(NodeRows,MATCH(1,MMULT(--(TechTree=A37),TRANSPOSE(COLUMN(TechTree)^0)),0))</f>
        <v>2013</v>
      </c>
      <c r="I37" s="63" t="str">
        <f>TEXT(G37,"0") &amp; ", " &amp; TEXT(H37,"0") &amp;", -2"</f>
        <v>-1876, 2013, -2</v>
      </c>
      <c r="J37" s="63" t="str">
        <f>IF(T37="TRUE",VLOOKUP(A37,'Stock Nodes'!$A$1:$C$63,3,FALSE),IF(U37="TRUE",VLOOKUP(A37,'CTT Nodes'!$A$1:$G$83,7,FALSE),VLOOKUP(A37,'ETT Nodes'!$A$1:$E$87,5,FALSE)))</f>
        <v>RDicon_motors-experimental</v>
      </c>
      <c r="K37" s="63"/>
      <c r="L37" s="63"/>
      <c r="M37" s="63"/>
      <c r="N37" s="21"/>
      <c r="O37" s="63"/>
      <c r="P37" s="63"/>
      <c r="Q37" s="21"/>
      <c r="R37" s="63"/>
      <c r="S37" s="63"/>
      <c r="T37" s="25" t="str">
        <f>IF(ISNA(VLOOKUP(A37,'Stock Nodes'!$A$1:$C$63,1,FALSE)),"FALSE","TRUE")</f>
        <v>TRUE</v>
      </c>
      <c r="U37" s="25" t="str">
        <f>IF(ISNA(VLOOKUP(A37,'CTT Nodes'!$A$1:$D$83,1,FALSE)),"FALSE","TRUE")</f>
        <v>FALSE</v>
      </c>
      <c r="V37" s="25" t="str">
        <f>IF(OR(T37="TRUE",U37="TRUE"),"FALSE","TRUE")</f>
        <v>FALSE</v>
      </c>
      <c r="W37" s="63">
        <v>35</v>
      </c>
      <c r="X37" s="59">
        <v>4.33</v>
      </c>
      <c r="Y37" s="20"/>
      <c r="Z37" s="20"/>
      <c r="AA37" s="20"/>
      <c r="AB37" s="20"/>
      <c r="AC37" s="20"/>
      <c r="AD37" s="20"/>
      <c r="AE37" s="20"/>
      <c r="AF37" s="20"/>
      <c r="AG37" s="20"/>
      <c r="AH37" s="20"/>
      <c r="AI37" s="20"/>
      <c r="AJ37" s="20"/>
      <c r="AK37" s="20"/>
      <c r="AL37" s="20"/>
      <c r="AM37" s="20"/>
      <c r="AN37" s="20"/>
      <c r="AO37" s="20"/>
      <c r="AP37" s="20"/>
      <c r="AQ37" s="20"/>
      <c r="AR37" s="20"/>
      <c r="AS37" s="20"/>
      <c r="AT37" s="20"/>
      <c r="AU37" s="20"/>
      <c r="AV37" s="20"/>
      <c r="AW37" s="20"/>
      <c r="AX37" s="20"/>
      <c r="AY37" s="20"/>
      <c r="AZ37" s="20"/>
      <c r="BA37" s="20"/>
      <c r="BB37" s="20"/>
      <c r="BC37" s="20"/>
      <c r="BD37" s="20"/>
      <c r="BE37" s="20"/>
      <c r="BF37" s="20"/>
      <c r="BG37" s="20"/>
      <c r="BH37" s="20"/>
    </row>
    <row r="38" spans="1:60" s="20" customFormat="1" x14ac:dyDescent="0.25">
      <c r="A38" s="21" t="s">
        <v>97</v>
      </c>
      <c r="B38" s="21" t="s">
        <v>398</v>
      </c>
      <c r="C38" s="21" t="str">
        <f>IF(T38="TRUE",VLOOKUP(A38,'Stock Nodes'!$A$1:$D$63,4,FALSE),IF(U38="TRUE",VLOOKUP(A38,'CTT Nodes'!$A$1:$D$83,4,FALSE),VLOOKUP(A38,'ETT Nodes'!$A$1:$D$87,3,FALSE)))</f>
        <v>Composites</v>
      </c>
      <c r="D38" s="21" t="str">
        <f>"Node"&amp;TEXT(X38,"0")&amp;"_"&amp;A38</f>
        <v>Node6_composites</v>
      </c>
      <c r="E38" s="22" t="str">
        <f>IF(OR(V38="TRUE",B38&lt;&gt;C38),"#LOC_ETT_"&amp;A38&amp;"_description",IF(T38="TRUE",VLOOKUP(A38,'Stock Nodes'!$A$1:$C$63,2,FALSE),IF(U38="TRUE",VLOOKUP(A38,'CTT Nodes'!$A$1:$D$83,2,FALSE))))</f>
        <v>#autoLOC_501105 //#autoLOC_501105 = Lightweight and strong! and don't worry, we're sure the glue will dry off in no time.</v>
      </c>
      <c r="F38" s="58">
        <v>200</v>
      </c>
      <c r="G38" s="46">
        <f t="array" ref="G38">INDEX(TNodeCols,MATCH(1,MMULT(--(TTechTree=A38),TRANSPOSE(COLUMN(TTechTree)^0)),0))</f>
        <v>-1562.7000000000007</v>
      </c>
      <c r="H38" s="63">
        <f t="array" ref="H38">INDEX(NodeRows,MATCH(1,MMULT(--(TechTree=A38),TRANSPOSE(COLUMN(TechTree)^0)),0))</f>
        <v>1177</v>
      </c>
      <c r="I38" s="63" t="str">
        <f>TEXT(G38,"0") &amp; ", " &amp; TEXT(H38,"0") &amp;", -2"</f>
        <v>-1563, 1177, -2</v>
      </c>
      <c r="J38" s="63" t="str">
        <f>IF(T38="TRUE",VLOOKUP(A38,'Stock Nodes'!$A$1:$C$63,3,FALSE),IF(U38="TRUE",VLOOKUP(A38,'CTT Nodes'!$A$1:$G$83,7,FALSE),VLOOKUP(A38,'ETT Nodes'!$A$1:$E$87,5,FALSE)))</f>
        <v>RDicon_composites</v>
      </c>
      <c r="K38" s="63"/>
      <c r="L38" s="63"/>
      <c r="M38" s="63"/>
      <c r="N38" s="21"/>
      <c r="O38" s="63"/>
      <c r="P38" s="63"/>
      <c r="Q38" s="21"/>
      <c r="R38" s="63"/>
      <c r="S38" s="63"/>
      <c r="T38" s="25" t="str">
        <f>IF(ISNA(VLOOKUP(A38,'Stock Nodes'!$A$1:$C$63,1,FALSE)),"FALSE","TRUE")</f>
        <v>TRUE</v>
      </c>
      <c r="U38" s="25" t="str">
        <f>IF(ISNA(VLOOKUP(A38,'CTT Nodes'!$A$1:$D$83,1,FALSE)),"FALSE","TRUE")</f>
        <v>FALSE</v>
      </c>
      <c r="V38" s="25" t="str">
        <f>IF(OR(T38="TRUE",U38="TRUE"),"FALSE","TRUE")</f>
        <v>FALSE</v>
      </c>
      <c r="W38" s="68">
        <v>36</v>
      </c>
      <c r="X38" s="59">
        <v>5.75</v>
      </c>
    </row>
    <row r="39" spans="1:60" x14ac:dyDescent="0.25">
      <c r="A39" s="14" t="s">
        <v>118</v>
      </c>
      <c r="B39" s="21" t="s">
        <v>249</v>
      </c>
      <c r="C39" s="21" t="str">
        <f>IF(T39="TRUE",VLOOKUP(A39,'Stock Nodes'!$A$1:$D$63,4,FALSE),IF(U39="TRUE",VLOOKUP(A39,'CTT Nodes'!$A$1:$D$83,4,FALSE),VLOOKUP(A39,'ETT Nodes'!$A$1:$D$87,3,FALSE)))</f>
        <v>Meta-Materials</v>
      </c>
      <c r="D39" s="21" t="str">
        <f>"Node"&amp;TEXT(X39,"0")&amp;"_"&amp;A39</f>
        <v>Node9_metaMaterials</v>
      </c>
      <c r="E39" s="22" t="str">
        <f>IF(OR(V39="TRUE",B39&lt;&gt;C39),"#LOC_ETT_"&amp;A39&amp;"_description",IF(T39="TRUE",VLOOKUP(A39,'Stock Nodes'!$A$1:$C$63,2,FALSE),IF(U39="TRUE",VLOOKUP(A39,'CTT Nodes'!$A$1:$D$83,2,FALSE))))</f>
        <v>#LOC_ETT_metaMaterials_description</v>
      </c>
      <c r="F39" s="58">
        <v>750</v>
      </c>
      <c r="G39" s="46">
        <f t="array" ref="G39">INDEX(TNodeCols,MATCH(1,MMULT(--(TTechTree=A39),TRANSPOSE(COLUMN(TTechTree)^0)),0))</f>
        <v>-1484.4000000000005</v>
      </c>
      <c r="H39" s="63">
        <f t="array" ref="H39">INDEX(NodeRows,MATCH(1,MMULT(--(TechTree=A39),TRANSPOSE(COLUMN(TechTree)^0)),0))</f>
        <v>1177</v>
      </c>
      <c r="I39" s="63" t="str">
        <f>TEXT(G39,"0") &amp; ", " &amp; TEXT(H39,"0") &amp;", -2"</f>
        <v>-1484, 1177, -2</v>
      </c>
      <c r="J39" s="63" t="str">
        <f>IF(T39="TRUE",VLOOKUP(A39,'Stock Nodes'!$A$1:$C$63,3,FALSE),IF(U39="TRUE",VLOOKUP(A39,'CTT Nodes'!$A$1:$G$83,7,FALSE),VLOOKUP(A39,'ETT Nodes'!$A$1:$E$87,5,FALSE)))</f>
        <v>RDicon_metamaterials</v>
      </c>
      <c r="K39" s="6"/>
      <c r="L39" s="63"/>
      <c r="M39" s="63"/>
      <c r="N39" s="6"/>
      <c r="O39" s="63"/>
      <c r="P39" s="63"/>
      <c r="Q39" s="6"/>
      <c r="R39" s="63"/>
      <c r="S39" s="63"/>
      <c r="T39" s="25" t="str">
        <f>IF(ISNA(VLOOKUP(A39,'Stock Nodes'!$A$1:$C$63,1,FALSE)),"FALSE","TRUE")</f>
        <v>TRUE</v>
      </c>
      <c r="U39" s="25" t="str">
        <f>IF(ISNA(VLOOKUP(A39,'CTT Nodes'!$A$1:$D$83,1,FALSE)),"FALSE","TRUE")</f>
        <v>FALSE</v>
      </c>
      <c r="V39" s="25" t="str">
        <f>IF(OR(T39="TRUE",U39="TRUE"),"FALSE","TRUE")</f>
        <v>FALSE</v>
      </c>
      <c r="W39" s="68">
        <v>37</v>
      </c>
      <c r="X39" s="59">
        <v>9</v>
      </c>
      <c r="Y39" s="20"/>
      <c r="Z39" s="20"/>
      <c r="AA39" s="20"/>
      <c r="AB39" s="20"/>
      <c r="AC39" s="20"/>
      <c r="AD39" s="20"/>
      <c r="AE39" s="20"/>
      <c r="AF39" s="20"/>
      <c r="AG39" s="20"/>
      <c r="AH39" s="20"/>
      <c r="AI39" s="20"/>
      <c r="AJ39" s="20"/>
      <c r="AK39" s="20"/>
      <c r="AL39" s="20"/>
      <c r="AM39" s="20"/>
      <c r="AN39" s="20"/>
      <c r="AO39" s="20"/>
      <c r="AP39" s="20"/>
      <c r="AQ39" s="20"/>
      <c r="AR39" s="20"/>
      <c r="AS39" s="20"/>
      <c r="AT39" s="20"/>
      <c r="AU39" s="20"/>
      <c r="AV39" s="20"/>
      <c r="AW39" s="20"/>
      <c r="AX39" s="20"/>
      <c r="AY39" s="20"/>
      <c r="AZ39" s="20"/>
      <c r="BA39" s="20"/>
      <c r="BB39" s="20"/>
      <c r="BC39" s="20"/>
      <c r="BD39" s="20"/>
      <c r="BE39" s="20"/>
      <c r="BF39" s="20"/>
      <c r="BG39" s="20"/>
      <c r="BH39" s="20"/>
    </row>
    <row r="40" spans="1:60" x14ac:dyDescent="0.25">
      <c r="A40" s="21" t="s">
        <v>58</v>
      </c>
      <c r="B40" s="21" t="s">
        <v>250</v>
      </c>
      <c r="C40" s="21" t="str">
        <f>IF(T40="TRUE",VLOOKUP(A40,'Stock Nodes'!$A$1:$D$63,4,FALSE),IF(U40="TRUE",VLOOKUP(A40,'CTT Nodes'!$A$1:$D$83,4,FALSE),VLOOKUP(A40,'ETT Nodes'!$A$1:$D$87,3,FALSE)))</f>
        <v>Aviation</v>
      </c>
      <c r="D40" s="21" t="str">
        <f>"Node"&amp;TEXT(X40,"0")&amp;"_"&amp;A40</f>
        <v>Node3_aviation</v>
      </c>
      <c r="E40" s="22" t="str">
        <f>IF(OR(V40="TRUE",B40&lt;&gt;C40),"#LOC_ETT_"&amp;A40&amp;"_description",IF(T40="TRUE",VLOOKUP(A40,'Stock Nodes'!$A$1:$C$63,2,FALSE),IF(U40="TRUE",VLOOKUP(A40,'CTT Nodes'!$A$1:$D$83,2,FALSE))))</f>
        <v>#LOC_ETT_aviation_description</v>
      </c>
      <c r="F40" s="58">
        <v>15</v>
      </c>
      <c r="G40" s="46">
        <f t="array" ref="G40">INDEX(TNodeCols,MATCH(1,MMULT(--(TTechTree=A40),TRANSPOSE(COLUMN(TTechTree)^0)),0))</f>
        <v>-1954.2000000000016</v>
      </c>
      <c r="H40" s="63">
        <f t="array" ref="H40">INDEX(NodeRows,MATCH(1,MMULT(--(TechTree=A40),TRANSPOSE(COLUMN(TechTree)^0)),0))</f>
        <v>1747</v>
      </c>
      <c r="I40" s="63" t="str">
        <f>TEXT(G40,"0") &amp; ", " &amp; TEXT(H40,"0") &amp;", -2"</f>
        <v>-1954, 1747, -2</v>
      </c>
      <c r="J40" s="63" t="str">
        <f>IF(T40="TRUE",VLOOKUP(A40,'Stock Nodes'!$A$1:$C$63,3,FALSE),IF(U40="TRUE",VLOOKUP(A40,'CTT Nodes'!$A$1:$G$83,7,FALSE),VLOOKUP(A40,'ETT Nodes'!$A$1:$E$87,5,FALSE)))</f>
        <v>RDicon_aerospaceTech</v>
      </c>
      <c r="K40" s="21"/>
      <c r="L40" s="63"/>
      <c r="M40" s="63"/>
      <c r="N40" s="21"/>
      <c r="O40" s="63"/>
      <c r="P40" s="63"/>
      <c r="Q40" s="21"/>
      <c r="R40" s="63"/>
      <c r="S40" s="63"/>
      <c r="T40" s="25" t="str">
        <f>IF(ISNA(VLOOKUP(A40,'Stock Nodes'!$A$1:$C$63,1,FALSE)),"FALSE","TRUE")</f>
        <v>TRUE</v>
      </c>
      <c r="U40" s="25" t="str">
        <f>IF(ISNA(VLOOKUP(A40,'CTT Nodes'!$A$1:$D$83,1,FALSE)),"FALSE","TRUE")</f>
        <v>FALSE</v>
      </c>
      <c r="V40" s="25" t="str">
        <f>IF(OR(T40="TRUE",U40="TRUE"),"FALSE","TRUE")</f>
        <v>FALSE</v>
      </c>
      <c r="W40" s="63">
        <v>38</v>
      </c>
      <c r="X40" s="59">
        <v>2.5</v>
      </c>
      <c r="Y40" s="20"/>
      <c r="Z40" s="20"/>
      <c r="AA40" s="20"/>
      <c r="AB40" s="20"/>
      <c r="AC40" s="20"/>
      <c r="AD40" s="20"/>
      <c r="AE40" s="20"/>
      <c r="AF40" s="20"/>
      <c r="AG40" s="20"/>
      <c r="AH40" s="20"/>
      <c r="AI40" s="20"/>
      <c r="AJ40" s="20"/>
      <c r="AK40" s="20"/>
      <c r="AL40" s="20"/>
      <c r="AM40" s="20"/>
      <c r="AN40" s="20"/>
      <c r="AO40" s="20"/>
      <c r="AP40" s="20"/>
      <c r="AQ40" s="20"/>
      <c r="AR40" s="20"/>
      <c r="AS40" s="20"/>
      <c r="AT40" s="20"/>
      <c r="AU40" s="20"/>
      <c r="AV40" s="20"/>
      <c r="AW40" s="20"/>
      <c r="AX40" s="20"/>
      <c r="AY40" s="20"/>
      <c r="AZ40" s="20"/>
      <c r="BA40" s="20"/>
      <c r="BB40" s="20"/>
      <c r="BC40" s="20"/>
      <c r="BD40" s="20"/>
      <c r="BE40" s="20"/>
      <c r="BF40" s="20"/>
      <c r="BG40" s="20"/>
      <c r="BH40" s="20"/>
    </row>
    <row r="41" spans="1:60" x14ac:dyDescent="0.25">
      <c r="A41" s="14" t="s">
        <v>79</v>
      </c>
      <c r="B41" s="63" t="s">
        <v>229</v>
      </c>
      <c r="C41" s="21" t="str">
        <f>IF(T41="TRUE",VLOOKUP(A41,'Stock Nodes'!$A$1:$D$63,4,FALSE),IF(U41="TRUE",VLOOKUP(A41,'CTT Nodes'!$A$1:$D$83,4,FALSE),VLOOKUP(A41,'ETT Nodes'!$A$1:$D$87,3,FALSE)))</f>
        <v>Aerodynamics</v>
      </c>
      <c r="D41" s="21" t="str">
        <f>"Node"&amp;TEXT(X41,"0")&amp;"_"&amp;A41</f>
        <v>Node3_aerodynamicSystems</v>
      </c>
      <c r="E41" s="22" t="str">
        <f>IF(OR(V41="TRUE",B41&lt;&gt;C41),"#LOC_ETT_"&amp;A41&amp;"_description",IF(T41="TRUE",VLOOKUP(A41,'Stock Nodes'!$A$1:$C$63,2,FALSE),IF(U41="TRUE",VLOOKUP(A41,'CTT Nodes'!$A$1:$D$83,2,FALSE))))</f>
        <v>#autoLOC_501051 //#autoLOC_501051 = New breakthroughs from C7 Aerospace allow for new types of craft to be built. We're looking into hiring some of their engineers as well.</v>
      </c>
      <c r="F41" s="58">
        <v>25</v>
      </c>
      <c r="G41" s="46">
        <f t="array" ref="G41">INDEX(TNodeCols,MATCH(1,MMULT(--(TTechTree=A41),TRANSPOSE(COLUMN(TTechTree)^0)),0))</f>
        <v>-2032.5000000000018</v>
      </c>
      <c r="H41" s="63">
        <f t="array" ref="H41">INDEX(NodeRows,MATCH(1,MMULT(--(TechTree=A41),TRANSPOSE(COLUMN(TechTree)^0)),0))</f>
        <v>1785</v>
      </c>
      <c r="I41" s="63" t="str">
        <f>TEXT(G41,"0") &amp; ", " &amp; TEXT(H41,"0") &amp;", -2"</f>
        <v>-2033, 1785, -2</v>
      </c>
      <c r="J41" s="63" t="str">
        <f>IF(T41="TRUE",VLOOKUP(A41,'Stock Nodes'!$A$1:$C$63,3,FALSE),IF(U41="TRUE",VLOOKUP(A41,'CTT Nodes'!$A$1:$G$83,7,FALSE),VLOOKUP(A41,'ETT Nodes'!$A$1:$E$87,5,FALSE)))</f>
        <v>RDicon_aerodynamicSystems</v>
      </c>
      <c r="K41" s="63"/>
      <c r="L41" s="63"/>
      <c r="M41" s="63"/>
      <c r="N41" s="6"/>
      <c r="O41" s="63"/>
      <c r="P41" s="63"/>
      <c r="Q41" s="6"/>
      <c r="R41" s="63"/>
      <c r="S41" s="63"/>
      <c r="T41" s="25" t="str">
        <f>IF(ISNA(VLOOKUP(A41,'Stock Nodes'!$A$1:$C$63,1,FALSE)),"FALSE","TRUE")</f>
        <v>TRUE</v>
      </c>
      <c r="U41" s="25" t="str">
        <f>IF(ISNA(VLOOKUP(A41,'CTT Nodes'!$A$1:$D$83,1,FALSE)),"FALSE","TRUE")</f>
        <v>FALSE</v>
      </c>
      <c r="V41" s="25" t="str">
        <f>IF(OR(T41="TRUE",U41="TRUE"),"FALSE","TRUE")</f>
        <v>FALSE</v>
      </c>
      <c r="W41" s="68">
        <v>39</v>
      </c>
      <c r="X41" s="59">
        <v>3</v>
      </c>
      <c r="Y41" s="20"/>
      <c r="Z41" s="20"/>
      <c r="AA41" s="20"/>
      <c r="AB41" s="20"/>
      <c r="AC41" s="20"/>
      <c r="AD41" s="20"/>
      <c r="AE41" s="20"/>
      <c r="AF41" s="20"/>
      <c r="AG41" s="20"/>
      <c r="AH41" s="20"/>
      <c r="AI41" s="20"/>
      <c r="AJ41" s="20"/>
      <c r="AK41" s="20"/>
      <c r="AL41" s="20"/>
      <c r="AM41" s="20"/>
      <c r="AN41" s="20"/>
      <c r="AO41" s="20"/>
      <c r="AP41" s="20"/>
      <c r="AQ41" s="20"/>
      <c r="AR41" s="20"/>
      <c r="AS41" s="20"/>
      <c r="AT41" s="20"/>
      <c r="AU41" s="20"/>
      <c r="AV41" s="20"/>
      <c r="AW41" s="20"/>
      <c r="AX41" s="20"/>
      <c r="AY41" s="20"/>
      <c r="AZ41" s="20"/>
      <c r="BA41" s="20"/>
      <c r="BB41" s="20"/>
      <c r="BC41" s="20"/>
      <c r="BD41" s="20"/>
      <c r="BE41" s="20"/>
      <c r="BF41" s="20"/>
      <c r="BG41" s="20"/>
      <c r="BH41" s="20"/>
    </row>
    <row r="42" spans="1:60" x14ac:dyDescent="0.25">
      <c r="A42" s="14" t="s">
        <v>93</v>
      </c>
      <c r="B42" s="63" t="s">
        <v>252</v>
      </c>
      <c r="C42" s="21" t="str">
        <f>IF(T42="TRUE",VLOOKUP(A42,'Stock Nodes'!$A$1:$D$63,4,FALSE),IF(U42="TRUE",VLOOKUP(A42,'CTT Nodes'!$A$1:$D$83,4,FALSE),VLOOKUP(A42,'ETT Nodes'!$A$1:$D$87,3,FALSE)))</f>
        <v>Subsonic Flight</v>
      </c>
      <c r="D42" s="21" t="str">
        <f>"Node"&amp;TEXT(X42,"0")&amp;"_"&amp;A42</f>
        <v>Node4_subsonicFlight</v>
      </c>
      <c r="E42" s="22" t="str">
        <f>IF(OR(V42="TRUE",B42&lt;&gt;C42),"#LOC_ETT_"&amp;A42&amp;"_description",IF(T42="TRUE",VLOOKUP(A42,'Stock Nodes'!$A$1:$C$63,2,FALSE),IF(U42="TRUE",VLOOKUP(A42,'CTT Nodes'!$A$1:$D$83,2,FALSE))))</f>
        <v>#LOC_ETT_subsonicFlight_description</v>
      </c>
      <c r="F42" s="58">
        <v>50</v>
      </c>
      <c r="G42" s="46">
        <f t="array" ref="G42">INDEX(TNodeCols,MATCH(1,MMULT(--(TTechTree=A42),TRANSPOSE(COLUMN(TTechTree)^0)),0))</f>
        <v>-2032.5000000000018</v>
      </c>
      <c r="H42" s="63">
        <f t="array" ref="H42">INDEX(NodeRows,MATCH(1,MMULT(--(TechTree=A42),TRANSPOSE(COLUMN(TechTree)^0)),0))</f>
        <v>1861</v>
      </c>
      <c r="I42" s="63" t="str">
        <f>TEXT(G42,"0") &amp; ", " &amp; TEXT(H42,"0") &amp;", -2"</f>
        <v>-2033, 1861, -2</v>
      </c>
      <c r="J42" s="63" t="str">
        <f>IF(T42="TRUE",VLOOKUP(A42,'Stock Nodes'!$A$1:$C$63,3,FALSE),IF(U42="TRUE",VLOOKUP(A42,'CTT Nodes'!$A$1:$G$83,7,FALSE),VLOOKUP(A42,'ETT Nodes'!$A$1:$E$87,5,FALSE)))</f>
        <v>ETTR/UI/CTT/ctt_icon_subsonicFlight</v>
      </c>
      <c r="K42" s="6"/>
      <c r="L42" s="63"/>
      <c r="M42" s="63"/>
      <c r="N42" s="6"/>
      <c r="O42" s="63"/>
      <c r="P42" s="63"/>
      <c r="Q42" s="6"/>
      <c r="R42" s="63"/>
      <c r="S42" s="63"/>
      <c r="T42" s="25" t="str">
        <f>IF(ISNA(VLOOKUP(A42,'Stock Nodes'!$A$1:$C$63,1,FALSE)),"FALSE","TRUE")</f>
        <v>FALSE</v>
      </c>
      <c r="U42" s="25" t="str">
        <f>IF(ISNA(VLOOKUP(A42,'CTT Nodes'!$A$1:$D$83,1,FALSE)),"FALSE","TRUE")</f>
        <v>TRUE</v>
      </c>
      <c r="V42" s="25" t="str">
        <f>IF(OR(T42="TRUE",U42="TRUE"),"FALSE","TRUE")</f>
        <v>FALSE</v>
      </c>
      <c r="W42" s="68">
        <v>40</v>
      </c>
      <c r="X42" s="59">
        <v>3.67</v>
      </c>
      <c r="Y42" s="20"/>
      <c r="Z42" s="20"/>
      <c r="AA42" s="20"/>
      <c r="AB42" s="20"/>
      <c r="AC42" s="20"/>
      <c r="AD42" s="20"/>
      <c r="AE42" s="20"/>
      <c r="AF42" s="20"/>
      <c r="AG42" s="20"/>
      <c r="AH42" s="20"/>
      <c r="AI42" s="20"/>
      <c r="AJ42" s="20"/>
      <c r="AK42" s="20"/>
      <c r="AL42" s="20"/>
      <c r="AM42" s="20"/>
      <c r="AN42" s="20"/>
      <c r="AO42" s="20"/>
      <c r="AP42" s="20"/>
      <c r="AQ42" s="20"/>
      <c r="AR42" s="20"/>
      <c r="AS42" s="20"/>
      <c r="AT42" s="20"/>
      <c r="AU42" s="20"/>
      <c r="AV42" s="20"/>
      <c r="AW42" s="20"/>
      <c r="AX42" s="20"/>
      <c r="AY42" s="20"/>
      <c r="AZ42" s="20"/>
      <c r="BA42" s="20"/>
      <c r="BB42" s="20"/>
      <c r="BC42" s="20"/>
      <c r="BD42" s="20"/>
      <c r="BE42" s="20"/>
      <c r="BF42" s="20"/>
      <c r="BG42" s="20"/>
      <c r="BH42" s="20"/>
    </row>
    <row r="43" spans="1:60" x14ac:dyDescent="0.25">
      <c r="A43" s="63" t="s">
        <v>117</v>
      </c>
      <c r="B43" s="21" t="s">
        <v>278</v>
      </c>
      <c r="C43" s="21" t="str">
        <f>IF(T43="TRUE",VLOOKUP(A43,'Stock Nodes'!$A$1:$D$63,4,FALSE),IF(U43="TRUE",VLOOKUP(A43,'CTT Nodes'!$A$1:$D$83,4,FALSE),VLOOKUP(A43,'ETT Nodes'!$A$1:$D$87,3,FALSE)))</f>
        <v>Supersonic Flight</v>
      </c>
      <c r="D43" s="21" t="str">
        <f>"Node"&amp;TEXT(X43,"0")&amp;"_"&amp;A43</f>
        <v>Node5_supersonicFlight</v>
      </c>
      <c r="E43" s="22" t="str">
        <f>IF(OR(V43="TRUE",B43&lt;&gt;C43),"#LOC_ETT_"&amp;A43&amp;"_description",IF(T43="TRUE",VLOOKUP(A43,'Stock Nodes'!$A$1:$C$63,2,FALSE),IF(U43="TRUE",VLOOKUP(A43,'CTT Nodes'!$A$1:$D$83,2,FALSE))))</f>
        <v>#LOC_ETT_supersonicFlight_description</v>
      </c>
      <c r="F43" s="58">
        <v>95</v>
      </c>
      <c r="G43" s="46">
        <f t="array" ref="G43">INDEX(TNodeCols,MATCH(1,MMULT(--(TTechTree=A43),TRANSPOSE(COLUMN(TTechTree)^0)),0))</f>
        <v>-2032.5000000000018</v>
      </c>
      <c r="H43" s="21">
        <f t="array" ref="H43">INDEX(NodeRows,MATCH(1,MMULT(--(TechTree=A43),TRANSPOSE(COLUMN(TechTree)^0)),0))</f>
        <v>1937</v>
      </c>
      <c r="I43" s="63" t="str">
        <f>TEXT(G43,"0") &amp; ", " &amp; TEXT(H43,"0") &amp;", -2"</f>
        <v>-2033, 1937, -2</v>
      </c>
      <c r="J43" s="63" t="str">
        <f>IF(T43="TRUE",VLOOKUP(A43,'Stock Nodes'!$A$1:$C$63,3,FALSE),IF(U43="TRUE",VLOOKUP(A43,'CTT Nodes'!$A$1:$G$83,7,FALSE),VLOOKUP(A43,'ETT Nodes'!$A$1:$E$87,5,FALSE)))</f>
        <v>RDicon_flight-supersonic</v>
      </c>
      <c r="K43" s="6"/>
      <c r="L43" s="63"/>
      <c r="M43" s="63"/>
      <c r="N43" s="6"/>
      <c r="O43" s="63"/>
      <c r="P43" s="63"/>
      <c r="Q43" s="6"/>
      <c r="R43" s="63"/>
      <c r="S43" s="63"/>
      <c r="T43" s="25" t="str">
        <f>IF(ISNA(VLOOKUP(A43,'Stock Nodes'!$A$1:$C$63,1,FALSE)),"FALSE","TRUE")</f>
        <v>TRUE</v>
      </c>
      <c r="U43" s="25" t="str">
        <f>IF(ISNA(VLOOKUP(A43,'CTT Nodes'!$A$1:$D$83,1,FALSE)),"FALSE","TRUE")</f>
        <v>FALSE</v>
      </c>
      <c r="V43" s="25" t="str">
        <f>IF(OR(T43="TRUE",U43="TRUE"),"FALSE","TRUE")</f>
        <v>FALSE</v>
      </c>
      <c r="W43" s="63">
        <v>41</v>
      </c>
      <c r="X43" s="59">
        <v>4.67</v>
      </c>
      <c r="Y43" s="20"/>
      <c r="Z43" s="20"/>
      <c r="AA43" s="20"/>
      <c r="AB43" s="20"/>
      <c r="AC43" s="20"/>
      <c r="AD43" s="20"/>
      <c r="AE43" s="20"/>
      <c r="AF43" s="20"/>
      <c r="AG43" s="20"/>
      <c r="AH43" s="20"/>
      <c r="AI43" s="20"/>
      <c r="AJ43" s="20"/>
      <c r="AK43" s="20"/>
      <c r="AL43" s="20"/>
      <c r="AM43" s="20"/>
      <c r="AN43" s="20"/>
      <c r="AO43" s="20"/>
      <c r="AP43" s="20"/>
      <c r="AQ43" s="20"/>
      <c r="AR43" s="20"/>
      <c r="AS43" s="20"/>
      <c r="AT43" s="20"/>
      <c r="AU43" s="20"/>
      <c r="AV43" s="20"/>
      <c r="AW43" s="20"/>
      <c r="AX43" s="20"/>
      <c r="AY43" s="20"/>
      <c r="AZ43" s="20"/>
      <c r="BA43" s="20"/>
      <c r="BB43" s="20"/>
      <c r="BC43" s="20"/>
      <c r="BD43" s="20"/>
      <c r="BE43" s="20"/>
      <c r="BF43" s="20"/>
      <c r="BG43" s="20"/>
      <c r="BH43" s="20"/>
    </row>
    <row r="44" spans="1:60" x14ac:dyDescent="0.25">
      <c r="A44" s="63" t="s">
        <v>71</v>
      </c>
      <c r="B44" s="21" t="s">
        <v>322</v>
      </c>
      <c r="C44" s="21" t="str">
        <f>IF(T44="TRUE",VLOOKUP(A44,'Stock Nodes'!$A$1:$D$63,4,FALSE),IF(U44="TRUE",VLOOKUP(A44,'CTT Nodes'!$A$1:$D$83,4,FALSE),VLOOKUP(A44,'ETT Nodes'!$A$1:$D$87,3,FALSE)))</f>
        <v>Hypersonic Flight</v>
      </c>
      <c r="D44" s="21" t="str">
        <f>"Node"&amp;TEXT(X44,"0")&amp;"_"&amp;A44</f>
        <v>Node9_hypersonicFlight</v>
      </c>
      <c r="E44" s="22" t="str">
        <f>IF(OR(V44="TRUE",B44&lt;&gt;C44),"#LOC_ETT_"&amp;A44&amp;"_description",IF(T44="TRUE",VLOOKUP(A44,'Stock Nodes'!$A$1:$C$63,2,FALSE),IF(U44="TRUE",VLOOKUP(A44,'CTT Nodes'!$A$1:$D$83,2,FALSE))))</f>
        <v>#LOC_ETT_hypersonicFlight_description</v>
      </c>
      <c r="F44" s="58">
        <v>750</v>
      </c>
      <c r="G44" s="46">
        <f t="array" ref="G44">INDEX(TNodeCols,MATCH(1,MMULT(--(TTechTree=A44),TRANSPOSE(COLUMN(TTechTree)^0)),0))</f>
        <v>-2032.5000000000018</v>
      </c>
      <c r="H44" s="21">
        <f t="array" ref="H44">INDEX(NodeRows,MATCH(1,MMULT(--(TechTree=A44),TRANSPOSE(COLUMN(TechTree)^0)),0))</f>
        <v>2013</v>
      </c>
      <c r="I44" s="63" t="str">
        <f>TEXT(G44,"0") &amp; ", " &amp; TEXT(H44,"0") &amp;", -2"</f>
        <v>-2033, 2013, -2</v>
      </c>
      <c r="J44" s="63" t="str">
        <f>IF(T44="TRUE",VLOOKUP(A44,'Stock Nodes'!$A$1:$C$63,3,FALSE),IF(U44="TRUE",VLOOKUP(A44,'CTT Nodes'!$A$1:$G$83,7,FALSE),VLOOKUP(A44,'ETT Nodes'!$A$1:$E$87,5,FALSE)))</f>
        <v>RDicon_flight-hypersonic</v>
      </c>
      <c r="K44" s="63"/>
      <c r="L44" s="63"/>
      <c r="M44" s="63"/>
      <c r="N44" s="6"/>
      <c r="O44" s="63"/>
      <c r="P44" s="63"/>
      <c r="Q44" s="6"/>
      <c r="R44" s="63"/>
      <c r="S44" s="63"/>
      <c r="T44" s="25" t="str">
        <f>IF(ISNA(VLOOKUP(A44,'Stock Nodes'!$A$1:$C$63,1,FALSE)),"FALSE","TRUE")</f>
        <v>TRUE</v>
      </c>
      <c r="U44" s="25" t="str">
        <f>IF(ISNA(VLOOKUP(A44,'CTT Nodes'!$A$1:$D$83,1,FALSE)),"FALSE","TRUE")</f>
        <v>FALSE</v>
      </c>
      <c r="V44" s="25" t="str">
        <f>IF(OR(T44="TRUE",U44="TRUE"),"FALSE","TRUE")</f>
        <v>FALSE</v>
      </c>
      <c r="W44" s="68">
        <v>42</v>
      </c>
      <c r="X44" s="59">
        <v>9</v>
      </c>
      <c r="Y44" s="20"/>
      <c r="Z44" s="20"/>
      <c r="AA44" s="20"/>
      <c r="AB44" s="20"/>
      <c r="AC44" s="20"/>
      <c r="AD44" s="20"/>
      <c r="AE44" s="20"/>
      <c r="AF44" s="20"/>
      <c r="AG44" s="20"/>
      <c r="AH44" s="20"/>
      <c r="AI44" s="20"/>
      <c r="AJ44" s="20"/>
      <c r="AK44" s="20"/>
      <c r="AL44" s="20"/>
      <c r="AM44" s="20"/>
      <c r="AN44" s="20"/>
      <c r="AO44" s="20"/>
      <c r="AP44" s="20"/>
      <c r="AQ44" s="20"/>
      <c r="AR44" s="20"/>
      <c r="AS44" s="20"/>
      <c r="AT44" s="20"/>
      <c r="AU44" s="20"/>
      <c r="AV44" s="20"/>
      <c r="AW44" s="20"/>
      <c r="AX44" s="20"/>
      <c r="AY44" s="20"/>
      <c r="AZ44" s="20"/>
      <c r="BA44" s="20"/>
      <c r="BB44" s="20"/>
      <c r="BC44" s="20"/>
      <c r="BD44" s="20"/>
      <c r="BE44" s="20"/>
      <c r="BF44" s="20"/>
      <c r="BG44" s="20"/>
      <c r="BH44" s="20"/>
    </row>
    <row r="45" spans="1:60" x14ac:dyDescent="0.25">
      <c r="A45" s="63" t="s">
        <v>56</v>
      </c>
      <c r="B45" s="63" t="s">
        <v>70</v>
      </c>
      <c r="C45" s="21" t="str">
        <f>IF(T45="TRUE",VLOOKUP(A45,'Stock Nodes'!$A$1:$D$63,4,FALSE),IF(U45="TRUE",VLOOKUP(A45,'CTT Nodes'!$A$1:$D$83,4,FALSE),VLOOKUP(A45,'ETT Nodes'!$A$1:$D$87,3,FALSE)))</f>
        <v>Experimental Aerodynamics</v>
      </c>
      <c r="D45" s="21" t="str">
        <f>"Node"&amp;TEXT(X45,"0")&amp;"_"&amp;A45</f>
        <v>Node11_experimentalAerodynamics</v>
      </c>
      <c r="E45" s="22" t="str">
        <f>IF(OR(V45="TRUE",B45&lt;&gt;C45),"#LOC_ETT_"&amp;A45&amp;"_description",IF(T45="TRUE",VLOOKUP(A45,'Stock Nodes'!$A$1:$C$63,2,FALSE),IF(U45="TRUE",VLOOKUP(A45,'CTT Nodes'!$A$1:$D$83,2,FALSE))))</f>
        <v>#autoLOC_501133 //#autoLOC_501133 = Winged flight technology is soaring to unprecedented heights. It could even be said that it's properly taking off now.</v>
      </c>
      <c r="F45" s="58">
        <v>1500</v>
      </c>
      <c r="G45" s="46">
        <f t="array" ref="G45">INDEX(TNodeCols,MATCH(1,MMULT(--(TTechTree=A45),TRANSPOSE(COLUMN(TTechTree)^0)),0))</f>
        <v>-2032.5000000000018</v>
      </c>
      <c r="H45" s="21">
        <f t="array" ref="H45">INDEX(NodeRows,MATCH(1,MMULT(--(TechTree=A45),TRANSPOSE(COLUMN(TechTree)^0)),0))</f>
        <v>2089</v>
      </c>
      <c r="I45" s="63" t="str">
        <f>TEXT(G45,"0") &amp; ", " &amp; TEXT(H45,"0") &amp;", -2"</f>
        <v>-2033, 2089, -2</v>
      </c>
      <c r="J45" s="63" t="str">
        <f>IF(T45="TRUE",VLOOKUP(A45,'Stock Nodes'!$A$1:$C$63,3,FALSE),IF(U45="TRUE",VLOOKUP(A45,'CTT Nodes'!$A$1:$G$83,7,FALSE),VLOOKUP(A45,'ETT Nodes'!$A$1:$E$87,5,FALSE)))</f>
        <v>RDicon_aerodynamics-heavy</v>
      </c>
      <c r="K45" s="63"/>
      <c r="L45" s="63"/>
      <c r="M45" s="63"/>
      <c r="N45" s="63"/>
      <c r="O45" s="63"/>
      <c r="P45" s="63"/>
      <c r="Q45" s="63"/>
      <c r="R45" s="63"/>
      <c r="S45" s="63"/>
      <c r="T45" s="25" t="str">
        <f>IF(ISNA(VLOOKUP(A45,'Stock Nodes'!$A$1:$C$63,1,FALSE)),"FALSE","TRUE")</f>
        <v>TRUE</v>
      </c>
      <c r="U45" s="25" t="str">
        <f>IF(ISNA(VLOOKUP(A45,'CTT Nodes'!$A$1:$D$83,1,FALSE)),"FALSE","TRUE")</f>
        <v>FALSE</v>
      </c>
      <c r="V45" s="25" t="str">
        <f>IF(OR(T45="TRUE",U45="TRUE"),"FALSE","TRUE")</f>
        <v>FALSE</v>
      </c>
      <c r="W45" s="68">
        <v>43</v>
      </c>
      <c r="X45" s="59">
        <v>11</v>
      </c>
      <c r="Y45" s="20"/>
      <c r="Z45" s="20"/>
      <c r="AA45" s="20"/>
      <c r="AB45" s="20"/>
      <c r="AC45" s="20"/>
      <c r="AD45" s="20"/>
      <c r="AE45" s="20"/>
      <c r="AF45" s="20"/>
      <c r="AG45" s="20"/>
      <c r="AH45" s="20"/>
      <c r="AI45" s="20"/>
      <c r="AJ45" s="20"/>
      <c r="AK45" s="20"/>
      <c r="AL45" s="20"/>
      <c r="AM45" s="20"/>
      <c r="AN45" s="20"/>
      <c r="AO45" s="20"/>
      <c r="AP45" s="20"/>
      <c r="AQ45" s="20"/>
      <c r="AR45" s="20"/>
      <c r="AS45" s="20"/>
      <c r="AT45" s="20"/>
      <c r="AU45" s="20"/>
      <c r="AV45" s="20"/>
      <c r="AW45" s="20"/>
      <c r="AX45" s="20"/>
      <c r="AY45" s="20"/>
      <c r="AZ45" s="20"/>
      <c r="BA45" s="20"/>
      <c r="BB45" s="20"/>
      <c r="BC45" s="20"/>
      <c r="BD45" s="20"/>
      <c r="BE45" s="20"/>
      <c r="BF45" s="20"/>
      <c r="BG45" s="20"/>
      <c r="BH45" s="20"/>
    </row>
    <row r="46" spans="1:60" x14ac:dyDescent="0.25">
      <c r="A46" s="14" t="s">
        <v>124</v>
      </c>
      <c r="B46" s="63" t="s">
        <v>125</v>
      </c>
      <c r="C46" s="21" t="str">
        <f>IF(T46="TRUE",VLOOKUP(A46,'Stock Nodes'!$A$1:$D$63,4,FALSE),IF(U46="TRUE",VLOOKUP(A46,'CTT Nodes'!$A$1:$D$83,4,FALSE),VLOOKUP(A46,'ETT Nodes'!$A$1:$D$87,3,FALSE)))</f>
        <v>Advanced Aerospace Engineering</v>
      </c>
      <c r="D46" s="21" t="str">
        <f>"Node"&amp;TEXT(X46,"0")&amp;"_"&amp;A46</f>
        <v>Node15_advAerospaceEngineering</v>
      </c>
      <c r="E46" s="22" t="str">
        <f>IF(OR(V46="TRUE",B46&lt;&gt;C46),"#LOC_ETT_"&amp;A46&amp;"_description",IF(T46="TRUE",VLOOKUP(A46,'Stock Nodes'!$A$1:$C$63,2,FALSE),IF(U46="TRUE",VLOOKUP(A46,'CTT Nodes'!$A$1:$D$83,2,FALSE))))</f>
        <v>#LOC_CTT_advAerospaceEngineering_description</v>
      </c>
      <c r="F46" s="58">
        <v>3500</v>
      </c>
      <c r="G46" s="46">
        <f t="array" ref="G46">INDEX(TNodeCols,MATCH(1,MMULT(--(TTechTree=A46),TRANSPOSE(COLUMN(TTechTree)^0)),0))</f>
        <v>-2032.5000000000018</v>
      </c>
      <c r="H46" s="21">
        <f t="array" ref="H46">INDEX(NodeRows,MATCH(1,MMULT(--(TechTree=A46),TRANSPOSE(COLUMN(TechTree)^0)),0))</f>
        <v>2165</v>
      </c>
      <c r="I46" s="63" t="str">
        <f>TEXT(G46,"0") &amp; ", " &amp; TEXT(H46,"0") &amp;", -2"</f>
        <v>-2033, 2165, -2</v>
      </c>
      <c r="J46" s="63" t="str">
        <f>IF(T46="TRUE",VLOOKUP(A46,'Stock Nodes'!$A$1:$C$63,3,FALSE),IF(U46="TRUE",VLOOKUP(A46,'CTT Nodes'!$A$1:$G$83,7,FALSE),VLOOKUP(A46,'ETT Nodes'!$A$1:$E$87,5,FALSE)))</f>
        <v>ETTR/UI/CTT/ctt_icon_advAerospaceEngineering</v>
      </c>
      <c r="K46" s="6"/>
      <c r="L46" s="63"/>
      <c r="M46" s="63"/>
      <c r="N46" s="21"/>
      <c r="O46" s="63"/>
      <c r="P46" s="63"/>
      <c r="Q46" s="6"/>
      <c r="R46" s="63"/>
      <c r="S46" s="63"/>
      <c r="T46" s="25" t="str">
        <f>IF(ISNA(VLOOKUP(A46,'Stock Nodes'!$A$1:$C$63,1,FALSE)),"FALSE","TRUE")</f>
        <v>FALSE</v>
      </c>
      <c r="U46" s="25" t="str">
        <f>IF(ISNA(VLOOKUP(A46,'CTT Nodes'!$A$1:$D$83,1,FALSE)),"FALSE","TRUE")</f>
        <v>TRUE</v>
      </c>
      <c r="V46" s="25" t="str">
        <f>IF(OR(T46="TRUE",U46="TRUE"),"FALSE","TRUE")</f>
        <v>FALSE</v>
      </c>
      <c r="W46" s="63">
        <v>44</v>
      </c>
      <c r="X46" s="59">
        <v>15</v>
      </c>
      <c r="Y46" s="20"/>
      <c r="Z46" s="20"/>
      <c r="AA46" s="20"/>
      <c r="AB46" s="20"/>
      <c r="AC46" s="20"/>
      <c r="AD46" s="20"/>
      <c r="AE46" s="20"/>
      <c r="AF46" s="20"/>
      <c r="AG46" s="20"/>
      <c r="AH46" s="20"/>
      <c r="AI46" s="20"/>
      <c r="AJ46" s="20"/>
      <c r="AK46" s="20"/>
      <c r="AL46" s="20"/>
      <c r="AM46" s="20"/>
      <c r="AN46" s="20"/>
      <c r="AO46" s="20"/>
      <c r="AP46" s="20"/>
      <c r="AQ46" s="20"/>
      <c r="AR46" s="20"/>
      <c r="AS46" s="20"/>
      <c r="AT46" s="20"/>
      <c r="AU46" s="20"/>
      <c r="AV46" s="20"/>
      <c r="AW46" s="20"/>
      <c r="AX46" s="20"/>
      <c r="AY46" s="20"/>
      <c r="AZ46" s="20"/>
      <c r="BA46" s="20"/>
      <c r="BB46" s="20"/>
      <c r="BC46" s="20"/>
      <c r="BD46" s="20"/>
      <c r="BE46" s="20"/>
      <c r="BF46" s="20"/>
      <c r="BG46" s="20"/>
      <c r="BH46" s="20"/>
    </row>
    <row r="47" spans="1:60" x14ac:dyDescent="0.25">
      <c r="A47" s="14" t="s">
        <v>259</v>
      </c>
      <c r="B47" s="21" t="s">
        <v>260</v>
      </c>
      <c r="C47" s="21" t="str">
        <f>IF(T47="TRUE",VLOOKUP(A47,'Stock Nodes'!$A$1:$D$63,4,FALSE),IF(U47="TRUE",VLOOKUP(A47,'CTT Nodes'!$A$1:$D$83,4,FALSE),VLOOKUP(A47,'ETT Nodes'!$A$1:$D$87,3,FALSE)))</f>
        <v>Small Fairings</v>
      </c>
      <c r="D47" s="21" t="str">
        <f>"Node"&amp;TEXT(X47,"0")&amp;"_"&amp;A47</f>
        <v>Node4_fairings</v>
      </c>
      <c r="E47" s="22" t="str">
        <f>IF(OR(V47="TRUE",B47&lt;&gt;C47),"#LOC_ETT_"&amp;A47&amp;"_description",IF(T47="TRUE",VLOOKUP(A47,'Stock Nodes'!$A$1:$C$63,2,FALSE),IF(U47="TRUE",VLOOKUP(A47,'CTT Nodes'!$A$1:$D$83,2,FALSE))))</f>
        <v>#LOC_ETT_fairings_description</v>
      </c>
      <c r="F47" s="58">
        <v>50</v>
      </c>
      <c r="G47" s="21">
        <f t="array" ref="G47">INDEX(TNodeCols,MATCH(1,MMULT(--(TTechTree=A47),TRANSPOSE(COLUMN(TTechTree)^0)),0))</f>
        <v>-1954.2000000000016</v>
      </c>
      <c r="H47" s="21">
        <f t="array" ref="H47">INDEX(NodeRows,MATCH(1,MMULT(--(TechTree=A47),TRANSPOSE(COLUMN(TechTree)^0)),0))</f>
        <v>1861</v>
      </c>
      <c r="I47" s="63" t="str">
        <f>TEXT(G47,"0") &amp; ", " &amp; TEXT(H47,"0") &amp;", -2"</f>
        <v>-1954, 1861, -2</v>
      </c>
      <c r="J47" s="63">
        <f>IF(T47="TRUE",VLOOKUP(A47,'Stock Nodes'!$A$1:$C$63,3,FALSE),IF(U47="TRUE",VLOOKUP(A47,'CTT Nodes'!$A$1:$G$83,7,FALSE),VLOOKUP(A47,'ETT Nodes'!$A$1:$E$87,5,FALSE)))</f>
        <v>0</v>
      </c>
      <c r="K47" s="63"/>
      <c r="L47" s="63"/>
      <c r="M47" s="63"/>
      <c r="N47" s="6"/>
      <c r="O47" s="63"/>
      <c r="P47" s="63"/>
      <c r="Q47" s="6"/>
      <c r="R47" s="63"/>
      <c r="S47" s="63"/>
      <c r="T47" s="25" t="str">
        <f>IF(ISNA(VLOOKUP(A47,'Stock Nodes'!$A$1:$C$63,1,FALSE)),"FALSE","TRUE")</f>
        <v>FALSE</v>
      </c>
      <c r="U47" s="25" t="str">
        <f>IF(ISNA(VLOOKUP(A47,'CTT Nodes'!$A$1:$D$83,1,FALSE)),"FALSE","TRUE")</f>
        <v>FALSE</v>
      </c>
      <c r="V47" s="25" t="str">
        <f>IF(OR(T47="TRUE",U47="TRUE"),"FALSE","TRUE")</f>
        <v>TRUE</v>
      </c>
      <c r="W47" s="68">
        <v>45</v>
      </c>
      <c r="X47" s="59">
        <v>3.67</v>
      </c>
      <c r="Y47" s="20"/>
      <c r="Z47" s="20"/>
      <c r="AA47" s="20"/>
      <c r="AB47" s="20"/>
      <c r="AC47" s="20"/>
      <c r="AD47" s="20"/>
      <c r="AE47" s="20"/>
      <c r="AF47" s="20"/>
      <c r="AG47" s="20"/>
      <c r="AH47" s="20"/>
      <c r="AI47" s="20"/>
      <c r="AJ47" s="20"/>
      <c r="AK47" s="20"/>
      <c r="AL47" s="20"/>
      <c r="AM47" s="20"/>
      <c r="AN47" s="20"/>
      <c r="AO47" s="20"/>
      <c r="AP47" s="20"/>
      <c r="AQ47" s="20"/>
      <c r="AR47" s="20"/>
      <c r="AS47" s="20"/>
      <c r="AT47" s="20"/>
      <c r="AU47" s="20"/>
      <c r="AV47" s="20"/>
      <c r="AW47" s="20"/>
      <c r="AX47" s="20"/>
      <c r="AY47" s="20"/>
      <c r="AZ47" s="20"/>
      <c r="BA47" s="20"/>
      <c r="BB47" s="20"/>
      <c r="BC47" s="20"/>
      <c r="BD47" s="20"/>
      <c r="BE47" s="20"/>
      <c r="BF47" s="20"/>
      <c r="BG47" s="20"/>
      <c r="BH47" s="20"/>
    </row>
    <row r="48" spans="1:60" x14ac:dyDescent="0.25">
      <c r="A48" s="14" t="s">
        <v>546</v>
      </c>
      <c r="B48" s="21" t="s">
        <v>2307</v>
      </c>
      <c r="C48" s="21" t="str">
        <f>IF(T48="TRUE",VLOOKUP(A48,'Stock Nodes'!$A$1:$D$63,4,FALSE),IF(U48="TRUE",VLOOKUP(A48,'CTT Nodes'!$A$1:$D$83,4,FALSE),VLOOKUP(A48,'ETT Nodes'!$A$1:$D$87,3,FALSE)))</f>
        <v>2.5m Fairings</v>
      </c>
      <c r="D48" s="21" t="str">
        <f>"Node"&amp;TEXT(X48,"0")&amp;"_"&amp;A48</f>
        <v>Node5_advFairings</v>
      </c>
      <c r="E48" s="22" t="str">
        <f>IF(OR(V48="TRUE",B48&lt;&gt;C48),"#LOC_ETT_"&amp;A48&amp;"_description",IF(T48="TRUE",VLOOKUP(A48,'Stock Nodes'!$A$1:$C$63,2,FALSE),IF(U48="TRUE",VLOOKUP(A48,'CTT Nodes'!$A$1:$D$83,2,FALSE))))</f>
        <v>#LOC_ETT_advFairings_description</v>
      </c>
      <c r="F48" s="58">
        <v>95</v>
      </c>
      <c r="G48" s="21">
        <f t="array" ref="G48">INDEX(TNodeCols,MATCH(1,MMULT(--(TTechTree=A48),TRANSPOSE(COLUMN(TTechTree)^0)),0))</f>
        <v>-1954.2000000000016</v>
      </c>
      <c r="H48" s="21">
        <f t="array" ref="H48">INDEX(NodeRows,MATCH(1,MMULT(--(TechTree=A48),TRANSPOSE(COLUMN(TechTree)^0)),0))</f>
        <v>1937</v>
      </c>
      <c r="I48" s="63" t="str">
        <f>TEXT(G48,"0") &amp; ", " &amp; TEXT(H48,"0") &amp;", -2"</f>
        <v>-1954, 1937, -2</v>
      </c>
      <c r="J48" s="63">
        <f>IF(T48="TRUE",VLOOKUP(A48,'Stock Nodes'!$A$1:$C$63,3,FALSE),IF(U48="TRUE",VLOOKUP(A48,'CTT Nodes'!$A$1:$G$83,7,FALSE),VLOOKUP(A48,'ETT Nodes'!$A$1:$E$87,5,FALSE)))</f>
        <v>0</v>
      </c>
      <c r="K48" s="6"/>
      <c r="L48" s="63"/>
      <c r="M48" s="63"/>
      <c r="N48" s="6"/>
      <c r="O48" s="63"/>
      <c r="P48" s="63"/>
      <c r="Q48" s="6"/>
      <c r="R48" s="63"/>
      <c r="S48" s="63"/>
      <c r="T48" s="25" t="str">
        <f>IF(ISNA(VLOOKUP(A48,'Stock Nodes'!$A$1:$C$63,1,FALSE)),"FALSE","TRUE")</f>
        <v>FALSE</v>
      </c>
      <c r="U48" s="25" t="str">
        <f>IF(ISNA(VLOOKUP(A48,'CTT Nodes'!$A$1:$D$83,1,FALSE)),"FALSE","TRUE")</f>
        <v>FALSE</v>
      </c>
      <c r="V48" s="25" t="str">
        <f>IF(OR(T48="TRUE",U48="TRUE"),"FALSE","TRUE")</f>
        <v>TRUE</v>
      </c>
      <c r="W48" s="68">
        <v>46</v>
      </c>
      <c r="X48" s="59">
        <v>4.67</v>
      </c>
      <c r="Y48" s="20"/>
      <c r="Z48" s="20"/>
      <c r="AA48" s="20"/>
      <c r="AB48" s="20"/>
      <c r="AC48" s="20"/>
      <c r="AD48" s="20"/>
      <c r="AE48" s="20"/>
      <c r="AF48" s="20"/>
      <c r="AG48" s="20"/>
      <c r="AH48" s="20"/>
      <c r="AI48" s="20"/>
      <c r="AJ48" s="20"/>
      <c r="AK48" s="20"/>
      <c r="AL48" s="20"/>
      <c r="AM48" s="20"/>
      <c r="AN48" s="20"/>
      <c r="AO48" s="20"/>
      <c r="AP48" s="20"/>
      <c r="AQ48" s="20"/>
      <c r="AR48" s="20"/>
      <c r="AS48" s="20"/>
      <c r="AT48" s="20"/>
      <c r="AU48" s="20"/>
      <c r="AV48" s="20"/>
      <c r="AW48" s="20"/>
      <c r="AX48" s="20"/>
      <c r="AY48" s="20"/>
      <c r="AZ48" s="20"/>
      <c r="BA48" s="20"/>
      <c r="BB48" s="20"/>
      <c r="BC48" s="20"/>
      <c r="BD48" s="20"/>
      <c r="BE48" s="20"/>
      <c r="BF48" s="20"/>
      <c r="BG48" s="20"/>
      <c r="BH48" s="20"/>
    </row>
    <row r="49" spans="1:60" x14ac:dyDescent="0.25">
      <c r="A49" s="14" t="s">
        <v>510</v>
      </c>
      <c r="B49" s="21" t="s">
        <v>2306</v>
      </c>
      <c r="C49" s="21" t="str">
        <f>IF(T49="TRUE",VLOOKUP(A49,'Stock Nodes'!$A$1:$D$63,4,FALSE),IF(U49="TRUE",VLOOKUP(A49,'CTT Nodes'!$A$1:$D$83,4,FALSE),VLOOKUP(A49,'ETT Nodes'!$A$1:$D$87,3,FALSE)))</f>
        <v>4m Fairings</v>
      </c>
      <c r="D49" s="21" t="str">
        <f>"Node"&amp;TEXT(X49,"0")&amp;"_"&amp;A49</f>
        <v>Node6_largeFairings</v>
      </c>
      <c r="E49" s="22" t="str">
        <f>IF(OR(V49="TRUE",B49&lt;&gt;C49),"#LOC_ETT_"&amp;A49&amp;"_description",IF(T49="TRUE",VLOOKUP(A49,'Stock Nodes'!$A$1:$C$63,2,FALSE),IF(U49="TRUE",VLOOKUP(A49,'CTT Nodes'!$A$1:$D$83,2,FALSE))))</f>
        <v>#LOC_ETT_largeFairings_description</v>
      </c>
      <c r="F49" s="58">
        <v>175</v>
      </c>
      <c r="G49" s="21">
        <f t="array" ref="G49">INDEX(TNodeCols,MATCH(1,MMULT(--(TTechTree=A49),TRANSPOSE(COLUMN(TTechTree)^0)),0))</f>
        <v>-1954.2000000000016</v>
      </c>
      <c r="H49" s="21">
        <f t="array" ref="H49">INDEX(NodeRows,MATCH(1,MMULT(--(TechTree=A49),TRANSPOSE(COLUMN(TechTree)^0)),0))</f>
        <v>2013</v>
      </c>
      <c r="I49" s="63" t="str">
        <f>TEXT(G49,"0") &amp; ", " &amp; TEXT(H49,"0") &amp;", -2"</f>
        <v>-1954, 2013, -2</v>
      </c>
      <c r="J49" s="63">
        <f>IF(T49="TRUE",VLOOKUP(A49,'Stock Nodes'!$A$1:$C$63,3,FALSE),IF(U49="TRUE",VLOOKUP(A49,'CTT Nodes'!$A$1:$G$83,7,FALSE),VLOOKUP(A49,'ETT Nodes'!$A$1:$E$87,5,FALSE)))</f>
        <v>0</v>
      </c>
      <c r="K49" s="63"/>
      <c r="L49" s="63"/>
      <c r="M49" s="63"/>
      <c r="N49" s="6"/>
      <c r="O49" s="63"/>
      <c r="P49" s="63"/>
      <c r="Q49" s="6"/>
      <c r="R49" s="63"/>
      <c r="S49" s="63"/>
      <c r="T49" s="25" t="str">
        <f>IF(ISNA(VLOOKUP(A49,'Stock Nodes'!$A$1:$C$63,1,FALSE)),"FALSE","TRUE")</f>
        <v>FALSE</v>
      </c>
      <c r="U49" s="25" t="str">
        <f>IF(ISNA(VLOOKUP(A49,'CTT Nodes'!$A$1:$D$83,1,FALSE)),"FALSE","TRUE")</f>
        <v>FALSE</v>
      </c>
      <c r="V49" s="25" t="str">
        <f>IF(OR(T49="TRUE",U49="TRUE"),"FALSE","TRUE")</f>
        <v>TRUE</v>
      </c>
      <c r="W49" s="63">
        <v>47</v>
      </c>
      <c r="X49" s="59">
        <v>5.5</v>
      </c>
      <c r="Y49" s="20"/>
      <c r="Z49" s="20"/>
      <c r="AA49" s="20"/>
      <c r="AB49" s="20"/>
      <c r="AC49" s="20"/>
      <c r="AD49" s="20"/>
      <c r="AE49" s="20"/>
      <c r="AF49" s="20"/>
      <c r="AG49" s="20"/>
      <c r="AH49" s="20"/>
      <c r="AI49" s="20"/>
      <c r="AJ49" s="20"/>
      <c r="AK49" s="20"/>
      <c r="AL49" s="20"/>
      <c r="AM49" s="20"/>
      <c r="AN49" s="20"/>
      <c r="AO49" s="20"/>
      <c r="AP49" s="20"/>
      <c r="AQ49" s="20"/>
      <c r="AR49" s="20"/>
      <c r="AS49" s="20"/>
      <c r="AT49" s="20"/>
      <c r="AU49" s="20"/>
      <c r="AV49" s="20"/>
      <c r="AW49" s="20"/>
      <c r="AX49" s="20"/>
      <c r="AY49" s="20"/>
      <c r="AZ49" s="20"/>
      <c r="BA49" s="20"/>
      <c r="BB49" s="20"/>
      <c r="BC49" s="20"/>
      <c r="BD49" s="20"/>
      <c r="BE49" s="20"/>
      <c r="BF49" s="20"/>
      <c r="BG49" s="20"/>
      <c r="BH49" s="20"/>
    </row>
    <row r="50" spans="1:60" x14ac:dyDescent="0.25">
      <c r="A50" s="14" t="s">
        <v>511</v>
      </c>
      <c r="B50" s="21" t="s">
        <v>2305</v>
      </c>
      <c r="C50" s="21" t="str">
        <f>IF(T50="TRUE",VLOOKUP(A50,'Stock Nodes'!$A$1:$D$63,4,FALSE),IF(U50="TRUE",VLOOKUP(A50,'CTT Nodes'!$A$1:$D$83,4,FALSE),VLOOKUP(A50,'ETT Nodes'!$A$1:$D$87,3,FALSE)))</f>
        <v>12m Fairings</v>
      </c>
      <c r="D50" s="21" t="str">
        <f>"Node"&amp;TEXT(X50,"0")&amp;"_"&amp;A50</f>
        <v>Node7_veryLargeFairings</v>
      </c>
      <c r="E50" s="22" t="str">
        <f>IF(OR(V50="TRUE",B50&lt;&gt;C50),"#LOC_ETT_"&amp;A50&amp;"_description",IF(T50="TRUE",VLOOKUP(A50,'Stock Nodes'!$A$1:$C$63,2,FALSE),IF(U50="TRUE",VLOOKUP(A50,'CTT Nodes'!$A$1:$D$83,2,FALSE))))</f>
        <v>#LOC_ETT_veryLargeFairings_description</v>
      </c>
      <c r="F50" s="58">
        <v>375</v>
      </c>
      <c r="G50" s="21">
        <f t="array" ref="G50">INDEX(TNodeCols,MATCH(1,MMULT(--(TTechTree=A50),TRANSPOSE(COLUMN(TTechTree)^0)),0))</f>
        <v>-1954.2000000000016</v>
      </c>
      <c r="H50" s="21">
        <f t="array" ref="H50">INDEX(NodeRows,MATCH(1,MMULT(--(TechTree=A50),TRANSPOSE(COLUMN(TechTree)^0)),0))</f>
        <v>2089</v>
      </c>
      <c r="I50" s="63" t="str">
        <f>TEXT(G50,"0") &amp; ", " &amp; TEXT(H50,"0") &amp;", -2"</f>
        <v>-1954, 2089, -2</v>
      </c>
      <c r="J50" s="63">
        <f>IF(T50="TRUE",VLOOKUP(A50,'Stock Nodes'!$A$1:$C$63,3,FALSE),IF(U50="TRUE",VLOOKUP(A50,'CTT Nodes'!$A$1:$G$83,7,FALSE),VLOOKUP(A50,'ETT Nodes'!$A$1:$E$87,5,FALSE)))</f>
        <v>0</v>
      </c>
      <c r="K50" s="63"/>
      <c r="L50" s="63"/>
      <c r="M50" s="63"/>
      <c r="N50" s="6"/>
      <c r="O50" s="63"/>
      <c r="P50" s="63"/>
      <c r="Q50" s="6"/>
      <c r="R50" s="63"/>
      <c r="S50" s="63"/>
      <c r="T50" s="25" t="str">
        <f>IF(ISNA(VLOOKUP(A50,'Stock Nodes'!$A$1:$C$63,1,FALSE)),"FALSE","TRUE")</f>
        <v>FALSE</v>
      </c>
      <c r="U50" s="25" t="str">
        <f>IF(ISNA(VLOOKUP(A50,'CTT Nodes'!$A$1:$D$83,1,FALSE)),"FALSE","TRUE")</f>
        <v>FALSE</v>
      </c>
      <c r="V50" s="25" t="str">
        <f>IF(OR(T50="TRUE",U50="TRUE"),"FALSE","TRUE")</f>
        <v>TRUE</v>
      </c>
      <c r="W50" s="68">
        <v>48</v>
      </c>
      <c r="X50" s="59">
        <v>7</v>
      </c>
      <c r="Y50" s="20"/>
      <c r="Z50" s="20"/>
      <c r="AA50" s="20"/>
      <c r="AB50" s="20"/>
      <c r="AC50" s="20"/>
      <c r="AD50" s="20"/>
      <c r="AE50" s="20"/>
      <c r="AF50" s="20"/>
      <c r="AG50" s="20"/>
      <c r="AH50" s="20"/>
      <c r="AI50" s="20"/>
      <c r="AJ50" s="20"/>
      <c r="AK50" s="20"/>
      <c r="AL50" s="20"/>
      <c r="AM50" s="20"/>
      <c r="AN50" s="20"/>
      <c r="AO50" s="20"/>
      <c r="AP50" s="20"/>
      <c r="AQ50" s="20"/>
      <c r="AR50" s="20"/>
      <c r="AS50" s="20"/>
      <c r="AT50" s="20"/>
      <c r="AU50" s="20"/>
      <c r="AV50" s="20"/>
      <c r="AW50" s="20"/>
      <c r="AX50" s="20"/>
      <c r="AY50" s="20"/>
      <c r="AZ50" s="20"/>
      <c r="BA50" s="20"/>
      <c r="BB50" s="20"/>
      <c r="BC50" s="20"/>
      <c r="BD50" s="20"/>
      <c r="BE50" s="20"/>
      <c r="BF50" s="20"/>
      <c r="BG50" s="20"/>
      <c r="BH50" s="20"/>
    </row>
    <row r="51" spans="1:60" x14ac:dyDescent="0.25">
      <c r="A51" s="14" t="s">
        <v>509</v>
      </c>
      <c r="B51" s="21" t="s">
        <v>261</v>
      </c>
      <c r="C51" s="21" t="str">
        <f>IF(T51="TRUE",VLOOKUP(A51,'Stock Nodes'!$A$1:$D$63,4,FALSE),IF(U51="TRUE",VLOOKUP(A51,'CTT Nodes'!$A$1:$D$83,4,FALSE),VLOOKUP(A51,'ETT Nodes'!$A$1:$D$87,3,FALSE)))</f>
        <v>Aircraft Structures</v>
      </c>
      <c r="D51" s="21" t="str">
        <f>"Node"&amp;TEXT(X51,"0")&amp;"_"&amp;A51</f>
        <v>Node3_aircraftStructures</v>
      </c>
      <c r="E51" s="22" t="str">
        <f>IF(OR(V51="TRUE",B51&lt;&gt;C51),"#LOC_ETT_"&amp;A51&amp;"_description",IF(T51="TRUE",VLOOKUP(A51,'Stock Nodes'!$A$1:$C$63,2,FALSE),IF(U51="TRUE",VLOOKUP(A51,'CTT Nodes'!$A$1:$D$83,2,FALSE))))</f>
        <v>#LOC_ETT_aircraftStructures_description</v>
      </c>
      <c r="F51" s="58">
        <v>25</v>
      </c>
      <c r="G51" s="63">
        <f t="array" ref="G51">INDEX(TNodeCols,MATCH(1,MMULT(--(TTechTree=A51),TRANSPOSE(COLUMN(TTechTree)^0)),0))</f>
        <v>-1875.9000000000015</v>
      </c>
      <c r="H51" s="21">
        <f t="array" ref="H51">INDEX(NodeRows,MATCH(1,MMULT(--(TechTree=A51),TRANSPOSE(COLUMN(TechTree)^0)),0))</f>
        <v>1785</v>
      </c>
      <c r="I51" s="63" t="str">
        <f>TEXT(G51,"0") &amp; ", " &amp; TEXT(H51,"0") &amp;", -2"</f>
        <v>-1876, 1785, -2</v>
      </c>
      <c r="J51" s="63">
        <f>IF(T51="TRUE",VLOOKUP(A51,'Stock Nodes'!$A$1:$C$63,3,FALSE),IF(U51="TRUE",VLOOKUP(A51,'CTT Nodes'!$A$1:$G$83,7,FALSE),VLOOKUP(A51,'ETT Nodes'!$A$1:$E$87,5,FALSE)))</f>
        <v>0</v>
      </c>
      <c r="K51" s="63"/>
      <c r="L51" s="63"/>
      <c r="M51" s="63"/>
      <c r="N51" s="6"/>
      <c r="O51" s="63"/>
      <c r="P51" s="63"/>
      <c r="Q51" s="6"/>
      <c r="R51" s="63"/>
      <c r="S51" s="63"/>
      <c r="T51" s="25" t="str">
        <f>IF(ISNA(VLOOKUP(A51,'Stock Nodes'!$A$1:$C$63,1,FALSE)),"FALSE","TRUE")</f>
        <v>FALSE</v>
      </c>
      <c r="U51" s="25" t="str">
        <f>IF(ISNA(VLOOKUP(A51,'CTT Nodes'!$A$1:$D$83,1,FALSE)),"FALSE","TRUE")</f>
        <v>FALSE</v>
      </c>
      <c r="V51" s="25" t="str">
        <f>IF(OR(T51="TRUE",U51="TRUE"),"FALSE","TRUE")</f>
        <v>TRUE</v>
      </c>
      <c r="W51" s="68">
        <v>49</v>
      </c>
      <c r="X51" s="59">
        <v>3</v>
      </c>
      <c r="Y51" s="20"/>
      <c r="Z51" s="20"/>
      <c r="AA51" s="20"/>
      <c r="AB51" s="20"/>
      <c r="AC51" s="20"/>
      <c r="AD51" s="20"/>
      <c r="AE51" s="20"/>
      <c r="AF51" s="20"/>
      <c r="AG51" s="20"/>
      <c r="AH51" s="20"/>
      <c r="AI51" s="20"/>
      <c r="AJ51" s="20"/>
      <c r="AK51" s="20"/>
      <c r="AL51" s="20"/>
      <c r="AM51" s="20"/>
      <c r="AN51" s="20"/>
      <c r="AO51" s="20"/>
      <c r="AP51" s="20"/>
      <c r="AQ51" s="20"/>
      <c r="AR51" s="20"/>
      <c r="AS51" s="20"/>
      <c r="AT51" s="20"/>
      <c r="AU51" s="20"/>
      <c r="AV51" s="20"/>
      <c r="AW51" s="20"/>
      <c r="AX51" s="20"/>
      <c r="AY51" s="20"/>
      <c r="AZ51" s="20"/>
      <c r="BA51" s="20"/>
      <c r="BB51" s="20"/>
      <c r="BC51" s="20"/>
      <c r="BD51" s="20"/>
      <c r="BE51" s="20"/>
      <c r="BF51" s="20"/>
      <c r="BG51" s="20"/>
      <c r="BH51" s="20"/>
    </row>
    <row r="52" spans="1:60" x14ac:dyDescent="0.25">
      <c r="A52" s="14" t="s">
        <v>98</v>
      </c>
      <c r="B52" s="21" t="s">
        <v>164</v>
      </c>
      <c r="C52" s="21" t="str">
        <f>IF(T52="TRUE",VLOOKUP(A52,'Stock Nodes'!$A$1:$D$63,4,FALSE),IF(U52="TRUE",VLOOKUP(A52,'CTT Nodes'!$A$1:$D$83,4,FALSE),VLOOKUP(A52,'ETT Nodes'!$A$1:$D$87,3,FALSE)))</f>
        <v>High Altitude Flight</v>
      </c>
      <c r="D52" s="21" t="str">
        <f>"Node"&amp;TEXT(X52,"0")&amp;"_"&amp;A52</f>
        <v>Node5_highAltitudeFlight</v>
      </c>
      <c r="E52" s="22" t="str">
        <f>IF(OR(V52="TRUE",B52&lt;&gt;C52),"#LOC_ETT_"&amp;A52&amp;"_description",IF(T52="TRUE",VLOOKUP(A52,'Stock Nodes'!$A$1:$C$63,2,FALSE),IF(U52="TRUE",VLOOKUP(A52,'CTT Nodes'!$A$1:$D$83,2,FALSE))))</f>
        <v>#autoLOC_501101 //#autoLOC_501101 = New breakthroughs in engine and intake development to enable flying through the upper reaches of the atmosphere.</v>
      </c>
      <c r="F52" s="58">
        <v>95</v>
      </c>
      <c r="G52" s="63">
        <f t="array" ref="G52">INDEX(TNodeCols,MATCH(1,MMULT(--(TTechTree=A52),TRANSPOSE(COLUMN(TTechTree)^0)),0))</f>
        <v>-1797.6000000000013</v>
      </c>
      <c r="H52" s="21">
        <f t="array" ref="H52">INDEX(NodeRows,MATCH(1,MMULT(--(TechTree=A52),TRANSPOSE(COLUMN(TechTree)^0)),0))</f>
        <v>1937</v>
      </c>
      <c r="I52" s="63" t="str">
        <f>TEXT(G52,"0") &amp; ", " &amp; TEXT(H52,"0") &amp;", -2"</f>
        <v>-1798, 1937, -2</v>
      </c>
      <c r="J52" s="63" t="str">
        <f>IF(T52="TRUE",VLOOKUP(A52,'Stock Nodes'!$A$1:$C$63,3,FALSE),IF(U52="TRUE",VLOOKUP(A52,'CTT Nodes'!$A$1:$G$83,7,FALSE),VLOOKUP(A52,'ETT Nodes'!$A$1:$E$87,5,FALSE)))</f>
        <v>RDicon_flight-highAltitude</v>
      </c>
      <c r="K52" s="6"/>
      <c r="L52" s="63"/>
      <c r="M52" s="63"/>
      <c r="N52" s="63"/>
      <c r="O52" s="63"/>
      <c r="P52" s="63"/>
      <c r="Q52" s="6"/>
      <c r="R52" s="63"/>
      <c r="S52" s="63"/>
      <c r="T52" s="25" t="str">
        <f>IF(ISNA(VLOOKUP(A52,'Stock Nodes'!$A$1:$C$63,1,FALSE)),"FALSE","TRUE")</f>
        <v>TRUE</v>
      </c>
      <c r="U52" s="25" t="str">
        <f>IF(ISNA(VLOOKUP(A52,'CTT Nodes'!$A$1:$D$83,1,FALSE)),"FALSE","TRUE")</f>
        <v>FALSE</v>
      </c>
      <c r="V52" s="25" t="str">
        <f>IF(OR(T52="TRUE",U52="TRUE"),"FALSE","TRUE")</f>
        <v>FALSE</v>
      </c>
      <c r="W52" s="63">
        <v>50</v>
      </c>
      <c r="X52" s="59">
        <v>4.67</v>
      </c>
      <c r="Y52" s="20"/>
      <c r="Z52" s="20"/>
      <c r="AA52" s="20"/>
      <c r="AB52" s="20"/>
      <c r="AC52" s="20"/>
      <c r="AD52" s="20"/>
      <c r="AE52" s="20"/>
      <c r="AF52" s="20"/>
      <c r="AG52" s="20"/>
      <c r="AH52" s="20"/>
      <c r="AI52" s="20"/>
      <c r="AJ52" s="20"/>
      <c r="AK52" s="20"/>
      <c r="AL52" s="20"/>
      <c r="AM52" s="20"/>
      <c r="AN52" s="20"/>
      <c r="AO52" s="20"/>
      <c r="AP52" s="20"/>
      <c r="AQ52" s="20"/>
      <c r="AR52" s="20"/>
      <c r="AS52" s="20"/>
      <c r="AT52" s="20"/>
      <c r="AU52" s="20"/>
      <c r="AV52" s="20"/>
      <c r="AW52" s="20"/>
      <c r="AX52" s="20"/>
      <c r="AY52" s="20"/>
      <c r="AZ52" s="20"/>
      <c r="BA52" s="20"/>
      <c r="BB52" s="20"/>
      <c r="BC52" s="20"/>
      <c r="BD52" s="20"/>
      <c r="BE52" s="20"/>
      <c r="BF52" s="20"/>
      <c r="BG52" s="20"/>
      <c r="BH52" s="20"/>
    </row>
    <row r="53" spans="1:60" x14ac:dyDescent="0.25">
      <c r="A53" s="14" t="s">
        <v>55</v>
      </c>
      <c r="B53" s="21" t="s">
        <v>325</v>
      </c>
      <c r="C53" s="21" t="str">
        <f>IF(T53="TRUE",VLOOKUP(A53,'Stock Nodes'!$A$1:$D$63,4,FALSE),IF(U53="TRUE",VLOOKUP(A53,'CTT Nodes'!$A$1:$D$83,4,FALSE),VLOOKUP(A53,'ETT Nodes'!$A$1:$D$87,3,FALSE)))</f>
        <v>Heavy Aerodynamics</v>
      </c>
      <c r="D53" s="21" t="str">
        <f>"Node"&amp;TEXT(X53,"0")&amp;"_"&amp;A53</f>
        <v>Node7_heavyAerodynamics</v>
      </c>
      <c r="E53" s="22" t="str">
        <f>IF(OR(V53="TRUE",B53&lt;&gt;C53),"#LOC_ETT_"&amp;A53&amp;"_description",IF(T53="TRUE",VLOOKUP(A53,'Stock Nodes'!$A$1:$C$63,2,FALSE),IF(U53="TRUE",VLOOKUP(A53,'CTT Nodes'!$A$1:$D$83,2,FALSE))))</f>
        <v>#LOC_ETT_heavyAerodynamics_description</v>
      </c>
      <c r="F53" s="58">
        <v>375</v>
      </c>
      <c r="G53" s="21">
        <f t="array" ref="G53">INDEX(TNodeCols,MATCH(1,MMULT(--(TTechTree=A53),TRANSPOSE(COLUMN(TTechTree)^0)),0))</f>
        <v>-1797.6000000000013</v>
      </c>
      <c r="H53" s="21">
        <f t="array" ref="H53">INDEX(NodeRows,MATCH(1,MMULT(--(TechTree=A53),TRANSPOSE(COLUMN(TechTree)^0)),0))</f>
        <v>2013</v>
      </c>
      <c r="I53" s="63" t="str">
        <f>TEXT(G53,"0") &amp; ", " &amp; TEXT(H53,"0") &amp;", -2"</f>
        <v>-1798, 2013, -2</v>
      </c>
      <c r="J53" s="63" t="str">
        <f>IF(T53="TRUE",VLOOKUP(A53,'Stock Nodes'!$A$1:$C$63,3,FALSE),IF(U53="TRUE",VLOOKUP(A53,'CTT Nodes'!$A$1:$G$83,7,FALSE),VLOOKUP(A53,'ETT Nodes'!$A$1:$E$87,5,FALSE)))</f>
        <v>RDicon_aerospaceTech2</v>
      </c>
      <c r="K53" s="63"/>
      <c r="L53" s="63"/>
      <c r="M53" s="63"/>
      <c r="N53" s="63"/>
      <c r="O53" s="63"/>
      <c r="P53" s="63"/>
      <c r="Q53" s="6"/>
      <c r="R53" s="63"/>
      <c r="S53" s="63"/>
      <c r="T53" s="25" t="str">
        <f>IF(ISNA(VLOOKUP(A53,'Stock Nodes'!$A$1:$C$63,1,FALSE)),"FALSE","TRUE")</f>
        <v>TRUE</v>
      </c>
      <c r="U53" s="25" t="str">
        <f>IF(ISNA(VLOOKUP(A53,'CTT Nodes'!$A$1:$D$83,1,FALSE)),"FALSE","TRUE")</f>
        <v>FALSE</v>
      </c>
      <c r="V53" s="25" t="str">
        <f>IF(OR(T53="TRUE",U53="TRUE"),"FALSE","TRUE")</f>
        <v>FALSE</v>
      </c>
      <c r="W53" s="68">
        <v>51</v>
      </c>
      <c r="X53" s="59">
        <v>7</v>
      </c>
      <c r="Y53" s="20"/>
      <c r="Z53" s="20"/>
      <c r="AA53" s="20"/>
      <c r="AB53" s="20"/>
      <c r="AC53" s="20"/>
      <c r="AD53" s="20"/>
      <c r="AE53" s="20"/>
      <c r="AF53" s="20"/>
      <c r="AG53" s="20"/>
      <c r="AH53" s="20"/>
      <c r="AI53" s="20"/>
      <c r="AJ53" s="20"/>
      <c r="AK53" s="20"/>
      <c r="AL53" s="20"/>
      <c r="AM53" s="20"/>
      <c r="AN53" s="20"/>
      <c r="AO53" s="20"/>
      <c r="AP53" s="20"/>
      <c r="AQ53" s="20"/>
      <c r="AR53" s="20"/>
      <c r="AS53" s="20"/>
      <c r="AT53" s="20"/>
      <c r="AU53" s="20"/>
      <c r="AV53" s="20"/>
      <c r="AW53" s="20"/>
      <c r="AX53" s="20"/>
      <c r="AY53" s="20"/>
      <c r="AZ53" s="20"/>
      <c r="BA53" s="20"/>
      <c r="BB53" s="20"/>
      <c r="BC53" s="20"/>
      <c r="BD53" s="20"/>
      <c r="BE53" s="20"/>
      <c r="BF53" s="20"/>
      <c r="BG53" s="20"/>
      <c r="BH53" s="20"/>
    </row>
    <row r="54" spans="1:60" x14ac:dyDescent="0.25">
      <c r="A54" s="63" t="s">
        <v>95</v>
      </c>
      <c r="B54" s="63" t="s">
        <v>297</v>
      </c>
      <c r="C54" s="21" t="str">
        <f>IF(T54="TRUE",VLOOKUP(A54,'Stock Nodes'!$A$1:$D$63,4,FALSE),IF(U54="TRUE",VLOOKUP(A54,'CTT Nodes'!$A$1:$D$83,4,FALSE),VLOOKUP(A54,'ETT Nodes'!$A$1:$D$87,3,FALSE)))</f>
        <v>Aerospace Tech</v>
      </c>
      <c r="D54" s="21" t="str">
        <f>"Node"&amp;TEXT(X54,"0")&amp;"_"&amp;A54</f>
        <v>Node4_aerospaceTech</v>
      </c>
      <c r="E54" s="22" t="str">
        <f>IF(OR(V54="TRUE",B54&lt;&gt;C54),"#LOC_ETT_"&amp;A54&amp;"_description",IF(T54="TRUE",VLOOKUP(A54,'Stock Nodes'!$A$1:$C$63,2,FALSE),IF(U54="TRUE",VLOOKUP(A54,'CTT Nodes'!$A$1:$D$83,2,FALSE))))</f>
        <v>#LOC_ETT_aerospaceTech_description</v>
      </c>
      <c r="F54" s="58">
        <v>50</v>
      </c>
      <c r="G54" s="21">
        <f t="array" ref="G54">INDEX(TNodeCols,MATCH(1,MMULT(--(TTechTree=A54),TRANSPOSE(COLUMN(TTechTree)^0)),0))</f>
        <v>-1797.6000000000013</v>
      </c>
      <c r="H54" s="21">
        <f t="array" ref="H54">INDEX(NodeRows,MATCH(1,MMULT(--(TechTree=A54),TRANSPOSE(COLUMN(TechTree)^0)),0))</f>
        <v>1861</v>
      </c>
      <c r="I54" s="63" t="str">
        <f>TEXT(G54,"0") &amp; ", " &amp; TEXT(H54,"0") &amp;", -2"</f>
        <v>-1798, 1861, -2</v>
      </c>
      <c r="J54" s="63" t="str">
        <f>IF(T54="TRUE",VLOOKUP(A54,'Stock Nodes'!$A$1:$C$63,3,FALSE),IF(U54="TRUE",VLOOKUP(A54,'CTT Nodes'!$A$1:$G$83,7,FALSE),VLOOKUP(A54,'ETT Nodes'!$A$1:$E$87,5,FALSE)))</f>
        <v>RDicon_aerodynamics-experimental</v>
      </c>
      <c r="K54" s="63"/>
      <c r="L54" s="63"/>
      <c r="M54" s="63"/>
      <c r="N54" s="63"/>
      <c r="O54" s="63"/>
      <c r="P54" s="63"/>
      <c r="Q54" s="63"/>
      <c r="R54" s="63"/>
      <c r="S54" s="63"/>
      <c r="T54" s="25" t="str">
        <f>IF(ISNA(VLOOKUP(A54,'Stock Nodes'!$A$1:$C$63,1,FALSE)),"FALSE","TRUE")</f>
        <v>TRUE</v>
      </c>
      <c r="U54" s="25" t="str">
        <f>IF(ISNA(VLOOKUP(A54,'CTT Nodes'!$A$1:$D$83,1,FALSE)),"FALSE","TRUE")</f>
        <v>FALSE</v>
      </c>
      <c r="V54" s="25" t="str">
        <f>IF(OR(T54="TRUE",U54="TRUE"),"FALSE","TRUE")</f>
        <v>FALSE</v>
      </c>
      <c r="W54" s="68">
        <v>52</v>
      </c>
      <c r="X54" s="59">
        <v>3.67</v>
      </c>
      <c r="Y54" s="20"/>
      <c r="Z54" s="20"/>
      <c r="AA54" s="20"/>
      <c r="AB54" s="20"/>
      <c r="AC54" s="20"/>
      <c r="AD54" s="20"/>
      <c r="AE54" s="20"/>
      <c r="AF54" s="20"/>
      <c r="AG54" s="20"/>
      <c r="AH54" s="20"/>
      <c r="AI54" s="20"/>
      <c r="AJ54" s="20"/>
      <c r="AK54" s="20"/>
      <c r="AL54" s="20"/>
      <c r="AM54" s="20"/>
      <c r="AN54" s="20"/>
      <c r="AO54" s="20"/>
      <c r="AP54" s="20"/>
      <c r="AQ54" s="20"/>
      <c r="AR54" s="20"/>
      <c r="AS54" s="20"/>
      <c r="AT54" s="20"/>
      <c r="AU54" s="20"/>
      <c r="AV54" s="20"/>
      <c r="AW54" s="20"/>
      <c r="AX54" s="20"/>
      <c r="AY54" s="20"/>
      <c r="AZ54" s="20"/>
      <c r="BA54" s="20"/>
      <c r="BB54" s="20"/>
      <c r="BC54" s="20"/>
      <c r="BD54" s="20"/>
      <c r="BE54" s="20"/>
      <c r="BF54" s="20"/>
      <c r="BG54" s="20"/>
      <c r="BH54" s="20"/>
    </row>
    <row r="55" spans="1:60" x14ac:dyDescent="0.25">
      <c r="A55" s="14" t="s">
        <v>69</v>
      </c>
      <c r="B55" s="21" t="s">
        <v>175</v>
      </c>
      <c r="C55" s="21" t="str">
        <f>IF(T55="TRUE",VLOOKUP(A55,'Stock Nodes'!$A$1:$D$63,4,FALSE),IF(U55="TRUE",VLOOKUP(A55,'CTT Nodes'!$A$1:$D$83,4,FALSE),VLOOKUP(A55,'ETT Nodes'!$A$1:$D$87,3,FALSE)))</f>
        <v>Aerospace Composites</v>
      </c>
      <c r="D55" s="21" t="str">
        <f>"Node"&amp;TEXT(X55,"0")&amp;"_"&amp;A55</f>
        <v>Node6_aerospaceComposites</v>
      </c>
      <c r="E55" s="22" t="str">
        <f>IF(OR(V55="TRUE",B55&lt;&gt;C55),"#LOC_ETT_"&amp;A55&amp;"_description",IF(T55="TRUE",VLOOKUP(A55,'Stock Nodes'!$A$1:$C$63,2,FALSE),IF(U55="TRUE",VLOOKUP(A55,'CTT Nodes'!$A$1:$D$83,2,FALSE))))</f>
        <v>#LOC_CTT_aerospaceComposites_description</v>
      </c>
      <c r="F55" s="58">
        <v>250</v>
      </c>
      <c r="G55" s="21">
        <f t="array" ref="G55">INDEX(TNodeCols,MATCH(1,MMULT(--(TTechTree=A55),TRANSPOSE(COLUMN(TTechTree)^0)),0))</f>
        <v>-1797.6000000000013</v>
      </c>
      <c r="H55" s="21">
        <f t="array" ref="H55">INDEX(NodeRows,MATCH(1,MMULT(--(TechTree=A55),TRANSPOSE(COLUMN(TechTree)^0)),0))</f>
        <v>2089</v>
      </c>
      <c r="I55" s="63" t="str">
        <f>TEXT(G55,"0") &amp; ", " &amp; TEXT(H55,"0") &amp;", -2"</f>
        <v>-1798, 2089, -2</v>
      </c>
      <c r="J55" s="63" t="str">
        <f>IF(T55="TRUE",VLOOKUP(A55,'Stock Nodes'!$A$1:$C$63,3,FALSE),IF(U55="TRUE",VLOOKUP(A55,'CTT Nodes'!$A$1:$G$83,7,FALSE),VLOOKUP(A55,'ETT Nodes'!$A$1:$E$87,5,FALSE)))</f>
        <v>ETTR/UI/CTT/ctt_icon_aerospaceComposites</v>
      </c>
      <c r="K55" s="21"/>
      <c r="L55" s="63"/>
      <c r="M55" s="63"/>
      <c r="N55" s="6"/>
      <c r="O55" s="63"/>
      <c r="P55" s="63"/>
      <c r="Q55" s="6"/>
      <c r="R55" s="63"/>
      <c r="S55" s="63"/>
      <c r="T55" s="25" t="str">
        <f>IF(ISNA(VLOOKUP(A55,'Stock Nodes'!$A$1:$C$63,1,FALSE)),"FALSE","TRUE")</f>
        <v>FALSE</v>
      </c>
      <c r="U55" s="25" t="str">
        <f>IF(ISNA(VLOOKUP(A55,'CTT Nodes'!$A$1:$D$83,1,FALSE)),"FALSE","TRUE")</f>
        <v>TRUE</v>
      </c>
      <c r="V55" s="25" t="str">
        <f>IF(OR(T55="TRUE",U55="TRUE"),"FALSE","TRUE")</f>
        <v>FALSE</v>
      </c>
      <c r="W55" s="63">
        <v>53</v>
      </c>
      <c r="X55" s="59">
        <v>6</v>
      </c>
      <c r="Y55" s="20"/>
      <c r="Z55" s="20"/>
      <c r="AA55" s="20"/>
      <c r="AB55" s="20"/>
      <c r="AC55" s="20"/>
      <c r="AD55" s="20"/>
      <c r="AE55" s="20"/>
      <c r="AF55" s="20"/>
      <c r="AG55" s="20"/>
      <c r="AH55" s="20"/>
      <c r="AI55" s="20"/>
      <c r="AJ55" s="20"/>
      <c r="AK55" s="20"/>
      <c r="AL55" s="20"/>
      <c r="AM55" s="20"/>
      <c r="AN55" s="20"/>
      <c r="AO55" s="20"/>
      <c r="AP55" s="20"/>
      <c r="AQ55" s="20"/>
      <c r="AR55" s="20"/>
      <c r="AS55" s="20"/>
      <c r="AT55" s="20"/>
      <c r="AU55" s="20"/>
      <c r="AV55" s="20"/>
      <c r="AW55" s="20"/>
      <c r="AX55" s="20"/>
      <c r="AY55" s="20"/>
      <c r="AZ55" s="20"/>
      <c r="BA55" s="20"/>
      <c r="BB55" s="20"/>
      <c r="BC55" s="20"/>
      <c r="BD55" s="20"/>
      <c r="BE55" s="20"/>
      <c r="BF55" s="20"/>
      <c r="BG55" s="20"/>
      <c r="BH55" s="20"/>
    </row>
    <row r="56" spans="1:60" x14ac:dyDescent="0.25">
      <c r="A56" s="21" t="s">
        <v>67</v>
      </c>
      <c r="B56" s="21" t="s">
        <v>68</v>
      </c>
      <c r="C56" s="21" t="str">
        <f>IF(T56="TRUE",VLOOKUP(A56,'Stock Nodes'!$A$1:$D$63,4,FALSE),IF(U56="TRUE",VLOOKUP(A56,'CTT Nodes'!$A$1:$D$83,4,FALSE),VLOOKUP(A56,'ETT Nodes'!$A$1:$D$87,3,FALSE)))</f>
        <v>Specialized Flight Systems</v>
      </c>
      <c r="D56" s="21" t="str">
        <f>"Node"&amp;TEXT(X56,"0")&amp;"_"&amp;A56</f>
        <v>Node9_specializedFlightSystems</v>
      </c>
      <c r="E56" s="22" t="str">
        <f>IF(OR(V56="TRUE",B56&lt;&gt;C56),"#LOC_ETT_"&amp;A56&amp;"_description",IF(T56="TRUE",VLOOKUP(A56,'Stock Nodes'!$A$1:$C$63,2,FALSE),IF(U56="TRUE",VLOOKUP(A56,'CTT Nodes'!$A$1:$D$83,2,FALSE))))</f>
        <v>#LOC_CTT_specializedFlightSystems_description</v>
      </c>
      <c r="F56" s="58">
        <v>750</v>
      </c>
      <c r="G56" s="21">
        <f t="array" ref="G56">INDEX(TNodeCols,MATCH(1,MMULT(--(TTechTree=A56),TRANSPOSE(COLUMN(TTechTree)^0)),0))</f>
        <v>-2110.800000000002</v>
      </c>
      <c r="H56" s="21">
        <f t="array" ref="H56">INDEX(NodeRows,MATCH(1,MMULT(--(TechTree=A56),TRANSPOSE(COLUMN(TechTree)^0)),0))</f>
        <v>2241</v>
      </c>
      <c r="I56" s="63" t="str">
        <f>TEXT(G56,"0") &amp; ", " &amp; TEXT(H56,"0") &amp;", -2"</f>
        <v>-2111, 2241, -2</v>
      </c>
      <c r="J56" s="63" t="str">
        <f>IF(T56="TRUE",VLOOKUP(A56,'Stock Nodes'!$A$1:$C$63,3,FALSE),IF(U56="TRUE",VLOOKUP(A56,'CTT Nodes'!$A$1:$G$83,7,FALSE),VLOOKUP(A56,'ETT Nodes'!$A$1:$E$87,5,FALSE)))</f>
        <v>ETTR/UI/CTT/ctt_icon_specializedFlight</v>
      </c>
      <c r="K56" s="6"/>
      <c r="L56" s="63"/>
      <c r="M56" s="63"/>
      <c r="N56" s="6"/>
      <c r="O56" s="63"/>
      <c r="P56" s="63"/>
      <c r="Q56" s="6"/>
      <c r="R56" s="63"/>
      <c r="S56" s="63"/>
      <c r="T56" s="25" t="str">
        <f>IF(ISNA(VLOOKUP(A56,'Stock Nodes'!$A$1:$C$63,1,FALSE)),"FALSE","TRUE")</f>
        <v>FALSE</v>
      </c>
      <c r="U56" s="25" t="str">
        <f>IF(ISNA(VLOOKUP(A56,'CTT Nodes'!$A$1:$D$83,1,FALSE)),"FALSE","TRUE")</f>
        <v>TRUE</v>
      </c>
      <c r="V56" s="25" t="str">
        <f>IF(OR(T56="TRUE",U56="TRUE"),"FALSE","TRUE")</f>
        <v>FALSE</v>
      </c>
      <c r="W56" s="68">
        <v>54</v>
      </c>
      <c r="X56" s="59">
        <v>9</v>
      </c>
      <c r="Y56" s="20"/>
      <c r="Z56" s="20"/>
      <c r="AA56" s="20"/>
      <c r="AB56" s="20"/>
      <c r="AC56" s="20"/>
      <c r="AD56" s="20"/>
      <c r="AE56" s="20"/>
      <c r="AF56" s="20"/>
      <c r="AG56" s="20"/>
      <c r="AH56" s="20"/>
      <c r="AI56" s="20"/>
      <c r="AJ56" s="20"/>
      <c r="AK56" s="20"/>
      <c r="AL56" s="20"/>
      <c r="AM56" s="20"/>
      <c r="AN56" s="20"/>
      <c r="AO56" s="20"/>
      <c r="AP56" s="20"/>
      <c r="AQ56" s="20"/>
      <c r="AR56" s="20"/>
      <c r="AS56" s="20"/>
      <c r="AT56" s="20"/>
      <c r="AU56" s="20"/>
      <c r="AV56" s="20"/>
      <c r="AW56" s="20"/>
      <c r="AX56" s="20"/>
      <c r="AY56" s="20"/>
      <c r="AZ56" s="20"/>
      <c r="BA56" s="20"/>
      <c r="BB56" s="20"/>
      <c r="BC56" s="20"/>
      <c r="BD56" s="20"/>
      <c r="BE56" s="20"/>
      <c r="BF56" s="20"/>
      <c r="BG56" s="20"/>
      <c r="BH56" s="20"/>
    </row>
    <row r="57" spans="1:60" x14ac:dyDescent="0.25">
      <c r="A57" s="63" t="s">
        <v>105</v>
      </c>
      <c r="B57" s="63" t="s">
        <v>253</v>
      </c>
      <c r="C57" s="21" t="str">
        <f>IF(T57="TRUE",VLOOKUP(A57,'Stock Nodes'!$A$1:$D$63,4,FALSE),IF(U57="TRUE",VLOOKUP(A57,'CTT Nodes'!$A$1:$D$83,4,FALSE),VLOOKUP(A57,'ETT Nodes'!$A$1:$D$87,3,FALSE)))</f>
        <v>Flight Control</v>
      </c>
      <c r="D57" s="21" t="str">
        <f>"Node"&amp;TEXT(X57,"0")&amp;"_"&amp;A57</f>
        <v>Node3_flightControl</v>
      </c>
      <c r="E57" s="22" t="str">
        <f>IF(OR(V57="TRUE",B57&lt;&gt;C57),"#LOC_ETT_"&amp;A57&amp;"_description",IF(T57="TRUE",VLOOKUP(A57,'Stock Nodes'!$A$1:$C$63,2,FALSE),IF(U57="TRUE",VLOOKUP(A57,'CTT Nodes'!$A$1:$D$83,2,FALSE))))</f>
        <v>#LOC_ETT_flightControl_description</v>
      </c>
      <c r="F57" s="58">
        <v>25</v>
      </c>
      <c r="G57" s="21">
        <f t="array" ref="G57">INDEX(TNodeCols,MATCH(1,MMULT(--(TTechTree=A57),TRANSPOSE(COLUMN(TTechTree)^0)),0))</f>
        <v>-2110.800000000002</v>
      </c>
      <c r="H57" s="21">
        <f t="array" ref="H57">INDEX(NodeRows,MATCH(1,MMULT(--(TechTree=A57),TRANSPOSE(COLUMN(TechTree)^0)),0))</f>
        <v>1937</v>
      </c>
      <c r="I57" s="63" t="str">
        <f>TEXT(G57,"0") &amp; ", " &amp; TEXT(H57,"0") &amp;", -2"</f>
        <v>-2111, 1937, -2</v>
      </c>
      <c r="J57" s="63" t="str">
        <f>IF(T57="TRUE",VLOOKUP(A57,'Stock Nodes'!$A$1:$C$63,3,FALSE),IF(U57="TRUE",VLOOKUP(A57,'CTT Nodes'!$A$1:$G$83,7,FALSE),VLOOKUP(A57,'ETT Nodes'!$A$1:$E$87,5,FALSE)))</f>
        <v>RDicon_control-flight-advanced</v>
      </c>
      <c r="K57" s="63"/>
      <c r="L57" s="63"/>
      <c r="M57" s="63"/>
      <c r="N57" s="63"/>
      <c r="O57" s="63"/>
      <c r="P57" s="63"/>
      <c r="Q57" s="63"/>
      <c r="R57" s="63"/>
      <c r="S57" s="63"/>
      <c r="T57" s="25" t="str">
        <f>IF(ISNA(VLOOKUP(A57,'Stock Nodes'!$A$1:$C$63,1,FALSE)),"FALSE","TRUE")</f>
        <v>TRUE</v>
      </c>
      <c r="U57" s="25" t="str">
        <f>IF(ISNA(VLOOKUP(A57,'CTT Nodes'!$A$1:$D$83,1,FALSE)),"FALSE","TRUE")</f>
        <v>FALSE</v>
      </c>
      <c r="V57" s="25" t="str">
        <f>IF(OR(T57="TRUE",U57="TRUE"),"FALSE","TRUE")</f>
        <v>FALSE</v>
      </c>
      <c r="W57" s="68">
        <v>55</v>
      </c>
      <c r="X57" s="59">
        <v>3</v>
      </c>
      <c r="Y57" s="20"/>
      <c r="Z57" s="20"/>
      <c r="AA57" s="20"/>
      <c r="AB57" s="20"/>
      <c r="AC57" s="20"/>
      <c r="AD57" s="20"/>
      <c r="AE57" s="20"/>
      <c r="AF57" s="20"/>
      <c r="AG57" s="20"/>
      <c r="AH57" s="20"/>
      <c r="AI57" s="20"/>
      <c r="AJ57" s="20"/>
      <c r="AK57" s="20"/>
      <c r="AL57" s="20"/>
      <c r="AM57" s="20"/>
      <c r="AN57" s="20"/>
      <c r="AO57" s="20"/>
      <c r="AP57" s="20"/>
      <c r="AQ57" s="20"/>
      <c r="AR57" s="20"/>
      <c r="AS57" s="20"/>
      <c r="AT57" s="20"/>
      <c r="AU57" s="20"/>
      <c r="AV57" s="20"/>
      <c r="AW57" s="20"/>
      <c r="AX57" s="20"/>
      <c r="AY57" s="20"/>
      <c r="AZ57" s="20"/>
      <c r="BA57" s="20"/>
      <c r="BB57" s="20"/>
      <c r="BC57" s="20"/>
      <c r="BD57" s="20"/>
      <c r="BE57" s="20"/>
      <c r="BF57" s="20"/>
      <c r="BG57" s="20"/>
      <c r="BH57" s="20"/>
    </row>
    <row r="58" spans="1:60" x14ac:dyDescent="0.25">
      <c r="A58" s="63" t="s">
        <v>120</v>
      </c>
      <c r="B58" s="45" t="s">
        <v>121</v>
      </c>
      <c r="C58" s="21" t="str">
        <f>IF(T58="TRUE",VLOOKUP(A58,'Stock Nodes'!$A$1:$D$63,4,FALSE),IF(U58="TRUE",VLOOKUP(A58,'CTT Nodes'!$A$1:$D$83,4,FALSE),VLOOKUP(A58,'ETT Nodes'!$A$1:$D$87,3,FALSE)))</f>
        <v>Advanced Flight Control</v>
      </c>
      <c r="D58" s="21" t="str">
        <f>"Node"&amp;TEXT(X58,"0")&amp;"_"&amp;A58</f>
        <v>Node4_advFlightControl</v>
      </c>
      <c r="E58" s="22" t="str">
        <f>IF(OR(V58="TRUE",B58&lt;&gt;C58),"#LOC_ETT_"&amp;A58&amp;"_description",IF(T58="TRUE",VLOOKUP(A58,'Stock Nodes'!$A$1:$C$63,2,FALSE),IF(U58="TRUE",VLOOKUP(A58,'CTT Nodes'!$A$1:$D$83,2,FALSE))))</f>
        <v>#autoLOC_501047 //#autoLOC_501047 = The latest advancements in keeping the correct end of the ship pointing towards where you want it to go.</v>
      </c>
      <c r="F58" s="58">
        <v>50</v>
      </c>
      <c r="G58" s="21">
        <f t="array" ref="G58">INDEX(TNodeCols,MATCH(1,MMULT(--(TTechTree=A58),TRANSPOSE(COLUMN(TTechTree)^0)),0))</f>
        <v>-2110.800000000002</v>
      </c>
      <c r="H58" s="21">
        <f t="array" ref="H58">INDEX(NodeRows,MATCH(1,MMULT(--(TechTree=A58),TRANSPOSE(COLUMN(TechTree)^0)),0))</f>
        <v>2013</v>
      </c>
      <c r="I58" s="63" t="str">
        <f>TEXT(G58,"0") &amp; ", " &amp; TEXT(H58,"0") &amp;", -2"</f>
        <v>-2111, 2013, -2</v>
      </c>
      <c r="J58" s="63" t="str">
        <f>IF(T58="TRUE",VLOOKUP(A58,'Stock Nodes'!$A$1:$C$63,3,FALSE),IF(U58="TRUE",VLOOKUP(A58,'CTT Nodes'!$A$1:$G$83,7,FALSE),VLOOKUP(A58,'ETT Nodes'!$A$1:$E$87,5,FALSE)))</f>
        <v>RDicon_control-flight</v>
      </c>
      <c r="K58" s="45"/>
      <c r="L58" s="63"/>
      <c r="M58" s="63"/>
      <c r="N58" s="45"/>
      <c r="O58" s="63"/>
      <c r="P58" s="63"/>
      <c r="Q58" s="45"/>
      <c r="R58" s="63"/>
      <c r="S58" s="63"/>
      <c r="T58" s="25" t="str">
        <f>IF(ISNA(VLOOKUP(A58,'Stock Nodes'!$A$1:$C$63,1,FALSE)),"FALSE","TRUE")</f>
        <v>TRUE</v>
      </c>
      <c r="U58" s="25" t="str">
        <f>IF(ISNA(VLOOKUP(A58,'CTT Nodes'!$A$1:$D$83,1,FALSE)),"FALSE","TRUE")</f>
        <v>FALSE</v>
      </c>
      <c r="V58" s="25" t="str">
        <f>IF(OR(T58="TRUE",U58="TRUE"),"FALSE","TRUE")</f>
        <v>FALSE</v>
      </c>
      <c r="W58" s="63">
        <v>56</v>
      </c>
      <c r="X58" s="59">
        <v>3.67</v>
      </c>
      <c r="Y58" s="20"/>
      <c r="Z58" s="20"/>
      <c r="AA58" s="20"/>
      <c r="AB58" s="20"/>
      <c r="AC58" s="20"/>
      <c r="AD58" s="20"/>
      <c r="AE58" s="20"/>
      <c r="AF58" s="20"/>
      <c r="AG58" s="20"/>
      <c r="AH58" s="20"/>
      <c r="AI58" s="20"/>
      <c r="AJ58" s="20"/>
      <c r="AK58" s="20"/>
      <c r="AL58" s="20"/>
      <c r="AM58" s="20"/>
      <c r="AN58" s="20"/>
      <c r="AO58" s="20"/>
      <c r="AP58" s="20"/>
      <c r="AQ58" s="20"/>
      <c r="AR58" s="20"/>
      <c r="AS58" s="20"/>
      <c r="AT58" s="20"/>
      <c r="AU58" s="20"/>
      <c r="AV58" s="20"/>
      <c r="AW58" s="20"/>
      <c r="AX58" s="20"/>
      <c r="AY58" s="20"/>
      <c r="AZ58" s="20"/>
      <c r="BA58" s="20"/>
      <c r="BB58" s="20"/>
      <c r="BC58" s="20"/>
      <c r="BD58" s="20"/>
      <c r="BE58" s="20"/>
      <c r="BF58" s="20"/>
      <c r="BG58" s="20"/>
      <c r="BH58" s="20"/>
    </row>
    <row r="59" spans="1:60" x14ac:dyDescent="0.25">
      <c r="A59" s="21" t="s">
        <v>391</v>
      </c>
      <c r="B59" s="21" t="s">
        <v>128</v>
      </c>
      <c r="C59" s="21" t="str">
        <f>IF(T59="TRUE",VLOOKUP(A59,'Stock Nodes'!$A$1:$D$63,4,FALSE),IF(U59="TRUE",VLOOKUP(A59,'CTT Nodes'!$A$1:$D$83,4,FALSE),VLOOKUP(A59,'ETT Nodes'!$A$1:$D$87,3,FALSE)))</f>
        <v>Advanced Aerodynamics</v>
      </c>
      <c r="D59" s="21" t="str">
        <f>"Node"&amp;TEXT(X59,"0")&amp;"_"&amp;A59</f>
        <v>Node5_advAerodynamics</v>
      </c>
      <c r="E59" s="22" t="str">
        <f>IF(OR(V59="TRUE",B59&lt;&gt;C59),"#LOC_ETT_"&amp;A59&amp;"_description",IF(T59="TRUE",VLOOKUP(A59,'Stock Nodes'!$A$1:$C$63,2,FALSE),IF(U59="TRUE",VLOOKUP(A59,'CTT Nodes'!$A$1:$D$83,2,FALSE))))</f>
        <v>#LOC_ETT_advAerodynamics_description</v>
      </c>
      <c r="F59" s="58">
        <v>95</v>
      </c>
      <c r="G59" s="21">
        <f t="array" ref="G59">INDEX(TNodeCols,MATCH(1,MMULT(--(TTechTree=A59),TRANSPOSE(COLUMN(TTechTree)^0)),0))</f>
        <v>-2110.800000000002</v>
      </c>
      <c r="H59" s="21">
        <f t="array" ref="H59">INDEX(NodeRows,MATCH(1,MMULT(--(TechTree=A59),TRANSPOSE(COLUMN(TechTree)^0)),0))</f>
        <v>2089</v>
      </c>
      <c r="I59" s="63" t="str">
        <f>TEXT(G59,"0") &amp; ", " &amp; TEXT(H59,"0") &amp;", -2"</f>
        <v>-2111, 2089, -2</v>
      </c>
      <c r="J59" s="63" t="str">
        <f>IF(T59="TRUE",VLOOKUP(A59,'Stock Nodes'!$A$1:$C$63,3,FALSE),IF(U59="TRUE",VLOOKUP(A59,'CTT Nodes'!$A$1:$G$83,7,FALSE),VLOOKUP(A59,'ETT Nodes'!$A$1:$E$87,5,FALSE)))</f>
        <v>RDicon_aerodynamics-advanced</v>
      </c>
      <c r="K59" s="63"/>
      <c r="L59" s="63"/>
      <c r="M59" s="63"/>
      <c r="N59" s="21"/>
      <c r="O59" s="63"/>
      <c r="P59" s="63"/>
      <c r="Q59" s="21"/>
      <c r="R59" s="63"/>
      <c r="S59" s="63"/>
      <c r="T59" s="25" t="str">
        <f>IF(ISNA(VLOOKUP(A59,'Stock Nodes'!$A$1:$C$63,1,FALSE)),"FALSE","TRUE")</f>
        <v>TRUE</v>
      </c>
      <c r="U59" s="25" t="str">
        <f>IF(ISNA(VLOOKUP(A59,'CTT Nodes'!$A$1:$D$83,1,FALSE)),"FALSE","TRUE")</f>
        <v>FALSE</v>
      </c>
      <c r="V59" s="25" t="str">
        <f>IF(OR(T59="TRUE",U59="TRUE"),"FALSE","TRUE")</f>
        <v>FALSE</v>
      </c>
      <c r="W59" s="68">
        <v>57</v>
      </c>
      <c r="X59" s="59">
        <v>4.67</v>
      </c>
      <c r="Y59" s="20"/>
      <c r="Z59" s="20"/>
      <c r="AA59" s="20"/>
      <c r="AB59" s="20"/>
      <c r="AC59" s="20"/>
      <c r="AD59" s="20"/>
      <c r="AE59" s="20"/>
      <c r="AF59" s="20"/>
      <c r="AG59" s="20"/>
      <c r="AH59" s="20"/>
      <c r="AI59" s="20"/>
      <c r="AJ59" s="20"/>
      <c r="AK59" s="20"/>
      <c r="AL59" s="20"/>
      <c r="AM59" s="20"/>
      <c r="AN59" s="20"/>
      <c r="AO59" s="20"/>
      <c r="AP59" s="20"/>
      <c r="AQ59" s="20"/>
      <c r="AR59" s="20"/>
      <c r="AS59" s="20"/>
      <c r="AT59" s="20"/>
      <c r="AU59" s="20"/>
      <c r="AV59" s="20"/>
      <c r="AW59" s="20"/>
      <c r="AX59" s="20"/>
      <c r="AY59" s="20"/>
      <c r="AZ59" s="20"/>
      <c r="BA59" s="20"/>
      <c r="BB59" s="20"/>
      <c r="BC59" s="20"/>
      <c r="BD59" s="20"/>
      <c r="BE59" s="20"/>
      <c r="BF59" s="20"/>
      <c r="BG59" s="20"/>
      <c r="BH59" s="20"/>
    </row>
    <row r="60" spans="1:60" x14ac:dyDescent="0.25">
      <c r="A60" s="14" t="s">
        <v>508</v>
      </c>
      <c r="B60" s="21" t="s">
        <v>326</v>
      </c>
      <c r="C60" s="21" t="str">
        <f>IF(T60="TRUE",VLOOKUP(A60,'Stock Nodes'!$A$1:$D$63,4,FALSE),IF(U60="TRUE",VLOOKUP(A60,'CTT Nodes'!$A$1:$D$83,4,FALSE),VLOOKUP(A60,'ETT Nodes'!$A$1:$D$87,3,FALSE)))</f>
        <v>Experimental Flight Controls</v>
      </c>
      <c r="D60" s="21" t="str">
        <f>"Node"&amp;TEXT(X60,"0")&amp;"_"&amp;A60</f>
        <v>Node8_experimentalFlightControls</v>
      </c>
      <c r="E60" s="22" t="str">
        <f>IF(OR(V60="TRUE",B60&lt;&gt;C60),"#LOC_ETT_"&amp;A60&amp;"_description",IF(T60="TRUE",VLOOKUP(A60,'Stock Nodes'!$A$1:$C$63,2,FALSE),IF(U60="TRUE",VLOOKUP(A60,'CTT Nodes'!$A$1:$D$83,2,FALSE))))</f>
        <v>#LOC_ETT_experimentalFlightControls_description</v>
      </c>
      <c r="F60" s="58">
        <v>495</v>
      </c>
      <c r="G60" s="21">
        <f t="array" ref="G60">INDEX(TNodeCols,MATCH(1,MMULT(--(TTechTree=A60),TRANSPOSE(COLUMN(TTechTree)^0)),0))</f>
        <v>-2110.800000000002</v>
      </c>
      <c r="H60" s="21">
        <f t="array" ref="H60">INDEX(NodeRows,MATCH(1,MMULT(--(TechTree=A60),TRANSPOSE(COLUMN(TechTree)^0)),0))</f>
        <v>2165</v>
      </c>
      <c r="I60" s="63" t="str">
        <f>TEXT(G60,"0") &amp; ", " &amp; TEXT(H60,"0") &amp;", -2"</f>
        <v>-2111, 2165, -2</v>
      </c>
      <c r="J60" s="63">
        <f>IF(T60="TRUE",VLOOKUP(A60,'Stock Nodes'!$A$1:$C$63,3,FALSE),IF(U60="TRUE",VLOOKUP(A60,'CTT Nodes'!$A$1:$G$83,7,FALSE),VLOOKUP(A60,'ETT Nodes'!$A$1:$E$87,5,FALSE)))</f>
        <v>0</v>
      </c>
      <c r="K60" s="6"/>
      <c r="L60" s="63"/>
      <c r="M60" s="63"/>
      <c r="N60" s="6"/>
      <c r="O60" s="63"/>
      <c r="P60" s="63"/>
      <c r="Q60" s="6"/>
      <c r="R60" s="63"/>
      <c r="S60" s="63"/>
      <c r="T60" s="25" t="str">
        <f>IF(ISNA(VLOOKUP(A60,'Stock Nodes'!$A$1:$C$63,1,FALSE)),"FALSE","TRUE")</f>
        <v>FALSE</v>
      </c>
      <c r="U60" s="25" t="str">
        <f>IF(ISNA(VLOOKUP(A60,'CTT Nodes'!$A$1:$D$83,1,FALSE)),"FALSE","TRUE")</f>
        <v>FALSE</v>
      </c>
      <c r="V60" s="25" t="str">
        <f>IF(OR(T60="TRUE",U60="TRUE"),"FALSE","TRUE")</f>
        <v>TRUE</v>
      </c>
      <c r="W60" s="68">
        <v>58</v>
      </c>
      <c r="X60" s="59">
        <v>8</v>
      </c>
      <c r="Y60" s="20"/>
      <c r="Z60" s="20"/>
      <c r="AA60" s="20"/>
      <c r="AB60" s="20"/>
      <c r="AC60" s="20"/>
      <c r="AD60" s="20"/>
      <c r="AE60" s="20"/>
      <c r="AF60" s="20"/>
      <c r="AG60" s="20"/>
      <c r="AH60" s="20"/>
      <c r="AI60" s="20"/>
      <c r="AJ60" s="20"/>
      <c r="AK60" s="20"/>
      <c r="AL60" s="20"/>
      <c r="AM60" s="20"/>
      <c r="AN60" s="20"/>
      <c r="AO60" s="20"/>
      <c r="AP60" s="20"/>
      <c r="AQ60" s="20"/>
      <c r="AR60" s="20"/>
      <c r="AS60" s="20"/>
      <c r="AT60" s="20"/>
      <c r="AU60" s="20"/>
      <c r="AV60" s="20"/>
      <c r="AW60" s="20"/>
      <c r="AX60" s="20"/>
      <c r="AY60" s="20"/>
      <c r="AZ60" s="20"/>
      <c r="BA60" s="20"/>
      <c r="BB60" s="20"/>
      <c r="BC60" s="20"/>
      <c r="BD60" s="20"/>
      <c r="BE60" s="20"/>
      <c r="BF60" s="20"/>
      <c r="BG60" s="20"/>
      <c r="BH60" s="20"/>
    </row>
    <row r="61" spans="1:60" x14ac:dyDescent="0.25">
      <c r="A61" s="14" t="s">
        <v>519</v>
      </c>
      <c r="B61" s="21" t="s">
        <v>298</v>
      </c>
      <c r="C61" s="21" t="str">
        <f>IF(T61="TRUE",VLOOKUP(A61,'Stock Nodes'!$A$1:$D$63,4,FALSE),IF(U61="TRUE",VLOOKUP(A61,'CTT Nodes'!$A$1:$D$83,4,FALSE),VLOOKUP(A61,'ETT Nodes'!$A$1:$D$87,3,FALSE)))</f>
        <v>Early Propeller Engines</v>
      </c>
      <c r="D61" s="21" t="str">
        <f>"Node"&amp;TEXT(X61,"0")&amp;"_"&amp;A61</f>
        <v>Node3_propellerEngines</v>
      </c>
      <c r="E61" s="22" t="str">
        <f>IF(OR(V61="TRUE",B61&lt;&gt;C61),"#LOC_ETT_"&amp;A61&amp;"_description",IF(T61="TRUE",VLOOKUP(A61,'Stock Nodes'!$A$1:$C$63,2,FALSE),IF(U61="TRUE",VLOOKUP(A61,'CTT Nodes'!$A$1:$D$83,2,FALSE))))</f>
        <v>#LOC_ETT_propellerEngines_description</v>
      </c>
      <c r="F61" s="58">
        <v>25</v>
      </c>
      <c r="G61" s="21">
        <f t="array" ref="G61">INDEX(TNodeCols,MATCH(1,MMULT(--(TTechTree=A61),TRANSPOSE(COLUMN(TTechTree)^0)),0))</f>
        <v>-2189.1000000000022</v>
      </c>
      <c r="H61" s="21">
        <f t="array" ref="H61">INDEX(NodeRows,MATCH(1,MMULT(--(TechTree=A61),TRANSPOSE(COLUMN(TechTree)^0)),0))</f>
        <v>1481</v>
      </c>
      <c r="I61" s="63" t="str">
        <f>TEXT(G61,"0") &amp; ", " &amp; TEXT(H61,"0") &amp;", -2"</f>
        <v>-2189, 1481, -2</v>
      </c>
      <c r="J61" s="63">
        <f>IF(T61="TRUE",VLOOKUP(A61,'Stock Nodes'!$A$1:$C$63,3,FALSE),IF(U61="TRUE",VLOOKUP(A61,'CTT Nodes'!$A$1:$G$83,7,FALSE),VLOOKUP(A61,'ETT Nodes'!$A$1:$E$87,5,FALSE)))</f>
        <v>0</v>
      </c>
      <c r="K61" s="6" t="s">
        <v>526</v>
      </c>
      <c r="L61" s="63" t="s">
        <v>2069</v>
      </c>
      <c r="M61" s="63" t="s">
        <v>2068</v>
      </c>
      <c r="N61" s="6"/>
      <c r="O61" s="63"/>
      <c r="P61" s="63"/>
      <c r="Q61" s="6"/>
      <c r="R61" s="63"/>
      <c r="S61" s="63"/>
      <c r="T61" s="25" t="str">
        <f>IF(ISNA(VLOOKUP(A61,'Stock Nodes'!$A$1:$C$63,1,FALSE)),"FALSE","TRUE")</f>
        <v>FALSE</v>
      </c>
      <c r="U61" s="25" t="str">
        <f>IF(ISNA(VLOOKUP(A61,'CTT Nodes'!$A$1:$D$83,1,FALSE)),"FALSE","TRUE")</f>
        <v>FALSE</v>
      </c>
      <c r="V61" s="25" t="str">
        <f>IF(OR(T61="TRUE",U61="TRUE"),"FALSE","TRUE")</f>
        <v>TRUE</v>
      </c>
      <c r="W61" s="63">
        <v>59</v>
      </c>
      <c r="X61" s="59">
        <v>3</v>
      </c>
      <c r="Y61" s="20"/>
      <c r="Z61" s="20"/>
      <c r="AA61" s="20"/>
      <c r="AB61" s="20"/>
      <c r="AC61" s="20"/>
      <c r="AD61" s="20"/>
      <c r="AE61" s="20"/>
      <c r="AF61" s="20"/>
      <c r="AG61" s="20"/>
      <c r="AH61" s="20"/>
      <c r="AI61" s="20"/>
      <c r="AJ61" s="20"/>
      <c r="AK61" s="20"/>
      <c r="AL61" s="20"/>
      <c r="AM61" s="20"/>
      <c r="AN61" s="20"/>
      <c r="AO61" s="20"/>
      <c r="AP61" s="20"/>
      <c r="AQ61" s="20"/>
      <c r="AR61" s="20"/>
      <c r="AS61" s="20"/>
      <c r="AT61" s="20"/>
      <c r="AU61" s="20"/>
      <c r="AV61" s="20"/>
      <c r="AW61" s="20"/>
      <c r="AX61" s="20"/>
      <c r="AY61" s="20"/>
      <c r="AZ61" s="20"/>
      <c r="BA61" s="20"/>
      <c r="BB61" s="20"/>
      <c r="BC61" s="20"/>
      <c r="BD61" s="20"/>
      <c r="BE61" s="20"/>
      <c r="BF61" s="20"/>
      <c r="BG61" s="20"/>
      <c r="BH61" s="20"/>
    </row>
    <row r="62" spans="1:60" x14ac:dyDescent="0.25">
      <c r="A62" s="14" t="s">
        <v>520</v>
      </c>
      <c r="B62" s="21" t="s">
        <v>263</v>
      </c>
      <c r="C62" s="21" t="str">
        <f>IF(T62="TRUE",VLOOKUP(A62,'Stock Nodes'!$A$1:$D$63,4,FALSE),IF(U62="TRUE",VLOOKUP(A62,'CTT Nodes'!$A$1:$D$83,4,FALSE),VLOOKUP(A62,'ETT Nodes'!$A$1:$D$87,3,FALSE)))</f>
        <v>Large Propeller Engines</v>
      </c>
      <c r="D62" s="21" t="str">
        <f>"Node"&amp;TEXT(X62,"0")&amp;"_"&amp;A62</f>
        <v>Node3_largePropellerEngines</v>
      </c>
      <c r="E62" s="22" t="str">
        <f>IF(OR(V62="TRUE",B62&lt;&gt;C62),"#LOC_ETT_"&amp;A62&amp;"_description",IF(T62="TRUE",VLOOKUP(A62,'Stock Nodes'!$A$1:$C$63,2,FALSE),IF(U62="TRUE",VLOOKUP(A62,'CTT Nodes'!$A$1:$D$83,2,FALSE))))</f>
        <v>#LOC_ETT_largePropellerEngines_description</v>
      </c>
      <c r="F62" s="58">
        <v>35</v>
      </c>
      <c r="G62" s="21">
        <f t="array" ref="G62">INDEX(TNodeCols,MATCH(1,MMULT(--(TTechTree=A62),TRANSPOSE(COLUMN(TTechTree)^0)),0))</f>
        <v>-2267.4000000000024</v>
      </c>
      <c r="H62" s="21">
        <f t="array" ref="H62">INDEX(NodeRows,MATCH(1,MMULT(--(TechTree=A62),TRANSPOSE(COLUMN(TechTree)^0)),0))</f>
        <v>1481</v>
      </c>
      <c r="I62" s="63" t="str">
        <f>TEXT(G62,"0") &amp; ", " &amp; TEXT(H62,"0") &amp;", -2"</f>
        <v>-2267, 1481, -2</v>
      </c>
      <c r="J62" s="63">
        <f>IF(T62="TRUE",VLOOKUP(A62,'Stock Nodes'!$A$1:$C$63,3,FALSE),IF(U62="TRUE",VLOOKUP(A62,'CTT Nodes'!$A$1:$G$83,7,FALSE),VLOOKUP(A62,'ETT Nodes'!$A$1:$E$87,5,FALSE)))</f>
        <v>0</v>
      </c>
      <c r="K62" s="21" t="s">
        <v>519</v>
      </c>
      <c r="L62" s="63" t="s">
        <v>2069</v>
      </c>
      <c r="M62" s="63" t="s">
        <v>2068</v>
      </c>
      <c r="N62" s="6"/>
      <c r="O62" s="63"/>
      <c r="P62" s="63"/>
      <c r="Q62" s="6"/>
      <c r="R62" s="63"/>
      <c r="S62" s="63"/>
      <c r="T62" s="25" t="str">
        <f>IF(ISNA(VLOOKUP(A62,'Stock Nodes'!$A$1:$C$63,1,FALSE)),"FALSE","TRUE")</f>
        <v>FALSE</v>
      </c>
      <c r="U62" s="25" t="str">
        <f>IF(ISNA(VLOOKUP(A62,'CTT Nodes'!$A$1:$D$83,1,FALSE)),"FALSE","TRUE")</f>
        <v>FALSE</v>
      </c>
      <c r="V62" s="25" t="str">
        <f>IF(OR(T62="TRUE",U62="TRUE"),"FALSE","TRUE")</f>
        <v>TRUE</v>
      </c>
      <c r="W62" s="68">
        <v>60</v>
      </c>
      <c r="X62" s="59">
        <v>3.33</v>
      </c>
      <c r="Y62" s="20"/>
      <c r="Z62" s="20"/>
      <c r="AA62" s="20"/>
      <c r="AB62" s="20"/>
      <c r="AC62" s="20"/>
      <c r="AD62" s="20"/>
      <c r="AE62" s="20"/>
      <c r="AF62" s="20"/>
      <c r="AG62" s="20"/>
      <c r="AH62" s="20"/>
      <c r="AI62" s="20"/>
      <c r="AJ62" s="20"/>
      <c r="AK62" s="20"/>
      <c r="AL62" s="20"/>
      <c r="AM62" s="20"/>
      <c r="AN62" s="20"/>
      <c r="AO62" s="20"/>
      <c r="AP62" s="20"/>
      <c r="AQ62" s="20"/>
      <c r="AR62" s="20"/>
      <c r="AS62" s="20"/>
      <c r="AT62" s="20"/>
      <c r="AU62" s="20"/>
      <c r="AV62" s="20"/>
      <c r="AW62" s="20"/>
      <c r="AX62" s="20"/>
      <c r="AY62" s="20"/>
      <c r="AZ62" s="20"/>
      <c r="BA62" s="20"/>
      <c r="BB62" s="20"/>
      <c r="BC62" s="20"/>
      <c r="BD62" s="20"/>
      <c r="BE62" s="20"/>
      <c r="BF62" s="20"/>
      <c r="BG62" s="20"/>
      <c r="BH62" s="20"/>
    </row>
    <row r="63" spans="1:60" x14ac:dyDescent="0.25">
      <c r="A63" s="63" t="s">
        <v>515</v>
      </c>
      <c r="B63" s="63" t="s">
        <v>264</v>
      </c>
      <c r="C63" s="21" t="str">
        <f>IF(T63="TRUE",VLOOKUP(A63,'Stock Nodes'!$A$1:$D$63,4,FALSE),IF(U63="TRUE",VLOOKUP(A63,'CTT Nodes'!$A$1:$D$83,4,FALSE),VLOOKUP(A63,'ETT Nodes'!$A$1:$D$87,3,FALSE)))</f>
        <v>Advanced Propeller Engines</v>
      </c>
      <c r="D63" s="21" t="str">
        <f>"Node"&amp;TEXT(X63,"0")&amp;"_"&amp;A63</f>
        <v>Node4_advPropellerEngines</v>
      </c>
      <c r="E63" s="22" t="str">
        <f>IF(OR(V63="TRUE",B63&lt;&gt;C63),"#LOC_ETT_"&amp;A63&amp;"_description",IF(T63="TRUE",VLOOKUP(A63,'Stock Nodes'!$A$1:$C$63,2,FALSE),IF(U63="TRUE",VLOOKUP(A63,'CTT Nodes'!$A$1:$D$83,2,FALSE))))</f>
        <v>#LOC_ETT_advPropellerEngines_description</v>
      </c>
      <c r="F63" s="58">
        <v>50</v>
      </c>
      <c r="G63" s="21">
        <f t="array" ref="G63">INDEX(TNodeCols,MATCH(1,MMULT(--(TTechTree=A63),TRANSPOSE(COLUMN(TTechTree)^0)),0))</f>
        <v>-2345.7000000000025</v>
      </c>
      <c r="H63" s="21">
        <f t="array" ref="H63">INDEX(NodeRows,MATCH(1,MMULT(--(TechTree=A63),TRANSPOSE(COLUMN(TechTree)^0)),0))</f>
        <v>1481</v>
      </c>
      <c r="I63" s="63" t="str">
        <f>TEXT(G63,"0") &amp; ", " &amp; TEXT(H63,"0") &amp;", -2"</f>
        <v>-2346, 1481, -2</v>
      </c>
      <c r="J63" s="63">
        <f>IF(T63="TRUE",VLOOKUP(A63,'Stock Nodes'!$A$1:$C$63,3,FALSE),IF(U63="TRUE",VLOOKUP(A63,'CTT Nodes'!$A$1:$G$83,7,FALSE),VLOOKUP(A63,'ETT Nodes'!$A$1:$E$87,5,FALSE)))</f>
        <v>0</v>
      </c>
      <c r="K63" s="63" t="s">
        <v>520</v>
      </c>
      <c r="L63" s="63" t="s">
        <v>2069</v>
      </c>
      <c r="M63" s="63" t="s">
        <v>2068</v>
      </c>
      <c r="N63" s="63"/>
      <c r="O63" s="63"/>
      <c r="P63" s="63"/>
      <c r="Q63" s="63"/>
      <c r="R63" s="63"/>
      <c r="S63" s="63"/>
      <c r="T63" s="25" t="str">
        <f>IF(ISNA(VLOOKUP(A63,'Stock Nodes'!$A$1:$C$63,1,FALSE)),"FALSE","TRUE")</f>
        <v>FALSE</v>
      </c>
      <c r="U63" s="25" t="str">
        <f>IF(ISNA(VLOOKUP(A63,'CTT Nodes'!$A$1:$D$83,1,FALSE)),"FALSE","TRUE")</f>
        <v>FALSE</v>
      </c>
      <c r="V63" s="25" t="str">
        <f>IF(OR(T63="TRUE",U63="TRUE"),"FALSE","TRUE")</f>
        <v>TRUE</v>
      </c>
      <c r="W63" s="68">
        <v>61</v>
      </c>
      <c r="X63" s="59">
        <v>3.67</v>
      </c>
      <c r="Y63" s="20"/>
      <c r="Z63" s="20"/>
      <c r="AA63" s="20"/>
      <c r="AB63" s="20"/>
      <c r="AC63" s="20"/>
      <c r="AD63" s="20"/>
      <c r="AE63" s="20"/>
      <c r="AF63" s="20"/>
      <c r="AG63" s="20"/>
      <c r="AH63" s="20"/>
      <c r="AI63" s="20"/>
      <c r="AJ63" s="20"/>
      <c r="AK63" s="20"/>
      <c r="AL63" s="20"/>
      <c r="AM63" s="20"/>
      <c r="AN63" s="20"/>
      <c r="AO63" s="20"/>
      <c r="AP63" s="20"/>
      <c r="AQ63" s="20"/>
      <c r="AR63" s="20"/>
      <c r="AS63" s="20"/>
      <c r="AT63" s="20"/>
      <c r="AU63" s="20"/>
      <c r="AV63" s="20"/>
      <c r="AW63" s="20"/>
      <c r="AX63" s="20"/>
      <c r="AY63" s="20"/>
      <c r="AZ63" s="20"/>
      <c r="BA63" s="20"/>
      <c r="BB63" s="20"/>
      <c r="BC63" s="20"/>
      <c r="BD63" s="20"/>
      <c r="BE63" s="20"/>
      <c r="BF63" s="20"/>
      <c r="BG63" s="20"/>
      <c r="BH63" s="20"/>
    </row>
    <row r="64" spans="1:60" x14ac:dyDescent="0.25">
      <c r="A64" s="63" t="s">
        <v>514</v>
      </c>
      <c r="B64" s="63" t="s">
        <v>268</v>
      </c>
      <c r="C64" s="21" t="str">
        <f>IF(T64="TRUE",VLOOKUP(A64,'Stock Nodes'!$A$1:$D$63,4,FALSE),IF(U64="TRUE",VLOOKUP(A64,'CTT Nodes'!$A$1:$D$83,4,FALSE),VLOOKUP(A64,'ETT Nodes'!$A$1:$D$87,3,FALSE)))</f>
        <v>Turboshaft Engines</v>
      </c>
      <c r="D64" s="21" t="str">
        <f>"Node"&amp;TEXT(X64,"0")&amp;"_"&amp;A64</f>
        <v>Node5_turboshaftEngines</v>
      </c>
      <c r="E64" s="22" t="str">
        <f>IF(OR(V64="TRUE",B64&lt;&gt;C64),"#LOC_ETT_"&amp;A64&amp;"_description",IF(T64="TRUE",VLOOKUP(A64,'Stock Nodes'!$A$1:$C$63,2,FALSE),IF(U64="TRUE",VLOOKUP(A64,'CTT Nodes'!$A$1:$D$83,2,FALSE))))</f>
        <v>#LOC_ETT_turboshaftEngines_description</v>
      </c>
      <c r="F64" s="58">
        <v>95</v>
      </c>
      <c r="G64" s="21">
        <f t="array" ref="G64">INDEX(TNodeCols,MATCH(1,MMULT(--(TTechTree=A64),TRANSPOSE(COLUMN(TTechTree)^0)),0))</f>
        <v>-2345.7000000000025</v>
      </c>
      <c r="H64" s="21">
        <f t="array" ref="H64">INDEX(NodeRows,MATCH(1,MMULT(--(TechTree=A64),TRANSPOSE(COLUMN(TechTree)^0)),0))</f>
        <v>1633</v>
      </c>
      <c r="I64" s="63" t="str">
        <f>TEXT(G64,"0") &amp; ", " &amp; TEXT(H64,"0") &amp;", -2"</f>
        <v>-2346, 1633, -2</v>
      </c>
      <c r="J64" s="63">
        <f>IF(T64="TRUE",VLOOKUP(A64,'Stock Nodes'!$A$1:$C$63,3,FALSE),IF(U64="TRUE",VLOOKUP(A64,'CTT Nodes'!$A$1:$G$83,7,FALSE),VLOOKUP(A64,'ETT Nodes'!$A$1:$E$87,5,FALSE)))</f>
        <v>0</v>
      </c>
      <c r="K64" s="63" t="s">
        <v>516</v>
      </c>
      <c r="L64" s="63" t="s">
        <v>2068</v>
      </c>
      <c r="M64" s="63" t="s">
        <v>2069</v>
      </c>
      <c r="N64" s="63" t="s">
        <v>515</v>
      </c>
      <c r="O64" s="63" t="s">
        <v>2067</v>
      </c>
      <c r="P64" s="63" t="s">
        <v>2070</v>
      </c>
      <c r="Q64" s="63"/>
      <c r="R64" s="63"/>
      <c r="S64" s="63"/>
      <c r="T64" s="25" t="str">
        <f>IF(ISNA(VLOOKUP(A64,'Stock Nodes'!$A$1:$C$63,1,FALSE)),"FALSE","TRUE")</f>
        <v>FALSE</v>
      </c>
      <c r="U64" s="25" t="str">
        <f>IF(ISNA(VLOOKUP(A64,'CTT Nodes'!$A$1:$D$83,1,FALSE)),"FALSE","TRUE")</f>
        <v>FALSE</v>
      </c>
      <c r="V64" s="25" t="str">
        <f>IF(OR(T64="TRUE",U64="TRUE"),"FALSE","TRUE")</f>
        <v>TRUE</v>
      </c>
      <c r="W64" s="63">
        <v>62</v>
      </c>
      <c r="X64" s="59">
        <v>4.67</v>
      </c>
      <c r="Y64" s="20"/>
      <c r="Z64" s="20"/>
      <c r="AA64" s="20"/>
      <c r="AB64" s="20"/>
      <c r="AC64" s="20"/>
      <c r="AD64" s="20"/>
      <c r="AE64" s="20"/>
      <c r="AF64" s="20"/>
      <c r="AG64" s="20"/>
      <c r="AH64" s="20"/>
      <c r="AI64" s="20"/>
      <c r="AJ64" s="20"/>
      <c r="AK64" s="20"/>
      <c r="AL64" s="20"/>
      <c r="AM64" s="20"/>
      <c r="AN64" s="20"/>
      <c r="AO64" s="20"/>
      <c r="AP64" s="20"/>
      <c r="AQ64" s="20"/>
      <c r="AR64" s="20"/>
      <c r="AS64" s="20"/>
      <c r="AT64" s="20"/>
      <c r="AU64" s="20"/>
      <c r="AV64" s="20"/>
      <c r="AW64" s="20"/>
      <c r="AX64" s="20"/>
      <c r="AY64" s="20"/>
      <c r="AZ64" s="20"/>
      <c r="BA64" s="20"/>
      <c r="BB64" s="20"/>
      <c r="BC64" s="20"/>
      <c r="BD64" s="20"/>
      <c r="BE64" s="20"/>
      <c r="BF64" s="20"/>
      <c r="BG64" s="20"/>
      <c r="BH64" s="20"/>
    </row>
    <row r="65" spans="1:60" x14ac:dyDescent="0.25">
      <c r="A65" s="63" t="s">
        <v>513</v>
      </c>
      <c r="B65" s="63" t="s">
        <v>327</v>
      </c>
      <c r="C65" s="21" t="str">
        <f>IF(T65="TRUE",VLOOKUP(A65,'Stock Nodes'!$A$1:$D$63,4,FALSE),IF(U65="TRUE",VLOOKUP(A65,'CTT Nodes'!$A$1:$D$83,4,FALSE),VLOOKUP(A65,'ETT Nodes'!$A$1:$D$87,3,FALSE)))</f>
        <v>Turboprop Engines</v>
      </c>
      <c r="D65" s="21" t="str">
        <f>"Node"&amp;TEXT(X65,"0")&amp;"_"&amp;A65</f>
        <v>Node6_turbopropEngines</v>
      </c>
      <c r="E65" s="22" t="str">
        <f>IF(OR(V65="TRUE",B65&lt;&gt;C65),"#LOC_ETT_"&amp;A65&amp;"_description",IF(T65="TRUE",VLOOKUP(A65,'Stock Nodes'!$A$1:$C$63,2,FALSE),IF(U65="TRUE",VLOOKUP(A65,'CTT Nodes'!$A$1:$D$83,2,FALSE))))</f>
        <v>#LOC_ETT_turbopropEngines_description</v>
      </c>
      <c r="F65" s="58">
        <v>250</v>
      </c>
      <c r="G65" s="21">
        <f t="array" ref="G65">INDEX(TNodeCols,MATCH(1,MMULT(--(TTechTree=A65),TRANSPOSE(COLUMN(TTechTree)^0)),0))</f>
        <v>-2345.7000000000025</v>
      </c>
      <c r="H65" s="21">
        <f t="array" ref="H65">INDEX(NodeRows,MATCH(1,MMULT(--(TechTree=A65),TRANSPOSE(COLUMN(TechTree)^0)),0))</f>
        <v>1709</v>
      </c>
      <c r="I65" s="63" t="str">
        <f>TEXT(G65,"0") &amp; ", " &amp; TEXT(H65,"0") &amp;", -2"</f>
        <v>-2346, 1709, -2</v>
      </c>
      <c r="J65" s="63">
        <f>IF(T65="TRUE",VLOOKUP(A65,'Stock Nodes'!$A$1:$C$63,3,FALSE),IF(U65="TRUE",VLOOKUP(A65,'CTT Nodes'!$A$1:$G$83,7,FALSE),VLOOKUP(A65,'ETT Nodes'!$A$1:$E$87,5,FALSE)))</f>
        <v>0</v>
      </c>
      <c r="K65" s="63" t="s">
        <v>514</v>
      </c>
      <c r="L65" s="63" t="s">
        <v>2067</v>
      </c>
      <c r="M65" s="63" t="s">
        <v>2070</v>
      </c>
      <c r="N65" s="63"/>
      <c r="O65" s="63"/>
      <c r="P65" s="63"/>
      <c r="Q65" s="63"/>
      <c r="R65" s="63"/>
      <c r="S65" s="63"/>
      <c r="T65" s="25" t="str">
        <f>IF(ISNA(VLOOKUP(A65,'Stock Nodes'!$A$1:$C$63,1,FALSE)),"FALSE","TRUE")</f>
        <v>FALSE</v>
      </c>
      <c r="U65" s="25" t="str">
        <f>IF(ISNA(VLOOKUP(A65,'CTT Nodes'!$A$1:$D$83,1,FALSE)),"FALSE","TRUE")</f>
        <v>FALSE</v>
      </c>
      <c r="V65" s="25" t="str">
        <f>IF(OR(T65="TRUE",U65="TRUE"),"FALSE","TRUE")</f>
        <v>TRUE</v>
      </c>
      <c r="W65" s="68">
        <v>63</v>
      </c>
      <c r="X65" s="59">
        <v>6</v>
      </c>
      <c r="Y65" s="20"/>
      <c r="Z65" s="20"/>
      <c r="AA65" s="20"/>
      <c r="AB65" s="20"/>
      <c r="AC65" s="20"/>
      <c r="AD65" s="20"/>
      <c r="AE65" s="20"/>
      <c r="AF65" s="20"/>
      <c r="AG65" s="20"/>
      <c r="AH65" s="20"/>
      <c r="AI65" s="20"/>
      <c r="AJ65" s="20"/>
      <c r="AK65" s="20"/>
      <c r="AL65" s="20"/>
      <c r="AM65" s="20"/>
      <c r="AN65" s="20"/>
      <c r="AO65" s="20"/>
      <c r="AP65" s="20"/>
      <c r="AQ65" s="20"/>
      <c r="AR65" s="20"/>
      <c r="AS65" s="20"/>
      <c r="AT65" s="20"/>
      <c r="AU65" s="20"/>
      <c r="AV65" s="20"/>
      <c r="AW65" s="20"/>
      <c r="AX65" s="20"/>
      <c r="AY65" s="20"/>
      <c r="AZ65" s="20"/>
      <c r="BA65" s="20"/>
      <c r="BB65" s="20"/>
      <c r="BC65" s="20"/>
      <c r="BD65" s="20"/>
      <c r="BE65" s="20"/>
      <c r="BF65" s="20"/>
      <c r="BG65" s="20"/>
      <c r="BH65" s="20"/>
    </row>
    <row r="66" spans="1:60" x14ac:dyDescent="0.25">
      <c r="A66" s="63" t="s">
        <v>516</v>
      </c>
      <c r="B66" s="21" t="s">
        <v>265</v>
      </c>
      <c r="C66" s="21" t="str">
        <f>IF(T66="TRUE",VLOOKUP(A66,'Stock Nodes'!$A$1:$D$63,4,FALSE),IF(U66="TRUE",VLOOKUP(A66,'CTT Nodes'!$A$1:$D$83,4,FALSE),VLOOKUP(A66,'ETT Nodes'!$A$1:$D$87,3,FALSE)))</f>
        <v>Turbojet Engines</v>
      </c>
      <c r="D66" s="21" t="str">
        <f>"Node"&amp;TEXT(X66,"0")&amp;"_"&amp;A66</f>
        <v>Node4_turbojetEngines</v>
      </c>
      <c r="E66" s="22" t="str">
        <f>IF(OR(V66="TRUE",B66&lt;&gt;C66),"#LOC_ETT_"&amp;A66&amp;"_description",IF(T66="TRUE",VLOOKUP(A66,'Stock Nodes'!$A$1:$C$63,2,FALSE),IF(U66="TRUE",VLOOKUP(A66,'CTT Nodes'!$A$1:$D$83,2,FALSE))))</f>
        <v>#LOC_ETT_turbojetEngines_description</v>
      </c>
      <c r="F66" s="58">
        <v>75</v>
      </c>
      <c r="G66" s="21">
        <f t="array" ref="G66">INDEX(TNodeCols,MATCH(1,MMULT(--(TTechTree=A66),TRANSPOSE(COLUMN(TTechTree)^0)),0))</f>
        <v>-2424.0000000000027</v>
      </c>
      <c r="H66" s="21">
        <f t="array" ref="H66">INDEX(NodeRows,MATCH(1,MMULT(--(TechTree=A66),TRANSPOSE(COLUMN(TechTree)^0)),0))</f>
        <v>1557</v>
      </c>
      <c r="I66" s="63" t="str">
        <f>TEXT(G66,"0") &amp; ", " &amp; TEXT(H66,"0") &amp;", -2"</f>
        <v>-2424, 1557, -2</v>
      </c>
      <c r="J66" s="63">
        <f>IF(T66="TRUE",VLOOKUP(A66,'Stock Nodes'!$A$1:$C$63,3,FALSE),IF(U66="TRUE",VLOOKUP(A66,'CTT Nodes'!$A$1:$G$83,7,FALSE),VLOOKUP(A66,'ETT Nodes'!$A$1:$E$87,5,FALSE)))</f>
        <v>0</v>
      </c>
      <c r="K66" s="63" t="s">
        <v>515</v>
      </c>
      <c r="L66" s="63" t="s">
        <v>2069</v>
      </c>
      <c r="M66" s="63" t="s">
        <v>2070</v>
      </c>
      <c r="N66" s="6"/>
      <c r="O66" s="63"/>
      <c r="P66" s="63"/>
      <c r="Q66" s="6"/>
      <c r="R66" s="63"/>
      <c r="S66" s="63"/>
      <c r="T66" s="25" t="str">
        <f>IF(ISNA(VLOOKUP(A66,'Stock Nodes'!$A$1:$C$63,1,FALSE)),"FALSE","TRUE")</f>
        <v>FALSE</v>
      </c>
      <c r="U66" s="25" t="str">
        <f>IF(ISNA(VLOOKUP(A66,'CTT Nodes'!$A$1:$D$83,1,FALSE)),"FALSE","TRUE")</f>
        <v>FALSE</v>
      </c>
      <c r="V66" s="25" t="str">
        <f>IF(OR(T66="TRUE",U66="TRUE"),"FALSE","TRUE")</f>
        <v>TRUE</v>
      </c>
      <c r="W66" s="68">
        <v>64</v>
      </c>
      <c r="X66" s="59">
        <v>3.67</v>
      </c>
      <c r="Y66" s="20"/>
      <c r="Z66" s="20"/>
      <c r="AA66" s="20"/>
      <c r="AB66" s="20"/>
      <c r="AC66" s="20"/>
      <c r="AD66" s="20"/>
      <c r="AE66" s="20"/>
      <c r="AF66" s="20"/>
      <c r="AG66" s="20"/>
      <c r="AH66" s="20"/>
      <c r="AI66" s="20"/>
      <c r="AJ66" s="20"/>
      <c r="AK66" s="20"/>
      <c r="AL66" s="20"/>
      <c r="AM66" s="20"/>
      <c r="AN66" s="20"/>
      <c r="AO66" s="20"/>
      <c r="AP66" s="20"/>
      <c r="AQ66" s="20"/>
      <c r="AR66" s="20"/>
      <c r="AS66" s="20"/>
      <c r="AT66" s="20"/>
      <c r="AU66" s="20"/>
      <c r="AV66" s="20"/>
      <c r="AW66" s="20"/>
      <c r="AX66" s="20"/>
      <c r="AY66" s="20"/>
      <c r="AZ66" s="20"/>
      <c r="BA66" s="20"/>
      <c r="BB66" s="20"/>
      <c r="BC66" s="20"/>
      <c r="BD66" s="20"/>
      <c r="BE66" s="20"/>
      <c r="BF66" s="20"/>
      <c r="BG66" s="20"/>
      <c r="BH66" s="20"/>
    </row>
    <row r="67" spans="1:60" x14ac:dyDescent="0.25">
      <c r="A67" s="21" t="s">
        <v>517</v>
      </c>
      <c r="B67" s="21" t="s">
        <v>266</v>
      </c>
      <c r="C67" s="21" t="str">
        <f>IF(T67="TRUE",VLOOKUP(A67,'Stock Nodes'!$A$1:$D$63,4,FALSE),IF(U67="TRUE",VLOOKUP(A67,'CTT Nodes'!$A$1:$D$83,4,FALSE),VLOOKUP(A67,'ETT Nodes'!$A$1:$D$87,3,FALSE)))</f>
        <v>Low Bypass Turbofan Engines</v>
      </c>
      <c r="D67" s="21" t="str">
        <f>"Node"&amp;TEXT(X67,"0")&amp;"_"&amp;A67</f>
        <v>Node5_turbofanEngines</v>
      </c>
      <c r="E67" s="22" t="str">
        <f>IF(OR(V67="TRUE",B67&lt;&gt;C67),"#LOC_ETT_"&amp;A67&amp;"_description",IF(T67="TRUE",VLOOKUP(A67,'Stock Nodes'!$A$1:$C$63,2,FALSE),IF(U67="TRUE",VLOOKUP(A67,'CTT Nodes'!$A$1:$D$83,2,FALSE))))</f>
        <v>#LOC_ETT_turbofanEngines_description</v>
      </c>
      <c r="F67" s="58">
        <v>95</v>
      </c>
      <c r="G67" s="21">
        <f t="array" ref="G67">INDEX(TNodeCols,MATCH(1,MMULT(--(TTechTree=A67),TRANSPOSE(COLUMN(TTechTree)^0)),0))</f>
        <v>-2424.0000000000027</v>
      </c>
      <c r="H67" s="21">
        <f t="array" ref="H67">INDEX(NodeRows,MATCH(1,MMULT(--(TechTree=A67),TRANSPOSE(COLUMN(TechTree)^0)),0))</f>
        <v>1633</v>
      </c>
      <c r="I67" s="63" t="str">
        <f>TEXT(G67,"0") &amp; ", " &amp; TEXT(H67,"0") &amp;", -2"</f>
        <v>-2424, 1633, -2</v>
      </c>
      <c r="J67" s="63">
        <f>IF(T67="TRUE",VLOOKUP(A67,'Stock Nodes'!$A$1:$C$63,3,FALSE),IF(U67="TRUE",VLOOKUP(A67,'CTT Nodes'!$A$1:$G$83,7,FALSE),VLOOKUP(A67,'ETT Nodes'!$A$1:$E$87,5,FALSE)))</f>
        <v>0</v>
      </c>
      <c r="K67" s="63" t="s">
        <v>516</v>
      </c>
      <c r="L67" s="63" t="s">
        <v>2067</v>
      </c>
      <c r="M67" s="63" t="s">
        <v>2070</v>
      </c>
      <c r="N67" s="21"/>
      <c r="O67" s="63"/>
      <c r="P67" s="63"/>
      <c r="Q67" s="21"/>
      <c r="R67" s="63"/>
      <c r="S67" s="63"/>
      <c r="T67" s="25" t="str">
        <f>IF(ISNA(VLOOKUP(A67,'Stock Nodes'!$A$1:$C$63,1,FALSE)),"FALSE","TRUE")</f>
        <v>FALSE</v>
      </c>
      <c r="U67" s="25" t="str">
        <f>IF(ISNA(VLOOKUP(A67,'CTT Nodes'!$A$1:$D$83,1,FALSE)),"FALSE","TRUE")</f>
        <v>FALSE</v>
      </c>
      <c r="V67" s="25" t="str">
        <f>IF(OR(T67="TRUE",U67="TRUE"),"FALSE","TRUE")</f>
        <v>TRUE</v>
      </c>
      <c r="W67" s="63">
        <v>65</v>
      </c>
      <c r="X67" s="59">
        <v>4.67</v>
      </c>
      <c r="Y67" s="20"/>
      <c r="Z67" s="20"/>
      <c r="AA67" s="20"/>
      <c r="AB67" s="20"/>
      <c r="AC67" s="20"/>
      <c r="AD67" s="20"/>
      <c r="AE67" s="20"/>
      <c r="AF67" s="20"/>
      <c r="AG67" s="20"/>
      <c r="AH67" s="20"/>
      <c r="AI67" s="20"/>
      <c r="AJ67" s="20"/>
      <c r="AK67" s="20"/>
      <c r="AL67" s="20"/>
      <c r="AM67" s="20"/>
      <c r="AN67" s="20"/>
      <c r="AO67" s="20"/>
      <c r="AP67" s="20"/>
      <c r="AQ67" s="20"/>
      <c r="AR67" s="20"/>
      <c r="AS67" s="20"/>
      <c r="AT67" s="20"/>
      <c r="AU67" s="20"/>
      <c r="AV67" s="20"/>
      <c r="AW67" s="20"/>
      <c r="AX67" s="20"/>
      <c r="AY67" s="20"/>
      <c r="AZ67" s="20"/>
      <c r="BA67" s="20"/>
      <c r="BB67" s="20"/>
      <c r="BC67" s="20"/>
      <c r="BD67" s="20"/>
      <c r="BE67" s="20"/>
      <c r="BF67" s="20"/>
      <c r="BG67" s="20"/>
      <c r="BH67" s="20"/>
    </row>
    <row r="68" spans="1:60" x14ac:dyDescent="0.25">
      <c r="A68" s="63" t="s">
        <v>213</v>
      </c>
      <c r="B68" s="21" t="s">
        <v>269</v>
      </c>
      <c r="C68" s="21" t="str">
        <f>IF(T68="TRUE",VLOOKUP(A68,'Stock Nodes'!$A$1:$D$63,4,FALSE),IF(U68="TRUE",VLOOKUP(A68,'CTT Nodes'!$A$1:$D$83,4,FALSE),VLOOKUP(A68,'ETT Nodes'!$A$1:$D$87,3,FALSE)))</f>
        <v>Efficient Flight Systems</v>
      </c>
      <c r="D68" s="21" t="str">
        <f>"Node"&amp;TEXT(X68,"0")&amp;"_"&amp;A68</f>
        <v>Node6_efficientFlightSystems</v>
      </c>
      <c r="E68" s="22" t="str">
        <f>IF(OR(V68="TRUE",B68&lt;&gt;C68),"#LOC_ETT_"&amp;A68&amp;"_description",IF(T68="TRUE",VLOOKUP(A68,'Stock Nodes'!$A$1:$C$63,2,FALSE),IF(U68="TRUE",VLOOKUP(A68,'CTT Nodes'!$A$1:$D$83,2,FALSE))))</f>
        <v>#LOC_ETT_efficientFlightSystems_description</v>
      </c>
      <c r="F68" s="58">
        <v>250</v>
      </c>
      <c r="G68" s="21">
        <f t="array" ref="G68">INDEX(TNodeCols,MATCH(1,MMULT(--(TTechTree=A68),TRANSPOSE(COLUMN(TTechTree)^0)),0))</f>
        <v>-2424.0000000000027</v>
      </c>
      <c r="H68" s="21">
        <f t="array" ref="H68">INDEX(NodeRows,MATCH(1,MMULT(--(TechTree=A68),TRANSPOSE(COLUMN(TechTree)^0)),0))</f>
        <v>1709</v>
      </c>
      <c r="I68" s="63" t="str">
        <f>TEXT(G68,"0") &amp; ", " &amp; TEXT(H68,"0") &amp;", -2"</f>
        <v>-2424, 1709, -2</v>
      </c>
      <c r="J68" s="63" t="str">
        <f>IF(T68="TRUE",VLOOKUP(A68,'Stock Nodes'!$A$1:$C$63,3,FALSE),IF(U68="TRUE",VLOOKUP(A68,'CTT Nodes'!$A$1:$G$83,7,FALSE),VLOOKUP(A68,'ETT Nodes'!$A$1:$E$87,5,FALSE)))</f>
        <v>ETTR/UI/CTT/ctt_icon_efficientFlight</v>
      </c>
      <c r="K68" s="6" t="s">
        <v>517</v>
      </c>
      <c r="L68" s="63" t="s">
        <v>2067</v>
      </c>
      <c r="M68" s="63" t="s">
        <v>2070</v>
      </c>
      <c r="N68" s="6"/>
      <c r="O68" s="63"/>
      <c r="P68" s="63"/>
      <c r="Q68" s="6"/>
      <c r="R68" s="63"/>
      <c r="S68" s="63"/>
      <c r="T68" s="25" t="str">
        <f>IF(ISNA(VLOOKUP(A68,'Stock Nodes'!$A$1:$C$63,1,FALSE)),"FALSE","TRUE")</f>
        <v>FALSE</v>
      </c>
      <c r="U68" s="25" t="str">
        <f>IF(ISNA(VLOOKUP(A68,'CTT Nodes'!$A$1:$D$83,1,FALSE)),"FALSE","TRUE")</f>
        <v>TRUE</v>
      </c>
      <c r="V68" s="25" t="str">
        <f>IF(OR(T68="TRUE",U68="TRUE"),"FALSE","TRUE")</f>
        <v>FALSE</v>
      </c>
      <c r="W68" s="68">
        <v>66</v>
      </c>
      <c r="X68" s="59">
        <v>6</v>
      </c>
      <c r="Y68" s="20"/>
      <c r="Z68" s="20"/>
      <c r="AA68" s="20"/>
      <c r="AB68" s="20"/>
      <c r="AC68" s="20"/>
      <c r="AD68" s="20"/>
      <c r="AE68" s="20"/>
      <c r="AF68" s="20"/>
      <c r="AG68" s="20"/>
      <c r="AH68" s="20"/>
      <c r="AI68" s="20"/>
      <c r="AJ68" s="20"/>
      <c r="AK68" s="20"/>
      <c r="AL68" s="20"/>
      <c r="AM68" s="20"/>
      <c r="AN68" s="20"/>
      <c r="AO68" s="20"/>
      <c r="AP68" s="20"/>
      <c r="AQ68" s="20"/>
      <c r="AR68" s="20"/>
      <c r="AS68" s="20"/>
      <c r="AT68" s="20"/>
      <c r="AU68" s="20"/>
      <c r="AV68" s="20"/>
      <c r="AW68" s="20"/>
      <c r="AX68" s="20"/>
      <c r="AY68" s="20"/>
      <c r="AZ68" s="20"/>
      <c r="BA68" s="20"/>
      <c r="BB68" s="20"/>
      <c r="BC68" s="20"/>
      <c r="BD68" s="20"/>
      <c r="BE68" s="20"/>
      <c r="BF68" s="20"/>
      <c r="BG68" s="20"/>
      <c r="BH68" s="20"/>
    </row>
    <row r="69" spans="1:60" x14ac:dyDescent="0.25">
      <c r="A69" s="63" t="s">
        <v>518</v>
      </c>
      <c r="B69" s="63" t="s">
        <v>267</v>
      </c>
      <c r="C69" s="21" t="str">
        <f>IF(T69="TRUE",VLOOKUP(A69,'Stock Nodes'!$A$1:$D$63,4,FALSE),IF(U69="TRUE",VLOOKUP(A69,'CTT Nodes'!$A$1:$D$83,4,FALSE),VLOOKUP(A69,'ETT Nodes'!$A$1:$D$87,3,FALSE)))</f>
        <v>High Bypass Turbofan Engines</v>
      </c>
      <c r="D69" s="21" t="str">
        <f>"Node"&amp;TEXT(X69,"0")&amp;"_"&amp;A69</f>
        <v>Node8_advTurbofanEngines</v>
      </c>
      <c r="E69" s="22" t="str">
        <f>IF(OR(V69="TRUE",B69&lt;&gt;C69),"#LOC_ETT_"&amp;A69&amp;"_description",IF(T69="TRUE",VLOOKUP(A69,'Stock Nodes'!$A$1:$C$63,2,FALSE),IF(U69="TRUE",VLOOKUP(A69,'CTT Nodes'!$A$1:$D$83,2,FALSE))))</f>
        <v>#LOC_ETT_advTurbofanEngines_description</v>
      </c>
      <c r="F69" s="58">
        <v>495</v>
      </c>
      <c r="G69" s="21">
        <f t="array" ref="G69">INDEX(TNodeCols,MATCH(1,MMULT(--(TTechTree=A69),TRANSPOSE(COLUMN(TTechTree)^0)),0))</f>
        <v>-2424.0000000000027</v>
      </c>
      <c r="H69" s="21">
        <f t="array" ref="H69">INDEX(NodeRows,MATCH(1,MMULT(--(TechTree=A69),TRANSPOSE(COLUMN(TechTree)^0)),0))</f>
        <v>1785</v>
      </c>
      <c r="I69" s="63" t="str">
        <f>TEXT(G69,"0") &amp; ", " &amp; TEXT(H69,"0") &amp;", -2"</f>
        <v>-2424, 1785, -2</v>
      </c>
      <c r="J69" s="63">
        <f>IF(T69="TRUE",VLOOKUP(A69,'Stock Nodes'!$A$1:$C$63,3,FALSE),IF(U69="TRUE",VLOOKUP(A69,'CTT Nodes'!$A$1:$G$83,7,FALSE),VLOOKUP(A69,'ETT Nodes'!$A$1:$E$87,5,FALSE)))</f>
        <v>0</v>
      </c>
      <c r="K69" s="63" t="s">
        <v>213</v>
      </c>
      <c r="L69" s="63" t="s">
        <v>2067</v>
      </c>
      <c r="M69" s="63" t="s">
        <v>2070</v>
      </c>
      <c r="N69" s="63"/>
      <c r="O69" s="63"/>
      <c r="P69" s="63"/>
      <c r="Q69" s="63"/>
      <c r="R69" s="63"/>
      <c r="S69" s="63"/>
      <c r="T69" s="25" t="str">
        <f>IF(ISNA(VLOOKUP(A69,'Stock Nodes'!$A$1:$C$63,1,FALSE)),"FALSE","TRUE")</f>
        <v>FALSE</v>
      </c>
      <c r="U69" s="25" t="str">
        <f>IF(ISNA(VLOOKUP(A69,'CTT Nodes'!$A$1:$D$83,1,FALSE)),"FALSE","TRUE")</f>
        <v>FALSE</v>
      </c>
      <c r="V69" s="25" t="str">
        <f>IF(OR(T69="TRUE",U69="TRUE"),"FALSE","TRUE")</f>
        <v>TRUE</v>
      </c>
      <c r="W69" s="68">
        <v>67</v>
      </c>
      <c r="X69" s="59">
        <v>8</v>
      </c>
      <c r="Y69" s="20"/>
      <c r="Z69" s="20"/>
      <c r="AA69" s="20"/>
      <c r="AB69" s="20"/>
      <c r="AC69" s="20"/>
      <c r="AD69" s="20"/>
      <c r="AE69" s="20"/>
      <c r="AF69" s="20"/>
      <c r="AG69" s="20"/>
      <c r="AH69" s="20"/>
      <c r="AI69" s="20"/>
      <c r="AJ69" s="20"/>
      <c r="AK69" s="20"/>
      <c r="AL69" s="20"/>
      <c r="AM69" s="20"/>
      <c r="AN69" s="20"/>
      <c r="AO69" s="20"/>
      <c r="AP69" s="20"/>
      <c r="AQ69" s="20"/>
      <c r="AR69" s="20"/>
      <c r="AS69" s="20"/>
      <c r="AT69" s="20"/>
      <c r="AU69" s="20"/>
      <c r="AV69" s="20"/>
      <c r="AW69" s="20"/>
      <c r="AX69" s="20"/>
      <c r="AY69" s="20"/>
      <c r="AZ69" s="20"/>
      <c r="BA69" s="20"/>
      <c r="BB69" s="20"/>
      <c r="BC69" s="20"/>
      <c r="BD69" s="20"/>
      <c r="BE69" s="20"/>
      <c r="BF69" s="20"/>
      <c r="BG69" s="20"/>
      <c r="BH69" s="20"/>
    </row>
    <row r="70" spans="1:60" x14ac:dyDescent="0.25">
      <c r="A70" s="63" t="s">
        <v>123</v>
      </c>
      <c r="B70" s="63" t="s">
        <v>270</v>
      </c>
      <c r="C70" s="21" t="str">
        <f>IF(T70="TRUE",VLOOKUP(A70,'Stock Nodes'!$A$1:$D$63,4,FALSE),IF(U70="TRUE",VLOOKUP(A70,'CTT Nodes'!$A$1:$D$83,4,FALSE),VLOOKUP(A70,'ETT Nodes'!$A$1:$D$87,3,FALSE)))</f>
        <v>Experimental Aircraft Engines</v>
      </c>
      <c r="D70" s="21" t="str">
        <f>"Node"&amp;TEXT(X70,"0")&amp;"_"&amp;A70</f>
        <v>Node10_expAircraftEngines</v>
      </c>
      <c r="E70" s="22" t="str">
        <f>IF(OR(V70="TRUE",B70&lt;&gt;C70),"#LOC_ETT_"&amp;A70&amp;"_description",IF(T70="TRUE",VLOOKUP(A70,'Stock Nodes'!$A$1:$C$63,2,FALSE),IF(U70="TRUE",VLOOKUP(A70,'CTT Nodes'!$A$1:$D$83,2,FALSE))))</f>
        <v>#LOC_ETT_expAircraftEngines_description</v>
      </c>
      <c r="F70" s="58">
        <v>1000</v>
      </c>
      <c r="G70" s="21">
        <f t="array" ref="G70">INDEX(TNodeCols,MATCH(1,MMULT(--(TTechTree=A70),TRANSPOSE(COLUMN(TTechTree)^0)),0))</f>
        <v>-2424.0000000000027</v>
      </c>
      <c r="H70" s="21">
        <f t="array" ref="H70">INDEX(NodeRows,MATCH(1,MMULT(--(TechTree=A70),TRANSPOSE(COLUMN(TechTree)^0)),0))</f>
        <v>1861</v>
      </c>
      <c r="I70" s="63" t="str">
        <f>TEXT(G70,"0") &amp; ", " &amp; TEXT(H70,"0") &amp;", -2"</f>
        <v>-2424, 1861, -2</v>
      </c>
      <c r="J70" s="63" t="str">
        <f>IF(T70="TRUE",VLOOKUP(A70,'Stock Nodes'!$A$1:$C$63,3,FALSE),IF(U70="TRUE",VLOOKUP(A70,'CTT Nodes'!$A$1:$G$83,7,FALSE),VLOOKUP(A70,'ETT Nodes'!$A$1:$E$87,5,FALSE)))</f>
        <v>ETTR/UI/CTT/ctt_icon_experimentalAircraftEngines</v>
      </c>
      <c r="K70" s="63" t="s">
        <v>518</v>
      </c>
      <c r="L70" s="63" t="s">
        <v>2067</v>
      </c>
      <c r="M70" s="63" t="s">
        <v>2070</v>
      </c>
      <c r="N70" s="63"/>
      <c r="O70" s="63"/>
      <c r="P70" s="63"/>
      <c r="Q70" s="63"/>
      <c r="R70" s="63"/>
      <c r="S70" s="63"/>
      <c r="T70" s="25" t="str">
        <f>IF(ISNA(VLOOKUP(A70,'Stock Nodes'!$A$1:$C$63,1,FALSE)),"FALSE","TRUE")</f>
        <v>FALSE</v>
      </c>
      <c r="U70" s="25" t="str">
        <f>IF(ISNA(VLOOKUP(A70,'CTT Nodes'!$A$1:$D$83,1,FALSE)),"FALSE","TRUE")</f>
        <v>TRUE</v>
      </c>
      <c r="V70" s="25" t="str">
        <f>IF(OR(T70="TRUE",U70="TRUE"),"FALSE","TRUE")</f>
        <v>FALSE</v>
      </c>
      <c r="W70" s="63">
        <v>68</v>
      </c>
      <c r="X70" s="59">
        <v>10</v>
      </c>
      <c r="Y70" s="20"/>
      <c r="Z70" s="20"/>
      <c r="AA70" s="20"/>
      <c r="AB70" s="20"/>
      <c r="AC70" s="20"/>
      <c r="AD70" s="20"/>
      <c r="AE70" s="20"/>
      <c r="AF70" s="20"/>
      <c r="AG70" s="20"/>
      <c r="AH70" s="20"/>
      <c r="AI70" s="20"/>
      <c r="AJ70" s="20"/>
      <c r="AK70" s="20"/>
      <c r="AL70" s="20"/>
      <c r="AM70" s="20"/>
      <c r="AN70" s="20"/>
      <c r="AO70" s="20"/>
      <c r="AP70" s="20"/>
      <c r="AQ70" s="20"/>
      <c r="AR70" s="20"/>
      <c r="AS70" s="20"/>
      <c r="AT70" s="20"/>
      <c r="AU70" s="20"/>
      <c r="AV70" s="20"/>
      <c r="AW70" s="20"/>
      <c r="AX70" s="20"/>
      <c r="AY70" s="20"/>
      <c r="AZ70" s="20"/>
      <c r="BA70" s="20"/>
      <c r="BB70" s="20"/>
      <c r="BC70" s="20"/>
      <c r="BD70" s="20"/>
      <c r="BE70" s="20"/>
      <c r="BF70" s="20"/>
      <c r="BG70" s="20"/>
      <c r="BH70" s="20"/>
    </row>
    <row r="71" spans="1:60" s="20" customFormat="1" x14ac:dyDescent="0.25">
      <c r="A71" s="63" t="s">
        <v>526</v>
      </c>
      <c r="B71" s="63" t="s">
        <v>2292</v>
      </c>
      <c r="C71" s="21" t="str">
        <f>IF(T71="TRUE",VLOOKUP(A71,'Stock Nodes'!$A$1:$D$63,4,FALSE),IF(U71="TRUE",VLOOKUP(A71,'CTT Nodes'!$A$1:$D$83,4,FALSE),VLOOKUP(A71,'ETT Nodes'!$A$1:$D$87,3,FALSE)))</f>
        <v>Elementary Thermodynamics</v>
      </c>
      <c r="D71" s="21" t="str">
        <f>"Node"&amp;TEXT(X71,"0")&amp;"_"&amp;A71</f>
        <v>Node2_thermodynamics</v>
      </c>
      <c r="E71" s="22" t="str">
        <f>IF(OR(V71="TRUE",B71&lt;&gt;C71),"#LOC_ETT_"&amp;A71&amp;"_description",IF(T71="TRUE",VLOOKUP(A71,'Stock Nodes'!$A$1:$C$63,2,FALSE),IF(U71="TRUE",VLOOKUP(A71,'CTT Nodes'!$A$1:$D$83,2,FALSE))))</f>
        <v>#LOC_ETT_thermodynamics_description</v>
      </c>
      <c r="F71" s="58">
        <v>5</v>
      </c>
      <c r="G71" s="21">
        <f t="array" ref="G71">INDEX(TNodeCols,MATCH(1,MMULT(--(TTechTree=A71),TRANSPOSE(COLUMN(TTechTree)^0)),0))</f>
        <v>-2110.800000000002</v>
      </c>
      <c r="H71" s="21">
        <f t="array" ref="H71">INDEX(NodeRows,MATCH(1,MMULT(--(TechTree=A71),TRANSPOSE(COLUMN(TechTree)^0)),0))</f>
        <v>1177</v>
      </c>
      <c r="I71" s="63" t="str">
        <f>TEXT(G71,"0") &amp; ", " &amp; TEXT(H71,"0") &amp;", -2"</f>
        <v>-2111, 1177, -2</v>
      </c>
      <c r="J71" s="63">
        <f>IF(T71="TRUE",VLOOKUP(A71,'Stock Nodes'!$A$1:$C$63,3,FALSE),IF(U71="TRUE",VLOOKUP(A71,'CTT Nodes'!$A$1:$G$83,7,FALSE),VLOOKUP(A71,'ETT Nodes'!$A$1:$E$87,5,FALSE)))</f>
        <v>0</v>
      </c>
      <c r="K71" s="63" t="s">
        <v>57</v>
      </c>
      <c r="L71" s="63" t="s">
        <v>2067</v>
      </c>
      <c r="M71" s="63" t="s">
        <v>2068</v>
      </c>
      <c r="N71" s="63"/>
      <c r="O71" s="63"/>
      <c r="P71" s="63"/>
      <c r="Q71" s="63"/>
      <c r="R71" s="63"/>
      <c r="S71" s="63"/>
      <c r="T71" s="25" t="str">
        <f>IF(ISNA(VLOOKUP(A71,'Stock Nodes'!$A$1:$C$63,1,FALSE)),"FALSE","TRUE")</f>
        <v>FALSE</v>
      </c>
      <c r="U71" s="25" t="str">
        <f>IF(ISNA(VLOOKUP(A71,'CTT Nodes'!$A$1:$D$83,1,FALSE)),"FALSE","TRUE")</f>
        <v>FALSE</v>
      </c>
      <c r="V71" s="25" t="str">
        <f>IF(OR(T71="TRUE",U71="TRUE"),"FALSE","TRUE")</f>
        <v>TRUE</v>
      </c>
      <c r="W71" s="68">
        <v>69</v>
      </c>
      <c r="X71" s="59">
        <v>1.5</v>
      </c>
    </row>
    <row r="72" spans="1:60" x14ac:dyDescent="0.25">
      <c r="A72" s="14" t="s">
        <v>87</v>
      </c>
      <c r="B72" s="21" t="s">
        <v>280</v>
      </c>
      <c r="C72" s="21" t="str">
        <f>IF(T72="TRUE",VLOOKUP(A72,'Stock Nodes'!$A$1:$D$63,4,FALSE),IF(U72="TRUE",VLOOKUP(A72,'CTT Nodes'!$A$1:$D$83,4,FALSE),VLOOKUP(A72,'ETT Nodes'!$A$1:$D$87,3,FALSE)))</f>
        <v>Heat Management Systems</v>
      </c>
      <c r="D72" s="21" t="str">
        <f>"Node"&amp;TEXT(X72,"0")&amp;"_"&amp;A72</f>
        <v>Node5_heatManagementSystems</v>
      </c>
      <c r="E72" s="22" t="str">
        <f>IF(OR(V72="TRUE",B72&lt;&gt;C72),"#LOC_ETT_"&amp;A72&amp;"_description",IF(T72="TRUE",VLOOKUP(A72,'Stock Nodes'!$A$1:$C$63,2,FALSE),IF(U72="TRUE",VLOOKUP(A72,'CTT Nodes'!$A$1:$D$83,2,FALSE))))</f>
        <v>#LOC_CTT_heatManagementSystems_description</v>
      </c>
      <c r="F72" s="58">
        <v>95</v>
      </c>
      <c r="G72" s="21">
        <f t="array" ref="G72">INDEX(TNodeCols,MATCH(1,MMULT(--(TTechTree=A72),TRANSPOSE(COLUMN(TTechTree)^0)),0))</f>
        <v>-2189.1000000000022</v>
      </c>
      <c r="H72" s="21">
        <f t="array" ref="H72">INDEX(NodeRows,MATCH(1,MMULT(--(TechTree=A72),TRANSPOSE(COLUMN(TechTree)^0)),0))</f>
        <v>1177</v>
      </c>
      <c r="I72" s="63" t="str">
        <f>TEXT(G72,"0") &amp; ", " &amp; TEXT(H72,"0") &amp;", -2"</f>
        <v>-2189, 1177, -2</v>
      </c>
      <c r="J72" s="63" t="str">
        <f>IF(T72="TRUE",VLOOKUP(A72,'Stock Nodes'!$A$1:$C$63,3,FALSE),IF(U72="TRUE",VLOOKUP(A72,'CTT Nodes'!$A$1:$G$83,7,FALSE),VLOOKUP(A72,'ETT Nodes'!$A$1:$E$87,5,FALSE)))</f>
        <v>ETTR/UI/CTT/ctt_icon_heatManagementSystems</v>
      </c>
      <c r="K72" s="45" t="s">
        <v>526</v>
      </c>
      <c r="L72" s="63" t="s">
        <v>2069</v>
      </c>
      <c r="M72" s="63" t="s">
        <v>2068</v>
      </c>
      <c r="N72" s="6"/>
      <c r="O72" s="63"/>
      <c r="P72" s="63"/>
      <c r="Q72" s="6"/>
      <c r="R72" s="63"/>
      <c r="S72" s="63"/>
      <c r="T72" s="25" t="str">
        <f>IF(ISNA(VLOOKUP(A72,'Stock Nodes'!$A$1:$C$63,1,FALSE)),"FALSE","TRUE")</f>
        <v>FALSE</v>
      </c>
      <c r="U72" s="25" t="str">
        <f>IF(ISNA(VLOOKUP(A72,'CTT Nodes'!$A$1:$D$83,1,FALSE)),"FALSE","TRUE")</f>
        <v>TRUE</v>
      </c>
      <c r="V72" s="25" t="str">
        <f>IF(OR(T72="TRUE",U72="TRUE"),"FALSE","TRUE")</f>
        <v>FALSE</v>
      </c>
      <c r="W72" s="68">
        <v>70</v>
      </c>
      <c r="X72" s="59">
        <v>4.67</v>
      </c>
      <c r="Y72" s="20"/>
      <c r="Z72" s="20"/>
      <c r="AA72" s="20"/>
      <c r="AB72" s="20"/>
      <c r="AC72" s="20"/>
      <c r="AD72" s="20"/>
      <c r="AE72" s="20"/>
      <c r="AF72" s="20"/>
      <c r="AG72" s="20"/>
      <c r="AH72" s="20"/>
      <c r="AI72" s="20"/>
      <c r="AJ72" s="20"/>
      <c r="AK72" s="20"/>
      <c r="AL72" s="20"/>
      <c r="AM72" s="20"/>
      <c r="AN72" s="20"/>
      <c r="AO72" s="20"/>
      <c r="AP72" s="20"/>
      <c r="AQ72" s="20"/>
      <c r="AR72" s="20"/>
      <c r="AS72" s="20"/>
      <c r="AT72" s="20"/>
      <c r="AU72" s="20"/>
      <c r="AV72" s="20"/>
      <c r="AW72" s="20"/>
      <c r="AX72" s="20"/>
      <c r="AY72" s="20"/>
      <c r="AZ72" s="20"/>
      <c r="BA72" s="20"/>
      <c r="BB72" s="20"/>
      <c r="BC72" s="20"/>
      <c r="BD72" s="20"/>
      <c r="BE72" s="20"/>
      <c r="BF72" s="20"/>
      <c r="BG72" s="20"/>
      <c r="BH72" s="20"/>
    </row>
    <row r="73" spans="1:60" x14ac:dyDescent="0.25">
      <c r="A73" s="14" t="s">
        <v>122</v>
      </c>
      <c r="B73" s="21" t="s">
        <v>329</v>
      </c>
      <c r="C73" s="21" t="str">
        <f>IF(T73="TRUE",VLOOKUP(A73,'Stock Nodes'!$A$1:$D$63,4,FALSE),IF(U73="TRUE",VLOOKUP(A73,'CTT Nodes'!$A$1:$D$83,4,FALSE),VLOOKUP(A73,'ETT Nodes'!$A$1:$D$87,3,FALSE)))</f>
        <v>Advanced Heat Management</v>
      </c>
      <c r="D73" s="21" t="str">
        <f>"Node"&amp;TEXT(X73,"0")&amp;"_"&amp;A73</f>
        <v>Node7_advHeatManagement</v>
      </c>
      <c r="E73" s="22" t="str">
        <f>IF(OR(V73="TRUE",B73&lt;&gt;C73),"#LOC_ETT_"&amp;A73&amp;"_description",IF(T73="TRUE",VLOOKUP(A73,'Stock Nodes'!$A$1:$C$63,2,FALSE),IF(U73="TRUE",VLOOKUP(A73,'CTT Nodes'!$A$1:$D$83,2,FALSE))))</f>
        <v>#LOC_CTT_advHeatManagement_description</v>
      </c>
      <c r="F73" s="58">
        <v>375</v>
      </c>
      <c r="G73" s="21">
        <f t="array" ref="G73">INDEX(TNodeCols,MATCH(1,MMULT(--(TTechTree=A73),TRANSPOSE(COLUMN(TTechTree)^0)),0))</f>
        <v>-2189.1000000000022</v>
      </c>
      <c r="H73" s="21">
        <f t="array" ref="H73">INDEX(NodeRows,MATCH(1,MMULT(--(TechTree=A73),TRANSPOSE(COLUMN(TechTree)^0)),0))</f>
        <v>1253</v>
      </c>
      <c r="I73" s="63" t="str">
        <f>TEXT(G73,"0") &amp; ", " &amp; TEXT(H73,"0") &amp;", -2"</f>
        <v>-2189, 1253, -2</v>
      </c>
      <c r="J73" s="63" t="str">
        <f>IF(T73="TRUE",VLOOKUP(A73,'Stock Nodes'!$A$1:$C$63,3,FALSE),IF(U73="TRUE",VLOOKUP(A73,'CTT Nodes'!$A$1:$G$83,7,FALSE),VLOOKUP(A73,'ETT Nodes'!$A$1:$E$87,5,FALSE)))</f>
        <v>ETTR/UI/CTT/ctt_icon_advancedHeatManagement</v>
      </c>
      <c r="K73" s="21" t="s">
        <v>87</v>
      </c>
      <c r="L73" s="63" t="s">
        <v>2067</v>
      </c>
      <c r="M73" s="63" t="s">
        <v>2070</v>
      </c>
      <c r="N73" s="60"/>
      <c r="O73" s="63"/>
      <c r="P73" s="63"/>
      <c r="Q73" s="6"/>
      <c r="R73" s="63"/>
      <c r="S73" s="63"/>
      <c r="T73" s="25" t="str">
        <f>IF(ISNA(VLOOKUP(A73,'Stock Nodes'!$A$1:$C$63,1,FALSE)),"FALSE","TRUE")</f>
        <v>FALSE</v>
      </c>
      <c r="U73" s="25" t="str">
        <f>IF(ISNA(VLOOKUP(A73,'CTT Nodes'!$A$1:$D$83,1,FALSE)),"FALSE","TRUE")</f>
        <v>TRUE</v>
      </c>
      <c r="V73" s="25" t="str">
        <f>IF(OR(T73="TRUE",U73="TRUE"),"FALSE","TRUE")</f>
        <v>FALSE</v>
      </c>
      <c r="W73" s="63">
        <v>71</v>
      </c>
      <c r="X73" s="59">
        <v>7</v>
      </c>
      <c r="Y73" s="20"/>
      <c r="Z73" s="20"/>
      <c r="AA73" s="20"/>
      <c r="AB73" s="20"/>
      <c r="AC73" s="20"/>
      <c r="AD73" s="20"/>
      <c r="AE73" s="20"/>
      <c r="AF73" s="20"/>
      <c r="AG73" s="20"/>
      <c r="AH73" s="20"/>
      <c r="AI73" s="20"/>
      <c r="AJ73" s="20"/>
      <c r="AK73" s="20"/>
      <c r="AL73" s="20"/>
      <c r="AM73" s="20"/>
      <c r="AN73" s="20"/>
      <c r="AO73" s="20"/>
      <c r="AP73" s="20"/>
      <c r="AQ73" s="20"/>
      <c r="AR73" s="20"/>
      <c r="AS73" s="20"/>
      <c r="AT73" s="20"/>
      <c r="AU73" s="20"/>
      <c r="AV73" s="20"/>
      <c r="AW73" s="20"/>
      <c r="AX73" s="20"/>
      <c r="AY73" s="20"/>
      <c r="AZ73" s="20"/>
      <c r="BA73" s="20"/>
      <c r="BB73" s="20"/>
      <c r="BC73" s="20"/>
      <c r="BD73" s="20"/>
      <c r="BE73" s="20"/>
      <c r="BF73" s="20"/>
      <c r="BG73" s="20"/>
      <c r="BH73" s="20"/>
    </row>
    <row r="74" spans="1:60" x14ac:dyDescent="0.25">
      <c r="A74" s="14" t="s">
        <v>151</v>
      </c>
      <c r="B74" s="21" t="s">
        <v>328</v>
      </c>
      <c r="C74" s="21" t="str">
        <f>IF(T74="TRUE",VLOOKUP(A74,'Stock Nodes'!$A$1:$D$63,4,FALSE),IF(U74="TRUE",VLOOKUP(A74,'CTT Nodes'!$A$1:$D$83,4,FALSE),VLOOKUP(A74,'ETT Nodes'!$A$1:$D$87,3,FALSE)))</f>
        <v>Specialized Radiators</v>
      </c>
      <c r="D74" s="21" t="str">
        <f>"Node"&amp;TEXT(X74,"0")&amp;"_"&amp;A74</f>
        <v>Node8_specializedRadiators</v>
      </c>
      <c r="E74" s="22" t="str">
        <f>IF(OR(V74="TRUE",B74&lt;&gt;C74),"#LOC_ETT_"&amp;A74&amp;"_description",IF(T74="TRUE",VLOOKUP(A74,'Stock Nodes'!$A$1:$C$63,2,FALSE),IF(U74="TRUE",VLOOKUP(A74,'CTT Nodes'!$A$1:$D$83,2,FALSE))))</f>
        <v>#LOC_CTT_specializedRadiators_description</v>
      </c>
      <c r="F74" s="58">
        <v>495</v>
      </c>
      <c r="G74" s="21">
        <f t="array" ref="G74">INDEX(TNodeCols,MATCH(1,MMULT(--(TTechTree=A74),TRANSPOSE(COLUMN(TTechTree)^0)),0))</f>
        <v>-2189.1000000000022</v>
      </c>
      <c r="H74" s="21">
        <f t="array" ref="H74">INDEX(NodeRows,MATCH(1,MMULT(--(TechTree=A74),TRANSPOSE(COLUMN(TechTree)^0)),0))</f>
        <v>1329</v>
      </c>
      <c r="I74" s="63" t="str">
        <f>TEXT(G74,"0") &amp; ", " &amp; TEXT(H74,"0") &amp;", -2"</f>
        <v>-2189, 1329, -2</v>
      </c>
      <c r="J74" s="63" t="str">
        <f>IF(T74="TRUE",VLOOKUP(A74,'Stock Nodes'!$A$1:$C$63,3,FALSE),IF(U74="TRUE",VLOOKUP(A74,'CTT Nodes'!$A$1:$G$83,7,FALSE),VLOOKUP(A74,'ETT Nodes'!$A$1:$E$87,5,FALSE)))</f>
        <v>ETTR/UI/CTT/ctt_icon_specializedRadiators</v>
      </c>
      <c r="K74" s="63" t="s">
        <v>122</v>
      </c>
      <c r="L74" s="63" t="s">
        <v>2067</v>
      </c>
      <c r="M74" s="63" t="s">
        <v>2070</v>
      </c>
      <c r="N74" s="63"/>
      <c r="O74" s="63"/>
      <c r="P74" s="63"/>
      <c r="Q74" s="6"/>
      <c r="R74" s="63"/>
      <c r="S74" s="63"/>
      <c r="T74" s="25" t="str">
        <f>IF(ISNA(VLOOKUP(A74,'Stock Nodes'!$A$1:$C$63,1,FALSE)),"FALSE","TRUE")</f>
        <v>FALSE</v>
      </c>
      <c r="U74" s="25" t="str">
        <f>IF(ISNA(VLOOKUP(A74,'CTT Nodes'!$A$1:$D$83,1,FALSE)),"FALSE","TRUE")</f>
        <v>TRUE</v>
      </c>
      <c r="V74" s="25" t="str">
        <f>IF(OR(T74="TRUE",U74="TRUE"),"FALSE","TRUE")</f>
        <v>FALSE</v>
      </c>
      <c r="W74" s="68">
        <v>72</v>
      </c>
      <c r="X74" s="59">
        <v>8</v>
      </c>
      <c r="Y74" s="20"/>
      <c r="Z74" s="20"/>
      <c r="AA74" s="20"/>
      <c r="AB74" s="20"/>
      <c r="AC74" s="20"/>
      <c r="AD74" s="20"/>
      <c r="AE74" s="20"/>
      <c r="AF74" s="20"/>
      <c r="AG74" s="20"/>
      <c r="AH74" s="20"/>
      <c r="AI74" s="20"/>
      <c r="AJ74" s="20"/>
      <c r="AK74" s="20"/>
      <c r="AL74" s="20"/>
      <c r="AM74" s="20"/>
      <c r="AN74" s="20"/>
      <c r="AO74" s="20"/>
      <c r="AP74" s="20"/>
      <c r="AQ74" s="20"/>
      <c r="AR74" s="20"/>
      <c r="AS74" s="20"/>
      <c r="AT74" s="20"/>
      <c r="AU74" s="20"/>
      <c r="AV74" s="20"/>
      <c r="AW74" s="20"/>
      <c r="AX74" s="20"/>
      <c r="AY74" s="20"/>
      <c r="AZ74" s="20"/>
      <c r="BA74" s="20"/>
      <c r="BB74" s="20"/>
      <c r="BC74" s="20"/>
      <c r="BD74" s="20"/>
      <c r="BE74" s="20"/>
      <c r="BF74" s="20"/>
      <c r="BG74" s="20"/>
      <c r="BH74" s="20"/>
    </row>
    <row r="75" spans="1:60" x14ac:dyDescent="0.25">
      <c r="A75" s="21" t="s">
        <v>218</v>
      </c>
      <c r="B75" s="21" t="s">
        <v>219</v>
      </c>
      <c r="C75" s="21" t="str">
        <f>IF(T75="TRUE",VLOOKUP(A75,'Stock Nodes'!$A$1:$D$63,4,FALSE),IF(U75="TRUE",VLOOKUP(A75,'CTT Nodes'!$A$1:$D$83,4,FALSE),VLOOKUP(A75,'ETT Nodes'!$A$1:$D$87,3,FALSE)))</f>
        <v>Exotic Radiators</v>
      </c>
      <c r="D75" s="21" t="str">
        <f>"Node"&amp;TEXT(X75,"0")&amp;"_"&amp;A75</f>
        <v>Node16_exoticRadiators</v>
      </c>
      <c r="E75" s="22" t="str">
        <f>IF(OR(V75="TRUE",B75&lt;&gt;C75),"#LOC_ETT_"&amp;A75&amp;"_description",IF(T75="TRUE",VLOOKUP(A75,'Stock Nodes'!$A$1:$C$63,2,FALSE),IF(U75="TRUE",VLOOKUP(A75,'CTT Nodes'!$A$1:$D$83,2,FALSE))))</f>
        <v>#LOC_CTT_exoticRadiators_description</v>
      </c>
      <c r="F75" s="58">
        <v>4000</v>
      </c>
      <c r="G75" s="21">
        <f t="array" ref="G75">INDEX(TNodeCols,MATCH(1,MMULT(--(TTechTree=A75),TRANSPOSE(COLUMN(TTechTree)^0)),0))</f>
        <v>-2189.1000000000022</v>
      </c>
      <c r="H75" s="21">
        <f t="array" ref="H75">INDEX(NodeRows,MATCH(1,MMULT(--(TechTree=A75),TRANSPOSE(COLUMN(TechTree)^0)),0))</f>
        <v>1405</v>
      </c>
      <c r="I75" s="63" t="str">
        <f>TEXT(G75,"0") &amp; ", " &amp; TEXT(H75,"0") &amp;", -2"</f>
        <v>-2189, 1405, -2</v>
      </c>
      <c r="J75" s="63" t="str">
        <f>IF(T75="TRUE",VLOOKUP(A75,'Stock Nodes'!$A$1:$C$63,3,FALSE),IF(U75="TRUE",VLOOKUP(A75,'CTT Nodes'!$A$1:$G$83,7,FALSE),VLOOKUP(A75,'ETT Nodes'!$A$1:$E$87,5,FALSE)))</f>
        <v>ETTR/UI/CTT/ctt_icon_exoticRadiators</v>
      </c>
      <c r="K75" s="21" t="s">
        <v>151</v>
      </c>
      <c r="L75" s="63" t="s">
        <v>2067</v>
      </c>
      <c r="M75" s="63" t="s">
        <v>2070</v>
      </c>
      <c r="N75" s="6"/>
      <c r="O75" s="63"/>
      <c r="P75" s="63"/>
      <c r="Q75" s="6"/>
      <c r="R75" s="63"/>
      <c r="S75" s="63"/>
      <c r="T75" s="25" t="str">
        <f>IF(ISNA(VLOOKUP(A75,'Stock Nodes'!$A$1:$C$63,1,FALSE)),"FALSE","TRUE")</f>
        <v>FALSE</v>
      </c>
      <c r="U75" s="25" t="str">
        <f>IF(ISNA(VLOOKUP(A75,'CTT Nodes'!$A$1:$D$83,1,FALSE)),"FALSE","TRUE")</f>
        <v>TRUE</v>
      </c>
      <c r="V75" s="25" t="str">
        <f>IF(OR(T75="TRUE",U75="TRUE"),"FALSE","TRUE")</f>
        <v>FALSE</v>
      </c>
      <c r="W75" s="68">
        <v>73</v>
      </c>
      <c r="X75" s="59">
        <v>16</v>
      </c>
      <c r="Y75" s="20"/>
      <c r="Z75" s="20"/>
      <c r="AA75" s="20"/>
      <c r="AB75" s="20"/>
      <c r="AC75" s="20"/>
      <c r="AD75" s="20"/>
      <c r="AE75" s="20"/>
      <c r="AF75" s="20"/>
      <c r="AG75" s="20"/>
      <c r="AH75" s="20"/>
      <c r="AI75" s="20"/>
      <c r="AJ75" s="20"/>
      <c r="AK75" s="20"/>
      <c r="AL75" s="20"/>
      <c r="AM75" s="20"/>
      <c r="AN75" s="20"/>
      <c r="AO75" s="20"/>
      <c r="AP75" s="20"/>
      <c r="AQ75" s="20"/>
      <c r="AR75" s="20"/>
      <c r="AS75" s="20"/>
      <c r="AT75" s="20"/>
      <c r="AU75" s="20"/>
      <c r="AV75" s="20"/>
      <c r="AW75" s="20"/>
      <c r="AX75" s="20"/>
      <c r="AY75" s="20"/>
      <c r="AZ75" s="20"/>
      <c r="BA75" s="20"/>
      <c r="BB75" s="20"/>
      <c r="BC75" s="20"/>
      <c r="BD75" s="20"/>
      <c r="BE75" s="20"/>
      <c r="BF75" s="20"/>
      <c r="BG75" s="20"/>
      <c r="BH75" s="20"/>
    </row>
    <row r="76" spans="1:60" s="20" customFormat="1" x14ac:dyDescent="0.25">
      <c r="A76" s="21" t="s">
        <v>1318</v>
      </c>
      <c r="B76" s="21" t="s">
        <v>1319</v>
      </c>
      <c r="C76" s="21" t="str">
        <f>IF(T76="TRUE",VLOOKUP(A76,'Stock Nodes'!$A$1:$D$63,4,FALSE),IF(U76="TRUE",VLOOKUP(A76,'CTT Nodes'!$A$1:$D$83,4,FALSE),VLOOKUP(A76,'ETT Nodes'!$A$1:$D$87,3,FALSE)))</f>
        <v>Ablative Materials</v>
      </c>
      <c r="D76" s="21" t="str">
        <f>"Node"&amp;TEXT(X76,"0")&amp;"_"&amp;A76</f>
        <v>Node3_ablativeMaterials</v>
      </c>
      <c r="E76" s="22" t="str">
        <f>IF(OR(V76="TRUE",B76&lt;&gt;C76),"#LOC_ETT_"&amp;A76&amp;"_description",IF(T76="TRUE",VLOOKUP(A76,'Stock Nodes'!$A$1:$C$63,2,FALSE),IF(U76="TRUE",VLOOKUP(A76,'CTT Nodes'!$A$1:$D$83,2,FALSE))))</f>
        <v>#LOC_ETT_ablativeMaterials_description</v>
      </c>
      <c r="F76" s="58">
        <v>25</v>
      </c>
      <c r="G76" s="21">
        <f t="array" ref="G76">INDEX(TNodeCols,MATCH(1,MMULT(--(TTechTree=A76),TRANSPOSE(COLUMN(TTechTree)^0)),0))</f>
        <v>-2110.800000000002</v>
      </c>
      <c r="H76" s="21">
        <f t="array" ref="H76">INDEX(NodeRows,MATCH(1,MMULT(--(TechTree=A76),TRANSPOSE(COLUMN(TechTree)^0)),0))</f>
        <v>1253</v>
      </c>
      <c r="I76" s="63" t="str">
        <f>TEXT(G76,"0") &amp; ", " &amp; TEXT(H76,"0") &amp;", -2"</f>
        <v>-2111, 1253, -2</v>
      </c>
      <c r="J76" s="63">
        <f>IF(T76="TRUE",VLOOKUP(A76,'Stock Nodes'!$A$1:$C$63,3,FALSE),IF(U76="TRUE",VLOOKUP(A76,'CTT Nodes'!$A$1:$G$83,7,FALSE),VLOOKUP(A76,'ETT Nodes'!$A$1:$E$87,5,FALSE)))</f>
        <v>0</v>
      </c>
      <c r="K76" s="63" t="s">
        <v>526</v>
      </c>
      <c r="L76" s="63" t="s">
        <v>2067</v>
      </c>
      <c r="M76" s="63" t="s">
        <v>2070</v>
      </c>
      <c r="N76" s="63"/>
      <c r="O76" s="63"/>
      <c r="P76" s="63"/>
      <c r="Q76" s="21"/>
      <c r="R76" s="63"/>
      <c r="S76" s="63"/>
      <c r="T76" s="25" t="str">
        <f>IF(ISNA(VLOOKUP(A76,'Stock Nodes'!$A$1:$C$63,1,FALSE)),"FALSE","TRUE")</f>
        <v>FALSE</v>
      </c>
      <c r="U76" s="25" t="str">
        <f>IF(ISNA(VLOOKUP(A76,'CTT Nodes'!$A$1:$D$83,1,FALSE)),"FALSE","TRUE")</f>
        <v>FALSE</v>
      </c>
      <c r="V76" s="25" t="str">
        <f>IF(OR(T76="TRUE",U76="TRUE"),"FALSE","TRUE")</f>
        <v>TRUE</v>
      </c>
      <c r="W76" s="63">
        <v>74</v>
      </c>
      <c r="X76" s="59">
        <v>3</v>
      </c>
    </row>
    <row r="77" spans="1:60" s="20" customFormat="1" x14ac:dyDescent="0.25">
      <c r="A77" s="21" t="s">
        <v>13</v>
      </c>
      <c r="B77" s="21" t="s">
        <v>330</v>
      </c>
      <c r="C77" s="21" t="str">
        <f>IF(T77="TRUE",VLOOKUP(A77,'Stock Nodes'!$A$1:$D$63,4,FALSE),IF(U77="TRUE",VLOOKUP(A77,'CTT Nodes'!$A$1:$D$83,4,FALSE),VLOOKUP(A77,'ETT Nodes'!$A$1:$D$87,3,FALSE)))</f>
        <v>Nuclear Power</v>
      </c>
      <c r="D77" s="21" t="str">
        <f>"Node"&amp;TEXT(X77,"0")&amp;"_"&amp;A77</f>
        <v>Node5_nuclearPower</v>
      </c>
      <c r="E77" s="22" t="str">
        <f>IF(OR(V77="TRUE",B77&lt;&gt;C77),"#LOC_ETT_"&amp;A77&amp;"_description",IF(T77="TRUE",VLOOKUP(A77,'Stock Nodes'!$A$1:$C$63,2,FALSE),IF(U77="TRUE",VLOOKUP(A77,'CTT Nodes'!$A$1:$D$83,2,FALSE))))</f>
        <v>#LOC_ETT_nuclearPower_description</v>
      </c>
      <c r="F77" s="58">
        <v>125</v>
      </c>
      <c r="G77" s="21">
        <f t="array" ref="G77">INDEX(TNodeCols,MATCH(1,MMULT(--(TTechTree=A77),TRANSPOSE(COLUMN(TTechTree)^0)),0))</f>
        <v>-2502.3000000000029</v>
      </c>
      <c r="H77" s="21">
        <f t="array" ref="H77">INDEX(NodeRows,MATCH(1,MMULT(--(TechTree=A77),TRANSPOSE(COLUMN(TechTree)^0)),0))</f>
        <v>1557</v>
      </c>
      <c r="I77" s="63" t="str">
        <f>TEXT(G77,"0") &amp; ", " &amp; TEXT(H77,"0") &amp;", -2"</f>
        <v>-2502, 1557, -2</v>
      </c>
      <c r="J77" s="63" t="str">
        <f>IF(T77="TRUE",VLOOKUP(A77,'Stock Nodes'!$A$1:$C$63,3,FALSE),IF(U77="TRUE",VLOOKUP(A77,'CTT Nodes'!$A$1:$G$83,7,FALSE),VLOOKUP(A77,'ETT Nodes'!$A$1:$E$87,5,FALSE)))</f>
        <v>ETTR/UI/CTT/ctt_icon_nuclearPower</v>
      </c>
      <c r="K77" s="21" t="s">
        <v>122</v>
      </c>
      <c r="L77" s="63" t="s">
        <v>2069</v>
      </c>
      <c r="M77" s="63" t="s">
        <v>2070</v>
      </c>
      <c r="N77" s="21"/>
      <c r="O77" s="63"/>
      <c r="P77" s="63"/>
      <c r="Q77" s="21"/>
      <c r="R77" s="63"/>
      <c r="S77" s="63"/>
      <c r="T77" s="25" t="str">
        <f>IF(ISNA(VLOOKUP(A77,'Stock Nodes'!$A$1:$C$63,1,FALSE)),"FALSE","TRUE")</f>
        <v>FALSE</v>
      </c>
      <c r="U77" s="25" t="str">
        <f>IF(ISNA(VLOOKUP(A77,'CTT Nodes'!$A$1:$D$83,1,FALSE)),"FALSE","TRUE")</f>
        <v>TRUE</v>
      </c>
      <c r="V77" s="25" t="str">
        <f>IF(OR(T77="TRUE",U77="TRUE"),"FALSE","TRUE")</f>
        <v>FALSE</v>
      </c>
      <c r="W77" s="68">
        <v>75</v>
      </c>
      <c r="X77" s="59">
        <v>5</v>
      </c>
    </row>
    <row r="78" spans="1:60" s="20" customFormat="1" x14ac:dyDescent="0.25">
      <c r="A78" s="21" t="s">
        <v>1320</v>
      </c>
      <c r="B78" s="21" t="s">
        <v>1321</v>
      </c>
      <c r="C78" s="21" t="str">
        <f>IF(T78="TRUE",VLOOKUP(A78,'Stock Nodes'!$A$1:$D$63,4,FALSE),IF(U78="TRUE",VLOOKUP(A78,'CTT Nodes'!$A$1:$D$83,4,FALSE),VLOOKUP(A78,'ETT Nodes'!$A$1:$D$87,3,FALSE)))</f>
        <v>Advanced Ablative Materials</v>
      </c>
      <c r="D78" s="21" t="str">
        <f>"Node"&amp;TEXT(X78,"0")&amp;"_"&amp;A78</f>
        <v>Node4_advAblativeMaterials</v>
      </c>
      <c r="E78" s="22" t="str">
        <f>IF(OR(V78="TRUE",B78&lt;&gt;C78),"#LOC_ETT_"&amp;A78&amp;"_description",IF(T78="TRUE",VLOOKUP(A78,'Stock Nodes'!$A$1:$C$63,2,FALSE),IF(U78="TRUE",VLOOKUP(A78,'CTT Nodes'!$A$1:$D$83,2,FALSE))))</f>
        <v>#LOC_ETT_advAblativeMaterials_description</v>
      </c>
      <c r="F78" s="58">
        <v>50</v>
      </c>
      <c r="G78" s="21">
        <f t="array" ref="G78">INDEX(TNodeCols,MATCH(1,MMULT(--(TTechTree=A78),TRANSPOSE(COLUMN(TTechTree)^0)),0))</f>
        <v>-2110.800000000002</v>
      </c>
      <c r="H78" s="21">
        <f t="array" ref="H78">INDEX(NodeRows,MATCH(1,MMULT(--(TechTree=A78),TRANSPOSE(COLUMN(TechTree)^0)),0))</f>
        <v>1329</v>
      </c>
      <c r="I78" s="63" t="str">
        <f>TEXT(G78,"0") &amp; ", " &amp; TEXT(H78,"0") &amp;", -2"</f>
        <v>-2111, 1329, -2</v>
      </c>
      <c r="J78" s="63">
        <f>IF(T78="TRUE",VLOOKUP(A78,'Stock Nodes'!$A$1:$C$63,3,FALSE),IF(U78="TRUE",VLOOKUP(A78,'CTT Nodes'!$A$1:$G$83,7,FALSE),VLOOKUP(A78,'ETT Nodes'!$A$1:$E$87,5,FALSE)))</f>
        <v>0</v>
      </c>
      <c r="K78" s="21" t="s">
        <v>1318</v>
      </c>
      <c r="L78" s="63" t="s">
        <v>2067</v>
      </c>
      <c r="M78" s="63" t="s">
        <v>2070</v>
      </c>
      <c r="N78" s="63"/>
      <c r="O78" s="63"/>
      <c r="P78" s="63"/>
      <c r="Q78" s="21"/>
      <c r="R78" s="63"/>
      <c r="S78" s="63"/>
      <c r="T78" s="25" t="str">
        <f>IF(ISNA(VLOOKUP(A78,'Stock Nodes'!$A$1:$C$63,1,FALSE)),"FALSE","TRUE")</f>
        <v>FALSE</v>
      </c>
      <c r="U78" s="25" t="str">
        <f>IF(ISNA(VLOOKUP(A78,'CTT Nodes'!$A$1:$D$83,1,FALSE)),"FALSE","TRUE")</f>
        <v>FALSE</v>
      </c>
      <c r="V78" s="25" t="str">
        <f>IF(OR(T78="TRUE",U78="TRUE"),"FALSE","TRUE")</f>
        <v>TRUE</v>
      </c>
      <c r="W78" s="68">
        <v>76</v>
      </c>
      <c r="X78" s="59">
        <v>3.67</v>
      </c>
    </row>
    <row r="79" spans="1:60" x14ac:dyDescent="0.25">
      <c r="A79" s="14" t="s">
        <v>12</v>
      </c>
      <c r="B79" s="21" t="s">
        <v>370</v>
      </c>
      <c r="C79" s="21" t="str">
        <f>IF(T79="TRUE",VLOOKUP(A79,'Stock Nodes'!$A$1:$D$63,4,FALSE),IF(U79="TRUE",VLOOKUP(A79,'CTT Nodes'!$A$1:$D$83,4,FALSE),VLOOKUP(A79,'ETT Nodes'!$A$1:$D$87,3,FALSE)))</f>
        <v>Improved Nuclear Power</v>
      </c>
      <c r="D79" s="21" t="str">
        <f>"Node"&amp;TEXT(X79,"0")&amp;"_"&amp;A79</f>
        <v>Node6_largeNuclearPower</v>
      </c>
      <c r="E79" s="22" t="str">
        <f>IF(OR(V79="TRUE",B79&lt;&gt;C79),"#LOC_ETT_"&amp;A79&amp;"_description",IF(T79="TRUE",VLOOKUP(A79,'Stock Nodes'!$A$1:$C$63,2,FALSE),IF(U79="TRUE",VLOOKUP(A79,'CTT Nodes'!$A$1:$D$83,2,FALSE))))</f>
        <v>#LOC_CTT_largeNuclearPower_description</v>
      </c>
      <c r="F79" s="58">
        <v>200</v>
      </c>
      <c r="G79" s="21">
        <f t="array" ref="G79">INDEX(TNodeCols,MATCH(1,MMULT(--(TTechTree=A79),TRANSPOSE(COLUMN(TTechTree)^0)),0))</f>
        <v>-2502.3000000000029</v>
      </c>
      <c r="H79" s="21">
        <f t="array" ref="H79">INDEX(NodeRows,MATCH(1,MMULT(--(TechTree=A79),TRANSPOSE(COLUMN(TechTree)^0)),0))</f>
        <v>1633</v>
      </c>
      <c r="I79" s="63" t="str">
        <f>TEXT(G79,"0") &amp; ", " &amp; TEXT(H79,"0") &amp;", -2"</f>
        <v>-2502, 1633, -2</v>
      </c>
      <c r="J79" s="63" t="str">
        <f>IF(T79="TRUE",VLOOKUP(A79,'Stock Nodes'!$A$1:$C$63,3,FALSE),IF(U79="TRUE",VLOOKUP(A79,'CTT Nodes'!$A$1:$G$83,7,FALSE),VLOOKUP(A79,'ETT Nodes'!$A$1:$E$87,5,FALSE)))</f>
        <v>ETTR/UI/CTT/ctt_icon_improvedNuclearPower</v>
      </c>
      <c r="K79" s="63" t="s">
        <v>13</v>
      </c>
      <c r="L79" s="63" t="s">
        <v>2067</v>
      </c>
      <c r="M79" s="63" t="s">
        <v>2070</v>
      </c>
      <c r="N79" s="63"/>
      <c r="O79" s="63"/>
      <c r="P79" s="63"/>
      <c r="Q79" s="6"/>
      <c r="R79" s="63"/>
      <c r="S79" s="63"/>
      <c r="T79" s="25" t="str">
        <f>IF(ISNA(VLOOKUP(A79,'Stock Nodes'!$A$1:$C$63,1,FALSE)),"FALSE","TRUE")</f>
        <v>FALSE</v>
      </c>
      <c r="U79" s="25" t="str">
        <f>IF(ISNA(VLOOKUP(A79,'CTT Nodes'!$A$1:$D$83,1,FALSE)),"FALSE","TRUE")</f>
        <v>TRUE</v>
      </c>
      <c r="V79" s="25" t="str">
        <f>IF(OR(T79="TRUE",U79="TRUE"),"FALSE","TRUE")</f>
        <v>FALSE</v>
      </c>
      <c r="W79" s="63">
        <v>77</v>
      </c>
      <c r="X79" s="59">
        <v>5.75</v>
      </c>
      <c r="Y79" s="20"/>
      <c r="Z79" s="20"/>
      <c r="AA79" s="20"/>
      <c r="AB79" s="20"/>
      <c r="AC79" s="20"/>
      <c r="AD79" s="20"/>
      <c r="AE79" s="20"/>
      <c r="AF79" s="20"/>
      <c r="AG79" s="20"/>
      <c r="AH79" s="20"/>
      <c r="AI79" s="20"/>
      <c r="AJ79" s="20"/>
      <c r="AK79" s="20"/>
      <c r="AL79" s="20"/>
      <c r="AM79" s="20"/>
      <c r="AN79" s="20"/>
      <c r="AO79" s="20"/>
      <c r="AP79" s="20"/>
      <c r="AQ79" s="20"/>
      <c r="AR79" s="20"/>
      <c r="AS79" s="20"/>
      <c r="AT79" s="20"/>
      <c r="AU79" s="20"/>
      <c r="AV79" s="20"/>
      <c r="AW79" s="20"/>
      <c r="AX79" s="20"/>
      <c r="AY79" s="20"/>
      <c r="AZ79" s="20"/>
      <c r="BA79" s="20"/>
      <c r="BB79" s="20"/>
      <c r="BC79" s="20"/>
      <c r="BD79" s="20"/>
      <c r="BE79" s="20"/>
      <c r="BF79" s="20"/>
      <c r="BG79" s="20"/>
      <c r="BH79" s="20"/>
    </row>
    <row r="80" spans="1:60" x14ac:dyDescent="0.25">
      <c r="A80" s="14" t="s">
        <v>1322</v>
      </c>
      <c r="B80" s="21" t="s">
        <v>1323</v>
      </c>
      <c r="C80" s="21" t="str">
        <f>IF(T80="TRUE",VLOOKUP(A80,'Stock Nodes'!$A$1:$D$63,4,FALSE),IF(U80="TRUE",VLOOKUP(A80,'CTT Nodes'!$A$1:$D$83,4,FALSE),VLOOKUP(A80,'ETT Nodes'!$A$1:$D$87,3,FALSE)))</f>
        <v>Experimental Ablative Materials</v>
      </c>
      <c r="D80" s="21" t="str">
        <f>"Node"&amp;TEXT(X80,"0")&amp;"_"&amp;A80</f>
        <v>Node4_expAblativeMaterials</v>
      </c>
      <c r="E80" s="22" t="str">
        <f>IF(OR(V80="TRUE",B80&lt;&gt;C80),"#LOC_ETT_"&amp;A80&amp;"_description",IF(T80="TRUE",VLOOKUP(A80,'Stock Nodes'!$A$1:$C$63,2,FALSE),IF(U80="TRUE",VLOOKUP(A80,'CTT Nodes'!$A$1:$D$83,2,FALSE))))</f>
        <v>#LOC_ETT_expAblativeMaterials_description</v>
      </c>
      <c r="F80" s="58">
        <v>80</v>
      </c>
      <c r="G80" s="21">
        <f t="array" ref="G80">INDEX(TNodeCols,MATCH(1,MMULT(--(TTechTree=A80),TRANSPOSE(COLUMN(TTechTree)^0)),0))</f>
        <v>-2110.800000000002</v>
      </c>
      <c r="H80" s="21">
        <f t="array" ref="H80">INDEX(NodeRows,MATCH(1,MMULT(--(TechTree=A80),TRANSPOSE(COLUMN(TechTree)^0)),0))</f>
        <v>1405</v>
      </c>
      <c r="I80" s="63" t="str">
        <f>TEXT(G80,"0") &amp; ", " &amp; TEXT(H80,"0") &amp;", -2"</f>
        <v>-2111, 1405, -2</v>
      </c>
      <c r="J80" s="63">
        <f>IF(T80="TRUE",VLOOKUP(A80,'Stock Nodes'!$A$1:$C$63,3,FALSE),IF(U80="TRUE",VLOOKUP(A80,'CTT Nodes'!$A$1:$G$83,7,FALSE),VLOOKUP(A80,'ETT Nodes'!$A$1:$E$87,5,FALSE)))</f>
        <v>0</v>
      </c>
      <c r="K80" s="21" t="s">
        <v>1320</v>
      </c>
      <c r="L80" s="63" t="s">
        <v>2067</v>
      </c>
      <c r="M80" s="63" t="s">
        <v>2070</v>
      </c>
      <c r="N80" s="63"/>
      <c r="O80" s="63"/>
      <c r="P80" s="63"/>
      <c r="Q80" s="6"/>
      <c r="R80" s="63"/>
      <c r="S80" s="63"/>
      <c r="T80" s="25" t="str">
        <f>IF(ISNA(VLOOKUP(A80,'Stock Nodes'!$A$1:$C$63,1,FALSE)),"FALSE","TRUE")</f>
        <v>FALSE</v>
      </c>
      <c r="U80" s="25" t="str">
        <f>IF(ISNA(VLOOKUP(A80,'CTT Nodes'!$A$1:$D$83,1,FALSE)),"FALSE","TRUE")</f>
        <v>FALSE</v>
      </c>
      <c r="V80" s="25" t="str">
        <f>IF(OR(T80="TRUE",U80="TRUE"),"FALSE","TRUE")</f>
        <v>TRUE</v>
      </c>
      <c r="W80" s="68">
        <v>78</v>
      </c>
      <c r="X80" s="59">
        <v>4.33</v>
      </c>
      <c r="Y80" s="20"/>
      <c r="Z80" s="20"/>
      <c r="AA80" s="20"/>
      <c r="AB80" s="20"/>
      <c r="AC80" s="20"/>
      <c r="AD80" s="20"/>
      <c r="AE80" s="20"/>
      <c r="AF80" s="20"/>
      <c r="AG80" s="20"/>
      <c r="AH80" s="20"/>
      <c r="AI80" s="20"/>
      <c r="AJ80" s="20"/>
      <c r="AK80" s="20"/>
      <c r="AL80" s="20"/>
      <c r="AM80" s="20"/>
      <c r="AN80" s="20"/>
      <c r="AO80" s="20"/>
      <c r="AP80" s="20"/>
      <c r="AQ80" s="20"/>
      <c r="AR80" s="20"/>
      <c r="AS80" s="20"/>
      <c r="AT80" s="20"/>
      <c r="AU80" s="20"/>
      <c r="AV80" s="20"/>
      <c r="AW80" s="20"/>
      <c r="AX80" s="20"/>
      <c r="AY80" s="20"/>
      <c r="AZ80" s="20"/>
      <c r="BA80" s="20"/>
      <c r="BB80" s="20"/>
      <c r="BC80" s="20"/>
      <c r="BD80" s="20"/>
      <c r="BE80" s="20"/>
      <c r="BF80" s="20"/>
      <c r="BG80" s="20"/>
      <c r="BH80" s="20"/>
    </row>
    <row r="81" spans="1:60" x14ac:dyDescent="0.25">
      <c r="A81" s="14" t="s">
        <v>173</v>
      </c>
      <c r="B81" s="21" t="s">
        <v>174</v>
      </c>
      <c r="C81" s="21" t="str">
        <f>IF(T81="TRUE",VLOOKUP(A81,'Stock Nodes'!$A$1:$D$63,4,FALSE),IF(U81="TRUE",VLOOKUP(A81,'CTT Nodes'!$A$1:$D$83,4,FALSE),VLOOKUP(A81,'ETT Nodes'!$A$1:$D$87,3,FALSE)))</f>
        <v>Nuclear Fuel Systems</v>
      </c>
      <c r="D81" s="21" t="str">
        <f>"Node"&amp;TEXT(X81,"0")&amp;"_"&amp;A81</f>
        <v>Node7_nuclearFuelSystems</v>
      </c>
      <c r="E81" s="22" t="str">
        <f>IF(OR(V81="TRUE",B81&lt;&gt;C81),"#LOC_ETT_"&amp;A81&amp;"_description",IF(T81="TRUE",VLOOKUP(A81,'Stock Nodes'!$A$1:$C$63,2,FALSE),IF(U81="TRUE",VLOOKUP(A81,'CTT Nodes'!$A$1:$D$83,2,FALSE))))</f>
        <v>#LOC_CTT_nuclearFuelSystems_description</v>
      </c>
      <c r="F81" s="58">
        <v>375</v>
      </c>
      <c r="G81" s="21">
        <f t="array" ref="G81">INDEX(TNodeCols,MATCH(1,MMULT(--(TTechTree=A81),TRANSPOSE(COLUMN(TTechTree)^0)),0))</f>
        <v>-2502.3000000000029</v>
      </c>
      <c r="H81" s="21">
        <f t="array" ref="H81">INDEX(NodeRows,MATCH(1,MMULT(--(TechTree=A81),TRANSPOSE(COLUMN(TechTree)^0)),0))</f>
        <v>1709</v>
      </c>
      <c r="I81" s="63" t="str">
        <f>TEXT(G81,"0") &amp; ", " &amp; TEXT(H81,"0") &amp;", -2"</f>
        <v>-2502, 1709, -2</v>
      </c>
      <c r="J81" s="63" t="str">
        <f>IF(T81="TRUE",VLOOKUP(A81,'Stock Nodes'!$A$1:$C$63,3,FALSE),IF(U81="TRUE",VLOOKUP(A81,'CTT Nodes'!$A$1:$G$83,7,FALSE),VLOOKUP(A81,'ETT Nodes'!$A$1:$E$87,5,FALSE)))</f>
        <v>ETTR/UI/CTT/ctt_icon_nuclearFuelSystems</v>
      </c>
      <c r="K81" s="63" t="s">
        <v>12</v>
      </c>
      <c r="L81" s="63" t="s">
        <v>2067</v>
      </c>
      <c r="M81" s="63" t="s">
        <v>2070</v>
      </c>
      <c r="N81" s="6"/>
      <c r="O81" s="63"/>
      <c r="P81" s="63"/>
      <c r="Q81" s="6"/>
      <c r="R81" s="63"/>
      <c r="S81" s="63"/>
      <c r="T81" s="25" t="str">
        <f>IF(ISNA(VLOOKUP(A81,'Stock Nodes'!$A$1:$C$63,1,FALSE)),"FALSE","TRUE")</f>
        <v>FALSE</v>
      </c>
      <c r="U81" s="25" t="str">
        <f>IF(ISNA(VLOOKUP(A81,'CTT Nodes'!$A$1:$D$83,1,FALSE)),"FALSE","TRUE")</f>
        <v>TRUE</v>
      </c>
      <c r="V81" s="25" t="str">
        <f>IF(OR(T81="TRUE",U81="TRUE"),"FALSE","TRUE")</f>
        <v>FALSE</v>
      </c>
      <c r="W81" s="68">
        <v>79</v>
      </c>
      <c r="X81" s="59">
        <v>7</v>
      </c>
      <c r="Y81" s="20"/>
      <c r="Z81" s="20"/>
      <c r="AA81" s="20"/>
      <c r="AB81" s="20"/>
      <c r="AC81" s="20"/>
      <c r="AD81" s="20"/>
      <c r="AE81" s="20"/>
      <c r="AF81" s="20"/>
      <c r="AG81" s="20"/>
      <c r="AH81" s="20"/>
      <c r="AI81" s="20"/>
      <c r="AJ81" s="20"/>
      <c r="AK81" s="20"/>
      <c r="AL81" s="20"/>
      <c r="AM81" s="20"/>
      <c r="AN81" s="20"/>
      <c r="AO81" s="20"/>
      <c r="AP81" s="20"/>
      <c r="AQ81" s="20"/>
      <c r="AR81" s="20"/>
      <c r="AS81" s="20"/>
      <c r="AT81" s="20"/>
      <c r="AU81" s="20"/>
      <c r="AV81" s="20"/>
      <c r="AW81" s="20"/>
      <c r="AX81" s="20"/>
      <c r="AY81" s="20"/>
      <c r="AZ81" s="20"/>
      <c r="BA81" s="20"/>
      <c r="BB81" s="20"/>
      <c r="BC81" s="20"/>
      <c r="BD81" s="20"/>
      <c r="BE81" s="20"/>
      <c r="BF81" s="20"/>
      <c r="BG81" s="20"/>
      <c r="BH81" s="20"/>
    </row>
    <row r="82" spans="1:60" x14ac:dyDescent="0.25">
      <c r="A82" s="14" t="s">
        <v>28</v>
      </c>
      <c r="B82" s="63" t="s">
        <v>29</v>
      </c>
      <c r="C82" s="21" t="str">
        <f>IF(T82="TRUE",VLOOKUP(A82,'Stock Nodes'!$A$1:$D$63,4,FALSE),IF(U82="TRUE",VLOOKUP(A82,'CTT Nodes'!$A$1:$D$83,4,FALSE),VLOOKUP(A82,'ETT Nodes'!$A$1:$D$87,3,FALSE)))</f>
        <v>High Energy Nuclear Power</v>
      </c>
      <c r="D82" s="21" t="str">
        <f>"Node"&amp;TEXT(X82,"0")&amp;"_"&amp;A82</f>
        <v>Node9_advNuclearPower</v>
      </c>
      <c r="E82" s="22" t="str">
        <f>IF(OR(V82="TRUE",B82&lt;&gt;C82),"#LOC_ETT_"&amp;A82&amp;"_description",IF(T82="TRUE",VLOOKUP(A82,'Stock Nodes'!$A$1:$C$63,2,FALSE),IF(U82="TRUE",VLOOKUP(A82,'CTT Nodes'!$A$1:$D$83,2,FALSE))))</f>
        <v>#LOC_CTT_advNuclearPower_description</v>
      </c>
      <c r="F82" s="58">
        <v>750</v>
      </c>
      <c r="G82" s="21">
        <f t="array" ref="G82">INDEX(TNodeCols,MATCH(1,MMULT(--(TTechTree=A82),TRANSPOSE(COLUMN(TTechTree)^0)),0))</f>
        <v>-2502.3000000000029</v>
      </c>
      <c r="H82" s="21">
        <f t="array" ref="H82">INDEX(NodeRows,MATCH(1,MMULT(--(TechTree=A82),TRANSPOSE(COLUMN(TechTree)^0)),0))</f>
        <v>1785</v>
      </c>
      <c r="I82" s="63" t="str">
        <f>TEXT(G82,"0") &amp; ", " &amp; TEXT(H82,"0") &amp;", -2"</f>
        <v>-2502, 1785, -2</v>
      </c>
      <c r="J82" s="63" t="str">
        <f>IF(T82="TRUE",VLOOKUP(A82,'Stock Nodes'!$A$1:$C$63,3,FALSE),IF(U82="TRUE",VLOOKUP(A82,'CTT Nodes'!$A$1:$G$83,7,FALSE),VLOOKUP(A82,'ETT Nodes'!$A$1:$E$87,5,FALSE)))</f>
        <v>ETTR/UI/CTT/ctt_icon_highEnergyNuclearPower</v>
      </c>
      <c r="K82" s="21" t="s">
        <v>173</v>
      </c>
      <c r="L82" s="63" t="s">
        <v>2067</v>
      </c>
      <c r="M82" s="63" t="s">
        <v>2070</v>
      </c>
      <c r="N82" s="6"/>
      <c r="O82" s="63"/>
      <c r="P82" s="63"/>
      <c r="Q82" s="6"/>
      <c r="R82" s="63"/>
      <c r="S82" s="63"/>
      <c r="T82" s="25" t="str">
        <f>IF(ISNA(VLOOKUP(A82,'Stock Nodes'!$A$1:$C$63,1,FALSE)),"FALSE","TRUE")</f>
        <v>FALSE</v>
      </c>
      <c r="U82" s="25" t="str">
        <f>IF(ISNA(VLOOKUP(A82,'CTT Nodes'!$A$1:$D$83,1,FALSE)),"FALSE","TRUE")</f>
        <v>TRUE</v>
      </c>
      <c r="V82" s="25" t="str">
        <f>IF(OR(T82="TRUE",U82="TRUE"),"FALSE","TRUE")</f>
        <v>FALSE</v>
      </c>
      <c r="W82" s="63">
        <v>80</v>
      </c>
      <c r="X82" s="59">
        <v>9</v>
      </c>
      <c r="Y82" s="20"/>
      <c r="Z82" s="20"/>
      <c r="AA82" s="20"/>
      <c r="AB82" s="20"/>
      <c r="AC82" s="20"/>
      <c r="AD82" s="20"/>
      <c r="AE82" s="20"/>
      <c r="AF82" s="20"/>
      <c r="AG82" s="20"/>
      <c r="AH82" s="20"/>
      <c r="AI82" s="20"/>
      <c r="AJ82" s="20"/>
      <c r="AK82" s="20"/>
      <c r="AL82" s="20"/>
      <c r="AM82" s="20"/>
      <c r="AN82" s="20"/>
      <c r="AO82" s="20"/>
      <c r="AP82" s="20"/>
      <c r="AQ82" s="20"/>
      <c r="AR82" s="20"/>
      <c r="AS82" s="20"/>
      <c r="AT82" s="20"/>
      <c r="AU82" s="20"/>
      <c r="AV82" s="20"/>
      <c r="AW82" s="20"/>
      <c r="AX82" s="20"/>
      <c r="AY82" s="20"/>
      <c r="AZ82" s="20"/>
      <c r="BA82" s="20"/>
      <c r="BB82" s="20"/>
      <c r="BC82" s="20"/>
      <c r="BD82" s="20"/>
      <c r="BE82" s="20"/>
      <c r="BF82" s="20"/>
      <c r="BG82" s="20"/>
      <c r="BH82" s="20"/>
    </row>
    <row r="83" spans="1:60" s="20" customFormat="1" x14ac:dyDescent="0.25">
      <c r="A83" s="21" t="s">
        <v>377</v>
      </c>
      <c r="B83" s="63" t="s">
        <v>376</v>
      </c>
      <c r="C83" s="21" t="str">
        <f>IF(T83="TRUE",VLOOKUP(A83,'Stock Nodes'!$A$1:$D$63,4,FALSE),IF(U83="TRUE",VLOOKUP(A83,'CTT Nodes'!$A$1:$D$83,4,FALSE),VLOOKUP(A83,'ETT Nodes'!$A$1:$D$87,3,FALSE)))</f>
        <v>Experimental Nuclear Power</v>
      </c>
      <c r="D83" s="21" t="str">
        <f>"Node"&amp;TEXT(X83,"0")&amp;"_"&amp;A83</f>
        <v>Node11_expNuclearPower</v>
      </c>
      <c r="E83" s="22" t="str">
        <f>IF(OR(V83="TRUE",B83&lt;&gt;C83),"#LOC_ETT_"&amp;A83&amp;"_description",IF(T83="TRUE",VLOOKUP(A83,'Stock Nodes'!$A$1:$C$63,2,FALSE),IF(U83="TRUE",VLOOKUP(A83,'CTT Nodes'!$A$1:$D$83,2,FALSE))))</f>
        <v>#LOC_CTT_expNuclearPower_description</v>
      </c>
      <c r="F83" s="58">
        <v>1500</v>
      </c>
      <c r="G83" s="21">
        <f t="array" ref="G83">INDEX(TNodeCols,MATCH(1,MMULT(--(TTechTree=A83),TRANSPOSE(COLUMN(TTechTree)^0)),0))</f>
        <v>-2502.3000000000029</v>
      </c>
      <c r="H83" s="21">
        <f t="array" ref="H83">INDEX(NodeRows,MATCH(1,MMULT(--(TechTree=A83),TRANSPOSE(COLUMN(TechTree)^0)),0))</f>
        <v>1861</v>
      </c>
      <c r="I83" s="63" t="str">
        <f>TEXT(G83,"0") &amp; ", " &amp; TEXT(H83,"0") &amp;", -2"</f>
        <v>-2502, 1861, -2</v>
      </c>
      <c r="J83" s="63" t="str">
        <f>IF(T83="TRUE",VLOOKUP(A83,'Stock Nodes'!$A$1:$C$63,3,FALSE),IF(U83="TRUE",VLOOKUP(A83,'CTT Nodes'!$A$1:$G$83,7,FALSE),VLOOKUP(A83,'ETT Nodes'!$A$1:$E$87,5,FALSE)))</f>
        <v>ETTR/UI/CTT/ctt_icon_highEnergyNuclearPower</v>
      </c>
      <c r="K83" s="21" t="s">
        <v>28</v>
      </c>
      <c r="L83" s="63" t="s">
        <v>2067</v>
      </c>
      <c r="M83" s="63" t="s">
        <v>2070</v>
      </c>
      <c r="N83" s="21"/>
      <c r="O83" s="63"/>
      <c r="P83" s="63"/>
      <c r="Q83" s="21"/>
      <c r="R83" s="63"/>
      <c r="S83" s="63"/>
      <c r="T83" s="25" t="str">
        <f>IF(ISNA(VLOOKUP(A83,'Stock Nodes'!$A$1:$C$63,1,FALSE)),"FALSE","TRUE")</f>
        <v>FALSE</v>
      </c>
      <c r="U83" s="25" t="str">
        <f>IF(ISNA(VLOOKUP(A83,'CTT Nodes'!$A$1:$D$83,1,FALSE)),"FALSE","TRUE")</f>
        <v>TRUE</v>
      </c>
      <c r="V83" s="25" t="str">
        <f>IF(OR(T83="TRUE",U83="TRUE"),"FALSE","TRUE")</f>
        <v>FALSE</v>
      </c>
      <c r="W83" s="68">
        <v>81</v>
      </c>
      <c r="X83" s="59">
        <v>11</v>
      </c>
    </row>
    <row r="84" spans="1:60" x14ac:dyDescent="0.25">
      <c r="A84" s="60" t="s">
        <v>373</v>
      </c>
      <c r="B84" s="65" t="s">
        <v>372</v>
      </c>
      <c r="C84" s="21" t="str">
        <f>IF(T84="TRUE",VLOOKUP(A84,'Stock Nodes'!$A$1:$D$63,4,FALSE),IF(U84="TRUE",VLOOKUP(A84,'CTT Nodes'!$A$1:$D$83,4,FALSE),VLOOKUP(A84,'ETT Nodes'!$A$1:$D$87,3,FALSE)))</f>
        <v>Exotic Nuclear Power</v>
      </c>
      <c r="D84" s="21" t="str">
        <f>"Node"&amp;TEXT(X84,"0")&amp;"_"&amp;A84</f>
        <v>Node16_exoticNuclearPower</v>
      </c>
      <c r="E84" s="22" t="str">
        <f>IF(OR(V84="TRUE",B84&lt;&gt;C84),"#LOC_ETT_"&amp;A84&amp;"_description",IF(T84="TRUE",VLOOKUP(A84,'Stock Nodes'!$A$1:$C$63,2,FALSE),IF(U84="TRUE",VLOOKUP(A84,'CTT Nodes'!$A$1:$D$83,2,FALSE))))</f>
        <v>#LOC_CTT_exoticNuclearPower_description</v>
      </c>
      <c r="F84" s="58">
        <v>4000</v>
      </c>
      <c r="G84" s="21">
        <f t="array" ref="G84">INDEX(TNodeCols,MATCH(1,MMULT(--(TTechTree=A84),TRANSPOSE(COLUMN(TTechTree)^0)),0))</f>
        <v>-2502.3000000000029</v>
      </c>
      <c r="H84" s="21">
        <f t="array" ref="H84">INDEX(NodeRows,MATCH(1,MMULT(--(TechTree=A84),TRANSPOSE(COLUMN(TechTree)^0)),0))</f>
        <v>1937</v>
      </c>
      <c r="I84" s="63" t="str">
        <f>TEXT(G84,"0") &amp; ", " &amp; TEXT(H84,"0") &amp;", -2"</f>
        <v>-2502, 1937, -2</v>
      </c>
      <c r="J84" s="63" t="str">
        <f>IF(T84="TRUE",VLOOKUP(A84,'Stock Nodes'!$A$1:$C$63,3,FALSE),IF(U84="TRUE",VLOOKUP(A84,'CTT Nodes'!$A$1:$G$83,7,FALSE),VLOOKUP(A84,'ETT Nodes'!$A$1:$E$87,5,FALSE)))</f>
        <v>ETTR/UI/CTT/ctt_icon_highEnergyNuclearPower</v>
      </c>
      <c r="K84" s="21" t="s">
        <v>377</v>
      </c>
      <c r="L84" s="63" t="s">
        <v>2067</v>
      </c>
      <c r="M84" s="63" t="s">
        <v>2070</v>
      </c>
      <c r="N84" s="6"/>
      <c r="O84" s="63"/>
      <c r="P84" s="63"/>
      <c r="Q84" s="6"/>
      <c r="R84" s="63"/>
      <c r="S84" s="63"/>
      <c r="T84" s="25" t="str">
        <f>IF(ISNA(VLOOKUP(A84,'Stock Nodes'!$A$1:$C$63,1,FALSE)),"FALSE","TRUE")</f>
        <v>FALSE</v>
      </c>
      <c r="U84" s="25" t="str">
        <f>IF(ISNA(VLOOKUP(A84,'CTT Nodes'!$A$1:$D$83,1,FALSE)),"FALSE","TRUE")</f>
        <v>TRUE</v>
      </c>
      <c r="V84" s="25" t="str">
        <f>IF(OR(T84="TRUE",U84="TRUE"),"FALSE","TRUE")</f>
        <v>FALSE</v>
      </c>
      <c r="W84" s="68">
        <v>82</v>
      </c>
      <c r="X84" s="59">
        <v>16</v>
      </c>
      <c r="Y84" s="20"/>
      <c r="Z84" s="20"/>
      <c r="AA84" s="20"/>
      <c r="AB84" s="20"/>
      <c r="AC84" s="20"/>
      <c r="AD84" s="20"/>
      <c r="AE84" s="20"/>
      <c r="AF84" s="20"/>
      <c r="AG84" s="20"/>
      <c r="AH84" s="20"/>
      <c r="AI84" s="20"/>
      <c r="AJ84" s="20"/>
      <c r="AK84" s="20"/>
      <c r="AL84" s="20"/>
      <c r="AM84" s="20"/>
      <c r="AN84" s="20"/>
      <c r="AO84" s="20"/>
      <c r="AP84" s="20"/>
      <c r="AQ84" s="20"/>
      <c r="AR84" s="20"/>
      <c r="AS84" s="20"/>
      <c r="AT84" s="20"/>
      <c r="AU84" s="20"/>
      <c r="AV84" s="20"/>
      <c r="AW84" s="20"/>
      <c r="AX84" s="20"/>
      <c r="AY84" s="20"/>
      <c r="AZ84" s="20"/>
      <c r="BA84" s="20"/>
      <c r="BB84" s="20"/>
      <c r="BC84" s="20"/>
      <c r="BD84" s="20"/>
      <c r="BE84" s="20"/>
      <c r="BF84" s="20"/>
      <c r="BG84" s="20"/>
      <c r="BH84" s="20"/>
    </row>
    <row r="85" spans="1:60" x14ac:dyDescent="0.25">
      <c r="A85" s="45" t="s">
        <v>32</v>
      </c>
      <c r="B85" s="63" t="s">
        <v>192</v>
      </c>
      <c r="C85" s="21" t="str">
        <f>IF(T85="TRUE",VLOOKUP(A85,'Stock Nodes'!$A$1:$D$63,4,FALSE),IF(U85="TRUE",VLOOKUP(A85,'CTT Nodes'!$A$1:$D$83,4,FALSE),VLOOKUP(A85,'ETT Nodes'!$A$1:$D$87,3,FALSE)))</f>
        <v>Nuclear Propulsion</v>
      </c>
      <c r="D85" s="21" t="str">
        <f>"Node"&amp;TEXT(X85,"0")&amp;"_"&amp;A85</f>
        <v>Node7_nuclearPropulsion</v>
      </c>
      <c r="E85" s="22" t="str">
        <f>IF(OR(V85="TRUE",B85&lt;&gt;C85),"#LOC_ETT_"&amp;A85&amp;"_description",IF(T85="TRUE",VLOOKUP(A85,'Stock Nodes'!$A$1:$C$63,2,FALSE),IF(U85="TRUE",VLOOKUP(A85,'CTT Nodes'!$A$1:$D$83,2,FALSE))))</f>
        <v>#autoLOC_501095 //#autoLOC_501095 = Nuclear engines don't burn fuel, they totally annihilate it. We just hope it doesn't begin any conflicts.</v>
      </c>
      <c r="F85" s="58">
        <v>375</v>
      </c>
      <c r="G85" s="21">
        <f t="array" ref="G85">INDEX(TNodeCols,MATCH(1,MMULT(--(TTechTree=A85),TRANSPOSE(COLUMN(TTechTree)^0)),0))</f>
        <v>-2580.6000000000031</v>
      </c>
      <c r="H85" s="21">
        <f t="array" ref="H85">INDEX(NodeRows,MATCH(1,MMULT(--(TechTree=A85),TRANSPOSE(COLUMN(TechTree)^0)),0))</f>
        <v>1709</v>
      </c>
      <c r="I85" s="63" t="str">
        <f>TEXT(G85,"0") &amp; ", " &amp; TEXT(H85,"0") &amp;", -2"</f>
        <v>-2581, 1709, -2</v>
      </c>
      <c r="J85" s="63" t="str">
        <f>IF(T85="TRUE",VLOOKUP(A85,'Stock Nodes'!$A$1:$C$63,3,FALSE),IF(U85="TRUE",VLOOKUP(A85,'CTT Nodes'!$A$1:$G$83,7,FALSE),VLOOKUP(A85,'ETT Nodes'!$A$1:$E$87,5,FALSE)))</f>
        <v>RDicon_propulsion-nuclear</v>
      </c>
      <c r="K85" s="63" t="s">
        <v>173</v>
      </c>
      <c r="L85" s="63" t="s">
        <v>2069</v>
      </c>
      <c r="M85" s="63" t="s">
        <v>2068</v>
      </c>
      <c r="N85" s="21"/>
      <c r="O85" s="63"/>
      <c r="P85" s="63"/>
      <c r="Q85" s="6"/>
      <c r="R85" s="63"/>
      <c r="S85" s="63"/>
      <c r="T85" s="25" t="str">
        <f>IF(ISNA(VLOOKUP(A85,'Stock Nodes'!$A$1:$C$63,1,FALSE)),"FALSE","TRUE")</f>
        <v>TRUE</v>
      </c>
      <c r="U85" s="25" t="str">
        <f>IF(ISNA(VLOOKUP(A85,'CTT Nodes'!$A$1:$D$83,1,FALSE)),"FALSE","TRUE")</f>
        <v>FALSE</v>
      </c>
      <c r="V85" s="25" t="str">
        <f>IF(OR(T85="TRUE",U85="TRUE"),"FALSE","TRUE")</f>
        <v>FALSE</v>
      </c>
      <c r="W85" s="63">
        <v>83</v>
      </c>
      <c r="X85" s="59">
        <v>7</v>
      </c>
      <c r="Y85" s="20"/>
      <c r="Z85" s="20"/>
      <c r="AA85" s="20"/>
      <c r="AB85" s="20"/>
      <c r="AC85" s="20"/>
      <c r="AD85" s="20"/>
      <c r="AE85" s="20"/>
      <c r="AF85" s="20"/>
      <c r="AG85" s="20"/>
      <c r="AH85" s="20"/>
      <c r="AI85" s="20"/>
      <c r="AJ85" s="20"/>
      <c r="AK85" s="20"/>
      <c r="AL85" s="20"/>
      <c r="AM85" s="20"/>
      <c r="AN85" s="20"/>
      <c r="AO85" s="20"/>
      <c r="AP85" s="20"/>
      <c r="AQ85" s="20"/>
      <c r="AR85" s="20"/>
      <c r="AS85" s="20"/>
      <c r="AT85" s="20"/>
      <c r="AU85" s="20"/>
      <c r="AV85" s="20"/>
      <c r="AW85" s="20"/>
      <c r="AX85" s="20"/>
      <c r="AY85" s="20"/>
      <c r="AZ85" s="20"/>
      <c r="BA85" s="20"/>
      <c r="BB85" s="20"/>
      <c r="BC85" s="20"/>
      <c r="BD85" s="20"/>
      <c r="BE85" s="20"/>
      <c r="BF85" s="20"/>
      <c r="BG85" s="20"/>
      <c r="BH85" s="20"/>
    </row>
    <row r="86" spans="1:60" x14ac:dyDescent="0.25">
      <c r="A86" s="14" t="s">
        <v>30</v>
      </c>
      <c r="B86" s="63" t="s">
        <v>31</v>
      </c>
      <c r="C86" s="21" t="str">
        <f>IF(T86="TRUE",VLOOKUP(A86,'Stock Nodes'!$A$1:$D$63,4,FALSE),IF(U86="TRUE",VLOOKUP(A86,'CTT Nodes'!$A$1:$D$83,4,FALSE),VLOOKUP(A86,'ETT Nodes'!$A$1:$D$87,3,FALSE)))</f>
        <v>Improved Nuclear Propulsion</v>
      </c>
      <c r="D86" s="21" t="str">
        <f>"Node"&amp;TEXT(X86,"0")&amp;"_"&amp;A86</f>
        <v>Node8_improvedNuclearPropulsion</v>
      </c>
      <c r="E86" s="22" t="str">
        <f>IF(OR(V86="TRUE",B86&lt;&gt;C86),"#LOC_ETT_"&amp;A86&amp;"_description",IF(T86="TRUE",VLOOKUP(A86,'Stock Nodes'!$A$1:$C$63,2,FALSE),IF(U86="TRUE",VLOOKUP(A86,'CTT Nodes'!$A$1:$D$83,2,FALSE))))</f>
        <v>#LOC_CTT_improvedNuclearPropulsion_description</v>
      </c>
      <c r="F86" s="58">
        <v>495</v>
      </c>
      <c r="G86" s="21">
        <f t="array" ref="G86">INDEX(TNodeCols,MATCH(1,MMULT(--(TTechTree=A86),TRANSPOSE(COLUMN(TTechTree)^0)),0))</f>
        <v>-2580.6000000000031</v>
      </c>
      <c r="H86" s="21">
        <f t="array" ref="H86">INDEX(NodeRows,MATCH(1,MMULT(--(TechTree=A86),TRANSPOSE(COLUMN(TechTree)^0)),0))</f>
        <v>1785</v>
      </c>
      <c r="I86" s="63" t="str">
        <f>TEXT(G86,"0") &amp; ", " &amp; TEXT(H86,"0") &amp;", -2"</f>
        <v>-2581, 1785, -2</v>
      </c>
      <c r="J86" s="63" t="str">
        <f>IF(T86="TRUE",VLOOKUP(A86,'Stock Nodes'!$A$1:$C$63,3,FALSE),IF(U86="TRUE",VLOOKUP(A86,'CTT Nodes'!$A$1:$G$83,7,FALSE),VLOOKUP(A86,'ETT Nodes'!$A$1:$E$87,5,FALSE)))</f>
        <v>ETTR/UI/CTT/ctt_icon_improvedNuclearPropulsion</v>
      </c>
      <c r="K86" s="6" t="s">
        <v>32</v>
      </c>
      <c r="L86" s="63" t="s">
        <v>2067</v>
      </c>
      <c r="M86" s="63" t="s">
        <v>2070</v>
      </c>
      <c r="N86" s="63"/>
      <c r="O86" s="63"/>
      <c r="P86" s="63"/>
      <c r="Q86" s="6"/>
      <c r="R86" s="63"/>
      <c r="S86" s="63"/>
      <c r="T86" s="25" t="str">
        <f>IF(ISNA(VLOOKUP(A86,'Stock Nodes'!$A$1:$C$63,1,FALSE)),"FALSE","TRUE")</f>
        <v>FALSE</v>
      </c>
      <c r="U86" s="25" t="str">
        <f>IF(ISNA(VLOOKUP(A86,'CTT Nodes'!$A$1:$D$83,1,FALSE)),"FALSE","TRUE")</f>
        <v>TRUE</v>
      </c>
      <c r="V86" s="25" t="str">
        <f>IF(OR(T86="TRUE",U86="TRUE"),"FALSE","TRUE")</f>
        <v>FALSE</v>
      </c>
      <c r="W86" s="68">
        <v>84</v>
      </c>
      <c r="X86" s="59">
        <v>8</v>
      </c>
      <c r="Y86" s="20"/>
      <c r="Z86" s="20"/>
      <c r="AA86" s="20"/>
      <c r="AB86" s="20"/>
      <c r="AC86" s="20"/>
      <c r="AD86" s="20"/>
      <c r="AE86" s="20"/>
      <c r="AF86" s="20"/>
      <c r="AG86" s="20"/>
      <c r="AH86" s="20"/>
      <c r="AI86" s="20"/>
      <c r="AJ86" s="20"/>
      <c r="AK86" s="20"/>
      <c r="AL86" s="20"/>
      <c r="AM86" s="20"/>
      <c r="AN86" s="20"/>
      <c r="AO86" s="20"/>
      <c r="AP86" s="20"/>
      <c r="AQ86" s="20"/>
      <c r="AR86" s="20"/>
      <c r="AS86" s="20"/>
      <c r="AT86" s="20"/>
      <c r="AU86" s="20"/>
      <c r="AV86" s="20"/>
      <c r="AW86" s="20"/>
      <c r="AX86" s="20"/>
      <c r="AY86" s="20"/>
      <c r="AZ86" s="20"/>
      <c r="BA86" s="20"/>
      <c r="BB86" s="20"/>
      <c r="BC86" s="20"/>
      <c r="BD86" s="20"/>
      <c r="BE86" s="20"/>
      <c r="BF86" s="20"/>
      <c r="BG86" s="20"/>
      <c r="BH86" s="20"/>
    </row>
    <row r="87" spans="1:60" x14ac:dyDescent="0.25">
      <c r="A87" s="14" t="s">
        <v>33</v>
      </c>
      <c r="B87" s="21" t="s">
        <v>244</v>
      </c>
      <c r="C87" s="21" t="str">
        <f>IF(T87="TRUE",VLOOKUP(A87,'Stock Nodes'!$A$1:$D$63,4,FALSE),IF(U87="TRUE",VLOOKUP(A87,'CTT Nodes'!$A$1:$D$83,4,FALSE),VLOOKUP(A87,'ETT Nodes'!$A$1:$D$87,3,FALSE)))</f>
        <v>High Efficiency Nuclear Propulsion</v>
      </c>
      <c r="D87" s="21" t="str">
        <f>"Node"&amp;TEXT(X87,"0")&amp;"_"&amp;A87</f>
        <v>Node10_advNuclearPropulsion</v>
      </c>
      <c r="E87" s="22" t="str">
        <f>IF(OR(V87="TRUE",B87&lt;&gt;C87),"#LOC_ETT_"&amp;A87&amp;"_description",IF(T87="TRUE",VLOOKUP(A87,'Stock Nodes'!$A$1:$C$63,2,FALSE),IF(U87="TRUE",VLOOKUP(A87,'CTT Nodes'!$A$1:$D$83,2,FALSE))))</f>
        <v>#LOC_ETT_advNuclearPropulsion_description</v>
      </c>
      <c r="F87" s="58">
        <v>1000</v>
      </c>
      <c r="G87" s="63">
        <f t="array" ref="G87">INDEX(TNodeCols,MATCH(1,MMULT(--(TTechTree=A87),TRANSPOSE(COLUMN(TTechTree)^0)),0))</f>
        <v>-2580.6000000000031</v>
      </c>
      <c r="H87" s="21">
        <f t="array" ref="H87">INDEX(NodeRows,MATCH(1,MMULT(--(TechTree=A87),TRANSPOSE(COLUMN(TechTree)^0)),0))</f>
        <v>1861</v>
      </c>
      <c r="I87" s="63" t="str">
        <f>TEXT(G87,"0") &amp; ", " &amp; TEXT(H87,"0") &amp;", -2"</f>
        <v>-2581, 1861, -2</v>
      </c>
      <c r="J87" s="63" t="str">
        <f>IF(T87="TRUE",VLOOKUP(A87,'Stock Nodes'!$A$1:$C$63,3,FALSE),IF(U87="TRUE",VLOOKUP(A87,'CTT Nodes'!$A$1:$G$83,7,FALSE),VLOOKUP(A87,'ETT Nodes'!$A$1:$E$87,5,FALSE)))</f>
        <v>ETTR/UI/CTT/ctt_icon_highEfficiencyNuclearPropulsion</v>
      </c>
      <c r="K87" s="63" t="s">
        <v>30</v>
      </c>
      <c r="L87" s="63" t="s">
        <v>2067</v>
      </c>
      <c r="M87" s="63" t="s">
        <v>2070</v>
      </c>
      <c r="N87" s="21"/>
      <c r="O87" s="63"/>
      <c r="P87" s="63"/>
      <c r="Q87" s="6"/>
      <c r="R87" s="63"/>
      <c r="S87" s="63"/>
      <c r="T87" s="25" t="str">
        <f>IF(ISNA(VLOOKUP(A87,'Stock Nodes'!$A$1:$C$63,1,FALSE)),"FALSE","TRUE")</f>
        <v>FALSE</v>
      </c>
      <c r="U87" s="25" t="str">
        <f>IF(ISNA(VLOOKUP(A87,'CTT Nodes'!$A$1:$D$83,1,FALSE)),"FALSE","TRUE")</f>
        <v>TRUE</v>
      </c>
      <c r="V87" s="25" t="str">
        <f>IF(OR(T87="TRUE",U87="TRUE"),"FALSE","TRUE")</f>
        <v>FALSE</v>
      </c>
      <c r="W87" s="68">
        <v>85</v>
      </c>
      <c r="X87" s="59">
        <v>10</v>
      </c>
      <c r="Y87" s="20"/>
      <c r="Z87" s="20"/>
      <c r="AA87" s="20"/>
      <c r="AB87" s="20"/>
      <c r="AC87" s="20"/>
      <c r="AD87" s="20"/>
      <c r="AE87" s="20"/>
      <c r="AF87" s="20"/>
      <c r="AG87" s="20"/>
      <c r="AH87" s="20"/>
      <c r="AI87" s="20"/>
      <c r="AJ87" s="20"/>
      <c r="AK87" s="20"/>
      <c r="AL87" s="20"/>
      <c r="AM87" s="20"/>
      <c r="AN87" s="20"/>
      <c r="AO87" s="20"/>
      <c r="AP87" s="20"/>
      <c r="AQ87" s="20"/>
      <c r="AR87" s="20"/>
      <c r="AS87" s="20"/>
      <c r="AT87" s="20"/>
      <c r="AU87" s="20"/>
      <c r="AV87" s="20"/>
      <c r="AW87" s="20"/>
      <c r="AX87" s="20"/>
      <c r="AY87" s="20"/>
      <c r="AZ87" s="20"/>
      <c r="BA87" s="20"/>
      <c r="BB87" s="20"/>
      <c r="BC87" s="20"/>
      <c r="BD87" s="20"/>
      <c r="BE87" s="20"/>
      <c r="BF87" s="20"/>
      <c r="BG87" s="20"/>
      <c r="BH87" s="20"/>
    </row>
    <row r="88" spans="1:60" x14ac:dyDescent="0.25">
      <c r="A88" s="21" t="s">
        <v>466</v>
      </c>
      <c r="B88" s="21" t="s">
        <v>34</v>
      </c>
      <c r="C88" s="21" t="str">
        <f>IF(T88="TRUE",VLOOKUP(A88,'Stock Nodes'!$A$1:$D$63,4,FALSE),IF(U88="TRUE",VLOOKUP(A88,'CTT Nodes'!$A$1:$D$83,4,FALSE),VLOOKUP(A88,'ETT Nodes'!$A$1:$D$87,3,FALSE)))</f>
        <v>High Efficiency Nuclear Propulsion</v>
      </c>
      <c r="D88" s="21" t="str">
        <f>"Node"&amp;TEXT(X88,"0")&amp;"_"&amp;A88</f>
        <v>Node11_highEfficiencyNuclear</v>
      </c>
      <c r="E88" s="22" t="str">
        <f>IF(OR(V88="TRUE",B88&lt;&gt;C88),"#LOC_ETT_"&amp;A88&amp;"_description",IF(T88="TRUE",VLOOKUP(A88,'Stock Nodes'!$A$1:$C$63,2,FALSE),IF(U88="TRUE",VLOOKUP(A88,'CTT Nodes'!$A$1:$D$83,2,FALSE))))</f>
        <v>#LOC_ETT_highEfficiencyNuclear_description</v>
      </c>
      <c r="F88" s="58">
        <v>1500</v>
      </c>
      <c r="G88" s="21">
        <f t="array" ref="G88">INDEX(TNodeCols,MATCH(1,MMULT(--(TTechTree=A88),TRANSPOSE(COLUMN(TTechTree)^0)),0))</f>
        <v>-2580.6000000000031</v>
      </c>
      <c r="H88" s="21">
        <f t="array" ref="H88">INDEX(NodeRows,MATCH(1,MMULT(--(TechTree=A88),TRANSPOSE(COLUMN(TechTree)^0)),0))</f>
        <v>1937</v>
      </c>
      <c r="I88" s="63" t="str">
        <f>TEXT(G88,"0") &amp; ", " &amp; TEXT(H88,"0") &amp;", -2"</f>
        <v>-2581, 1937, -2</v>
      </c>
      <c r="J88" s="63">
        <f>IF(T88="TRUE",VLOOKUP(A88,'Stock Nodes'!$A$1:$C$63,3,FALSE),IF(U88="TRUE",VLOOKUP(A88,'CTT Nodes'!$A$1:$G$83,7,FALSE),VLOOKUP(A88,'ETT Nodes'!$A$1:$E$87,5,FALSE)))</f>
        <v>0</v>
      </c>
      <c r="K88" s="21" t="s">
        <v>33</v>
      </c>
      <c r="L88" s="63" t="s">
        <v>2067</v>
      </c>
      <c r="M88" s="63" t="s">
        <v>2070</v>
      </c>
      <c r="N88" s="6"/>
      <c r="O88" s="63"/>
      <c r="P88" s="63"/>
      <c r="Q88" s="6"/>
      <c r="R88" s="63"/>
      <c r="S88" s="63"/>
      <c r="T88" s="25" t="str">
        <f>IF(ISNA(VLOOKUP(A88,'Stock Nodes'!$A$1:$C$63,1,FALSE)),"FALSE","TRUE")</f>
        <v>FALSE</v>
      </c>
      <c r="U88" s="25" t="str">
        <f>IF(ISNA(VLOOKUP(A88,'CTT Nodes'!$A$1:$D$83,1,FALSE)),"FALSE","TRUE")</f>
        <v>FALSE</v>
      </c>
      <c r="V88" s="25" t="str">
        <f>IF(OR(T88="TRUE",U88="TRUE"),"FALSE","TRUE")</f>
        <v>TRUE</v>
      </c>
      <c r="W88" s="63">
        <v>86</v>
      </c>
      <c r="X88" s="59">
        <v>11</v>
      </c>
      <c r="Y88" s="20"/>
      <c r="Z88" s="20"/>
      <c r="AA88" s="20"/>
      <c r="AB88" s="20"/>
      <c r="AC88" s="20"/>
      <c r="AD88" s="20"/>
      <c r="AE88" s="20"/>
      <c r="AF88" s="20"/>
      <c r="AG88" s="20"/>
      <c r="AH88" s="20"/>
      <c r="AI88" s="20"/>
      <c r="AJ88" s="20"/>
      <c r="AK88" s="20"/>
      <c r="AL88" s="20"/>
      <c r="AM88" s="20"/>
      <c r="AN88" s="20"/>
      <c r="AO88" s="20"/>
      <c r="AP88" s="20"/>
      <c r="AQ88" s="20"/>
      <c r="AR88" s="20"/>
      <c r="AS88" s="20"/>
      <c r="AT88" s="20"/>
      <c r="AU88" s="20"/>
      <c r="AV88" s="20"/>
      <c r="AW88" s="20"/>
      <c r="AX88" s="20"/>
      <c r="AY88" s="20"/>
      <c r="AZ88" s="20"/>
      <c r="BA88" s="20"/>
      <c r="BB88" s="20"/>
      <c r="BC88" s="20"/>
      <c r="BD88" s="20"/>
      <c r="BE88" s="20"/>
      <c r="BF88" s="20"/>
      <c r="BG88" s="20"/>
      <c r="BH88" s="20"/>
    </row>
    <row r="89" spans="1:60" x14ac:dyDescent="0.25">
      <c r="A89" s="14" t="s">
        <v>209</v>
      </c>
      <c r="B89" s="63" t="s">
        <v>210</v>
      </c>
      <c r="C89" s="21" t="str">
        <f>IF(T89="TRUE",VLOOKUP(A89,'Stock Nodes'!$A$1:$D$63,4,FALSE),IF(U89="TRUE",VLOOKUP(A89,'CTT Nodes'!$A$1:$D$83,4,FALSE),VLOOKUP(A89,'ETT Nodes'!$A$1:$D$87,3,FALSE)))</f>
        <v>Experimental Nuclear Propulsion</v>
      </c>
      <c r="D89" s="21" t="str">
        <f>"Node"&amp;TEXT(X89,"0")&amp;"_"&amp;A89</f>
        <v>Node12_expNuclearPropulsion</v>
      </c>
      <c r="E89" s="22" t="str">
        <f>IF(OR(V89="TRUE",B89&lt;&gt;C89),"#LOC_ETT_"&amp;A89&amp;"_description",IF(T89="TRUE",VLOOKUP(A89,'Stock Nodes'!$A$1:$C$63,2,FALSE),IF(U89="TRUE",VLOOKUP(A89,'CTT Nodes'!$A$1:$D$83,2,FALSE))))</f>
        <v>#LOC_CTT_expNuclearPropulsion_description</v>
      </c>
      <c r="F89" s="58">
        <v>1750</v>
      </c>
      <c r="G89" s="21">
        <f t="array" ref="G89">INDEX(TNodeCols,MATCH(1,MMULT(--(TTechTree=A89),TRANSPOSE(COLUMN(TTechTree)^0)),0))</f>
        <v>-2580.6000000000031</v>
      </c>
      <c r="H89" s="21">
        <f t="array" ref="H89">INDEX(NodeRows,MATCH(1,MMULT(--(TechTree=A89),TRANSPOSE(COLUMN(TechTree)^0)),0))</f>
        <v>2013</v>
      </c>
      <c r="I89" s="63" t="str">
        <f>TEXT(G89,"0") &amp; ", " &amp; TEXT(H89,"0") &amp;", -2"</f>
        <v>-2581, 2013, -2</v>
      </c>
      <c r="J89" s="63" t="str">
        <f>IF(T89="TRUE",VLOOKUP(A89,'Stock Nodes'!$A$1:$C$63,3,FALSE),IF(U89="TRUE",VLOOKUP(A89,'CTT Nodes'!$A$1:$G$83,7,FALSE),VLOOKUP(A89,'ETT Nodes'!$A$1:$E$87,5,FALSE)))</f>
        <v>ETTR/UI/CTT/ctt_icon_experimentalNuclearPropulsion</v>
      </c>
      <c r="K89" s="63" t="s">
        <v>466</v>
      </c>
      <c r="L89" s="63" t="s">
        <v>2067</v>
      </c>
      <c r="M89" s="63" t="s">
        <v>2070</v>
      </c>
      <c r="N89" s="6"/>
      <c r="O89" s="63"/>
      <c r="P89" s="63"/>
      <c r="Q89" s="6"/>
      <c r="R89" s="63"/>
      <c r="S89" s="63"/>
      <c r="T89" s="25" t="str">
        <f>IF(ISNA(VLOOKUP(A89,'Stock Nodes'!$A$1:$C$63,1,FALSE)),"FALSE","TRUE")</f>
        <v>FALSE</v>
      </c>
      <c r="U89" s="25" t="str">
        <f>IF(ISNA(VLOOKUP(A89,'CTT Nodes'!$A$1:$D$83,1,FALSE)),"FALSE","TRUE")</f>
        <v>TRUE</v>
      </c>
      <c r="V89" s="25" t="str">
        <f>IF(OR(T89="TRUE",U89="TRUE"),"FALSE","TRUE")</f>
        <v>FALSE</v>
      </c>
      <c r="W89" s="68">
        <v>87</v>
      </c>
      <c r="X89" s="59">
        <v>12</v>
      </c>
      <c r="Y89" s="20"/>
      <c r="Z89" s="20"/>
      <c r="AA89" s="20"/>
      <c r="AB89" s="20"/>
      <c r="AC89" s="20"/>
      <c r="AD89" s="20"/>
      <c r="AE89" s="20"/>
      <c r="AF89" s="20"/>
      <c r="AG89" s="20"/>
      <c r="AH89" s="20"/>
      <c r="AI89" s="20"/>
      <c r="AJ89" s="20"/>
      <c r="AK89" s="20"/>
      <c r="AL89" s="20"/>
      <c r="AM89" s="20"/>
      <c r="AN89" s="20"/>
      <c r="AO89" s="20"/>
      <c r="AP89" s="20"/>
      <c r="AQ89" s="20"/>
      <c r="AR89" s="20"/>
      <c r="AS89" s="20"/>
      <c r="AT89" s="20"/>
      <c r="AU89" s="20"/>
      <c r="AV89" s="20"/>
      <c r="AW89" s="20"/>
      <c r="AX89" s="20"/>
      <c r="AY89" s="20"/>
      <c r="AZ89" s="20"/>
      <c r="BA89" s="20"/>
      <c r="BB89" s="20"/>
      <c r="BC89" s="20"/>
      <c r="BD89" s="20"/>
      <c r="BE89" s="20"/>
      <c r="BF89" s="20"/>
      <c r="BG89" s="20"/>
      <c r="BH89" s="20"/>
    </row>
    <row r="90" spans="1:60" s="20" customFormat="1" x14ac:dyDescent="0.25">
      <c r="A90" s="21" t="s">
        <v>211</v>
      </c>
      <c r="B90" s="63" t="s">
        <v>212</v>
      </c>
      <c r="C90" s="21" t="str">
        <f>IF(T90="TRUE",VLOOKUP(A90,'Stock Nodes'!$A$1:$D$63,4,FALSE),IF(U90="TRUE",VLOOKUP(A90,'CTT Nodes'!$A$1:$D$83,4,FALSE),VLOOKUP(A90,'ETT Nodes'!$A$1:$D$87,3,FALSE)))</f>
        <v>Exotic Nuclear Propulsion</v>
      </c>
      <c r="D90" s="21" t="str">
        <f>"Node"&amp;TEXT(X90,"0")&amp;"_"&amp;A90</f>
        <v>Node13_exoticNuclearPropulsion</v>
      </c>
      <c r="E90" s="22" t="str">
        <f>IF(OR(V90="TRUE",B90&lt;&gt;C90),"#LOC_ETT_"&amp;A90&amp;"_description",IF(T90="TRUE",VLOOKUP(A90,'Stock Nodes'!$A$1:$C$63,2,FALSE),IF(U90="TRUE",VLOOKUP(A90,'CTT Nodes'!$A$1:$D$83,2,FALSE))))</f>
        <v>#LOC_CTT_exoticNuclearPropulsion_description</v>
      </c>
      <c r="F90" s="58">
        <v>2250</v>
      </c>
      <c r="G90" s="21">
        <f t="array" ref="G90">INDEX(TNodeCols,MATCH(1,MMULT(--(TTechTree=A90),TRANSPOSE(COLUMN(TTechTree)^0)),0))</f>
        <v>-2580.6000000000031</v>
      </c>
      <c r="H90" s="21">
        <f t="array" ref="H90">INDEX(NodeRows,MATCH(1,MMULT(--(TechTree=A90),TRANSPOSE(COLUMN(TechTree)^0)),0))</f>
        <v>2089</v>
      </c>
      <c r="I90" s="63" t="str">
        <f>TEXT(G90,"0") &amp; ", " &amp; TEXT(H90,"0") &amp;", -2"</f>
        <v>-2581, 2089, -2</v>
      </c>
      <c r="J90" s="63" t="str">
        <f>IF(T90="TRUE",VLOOKUP(A90,'Stock Nodes'!$A$1:$C$63,3,FALSE),IF(U90="TRUE",VLOOKUP(A90,'CTT Nodes'!$A$1:$G$83,7,FALSE),VLOOKUP(A90,'ETT Nodes'!$A$1:$E$87,5,FALSE)))</f>
        <v>ETTR/UI/CTT/ctt_icon_exoticNuclearPropulsion</v>
      </c>
      <c r="K90" s="21" t="s">
        <v>209</v>
      </c>
      <c r="L90" s="63" t="s">
        <v>2067</v>
      </c>
      <c r="M90" s="63" t="s">
        <v>2070</v>
      </c>
      <c r="N90" s="21"/>
      <c r="O90" s="63"/>
      <c r="P90" s="63"/>
      <c r="Q90" s="21"/>
      <c r="R90" s="63"/>
      <c r="S90" s="63"/>
      <c r="T90" s="25" t="str">
        <f>IF(ISNA(VLOOKUP(A90,'Stock Nodes'!$A$1:$C$63,1,FALSE)),"FALSE","TRUE")</f>
        <v>FALSE</v>
      </c>
      <c r="U90" s="25" t="str">
        <f>IF(ISNA(VLOOKUP(A90,'CTT Nodes'!$A$1:$D$83,1,FALSE)),"FALSE","TRUE")</f>
        <v>TRUE</v>
      </c>
      <c r="V90" s="25" t="str">
        <f>IF(OR(T90="TRUE",U90="TRUE"),"FALSE","TRUE")</f>
        <v>FALSE</v>
      </c>
      <c r="W90" s="68">
        <v>88</v>
      </c>
      <c r="X90" s="59">
        <v>13</v>
      </c>
    </row>
    <row r="91" spans="1:60" x14ac:dyDescent="0.25">
      <c r="A91" s="63" t="s">
        <v>204</v>
      </c>
      <c r="B91" s="63" t="s">
        <v>354</v>
      </c>
      <c r="C91" s="21" t="str">
        <f>IF(T91="TRUE",VLOOKUP(A91,'Stock Nodes'!$A$1:$D$63,4,FALSE),IF(U91="TRUE",VLOOKUP(A91,'CTT Nodes'!$A$1:$D$83,4,FALSE),VLOOKUP(A91,'ETT Nodes'!$A$1:$D$87,3,FALSE)))</f>
        <v>Antimatter Power</v>
      </c>
      <c r="D91" s="21" t="str">
        <f>"Node"&amp;TEXT(X91,"0")&amp;"_"&amp;A91</f>
        <v>Node14_antimatterPower</v>
      </c>
      <c r="E91" s="22" t="str">
        <f>IF(OR(V91="TRUE",B91&lt;&gt;C91),"#LOC_ETT_"&amp;A91&amp;"_description",IF(T91="TRUE",VLOOKUP(A91,'Stock Nodes'!$A$1:$C$63,2,FALSE),IF(U91="TRUE",VLOOKUP(A91,'CTT Nodes'!$A$1:$D$83,2,FALSE))))</f>
        <v>#LOC_ETT_antimatterPower_description</v>
      </c>
      <c r="F91" s="58">
        <v>2750</v>
      </c>
      <c r="G91" s="21">
        <f t="array" ref="G91">INDEX(TNodeCols,MATCH(1,MMULT(--(TTechTree=A91),TRANSPOSE(COLUMN(TTechTree)^0)),0))</f>
        <v>-2580.6000000000031</v>
      </c>
      <c r="H91" s="21">
        <f t="array" ref="H91">INDEX(NodeRows,MATCH(1,MMULT(--(TechTree=A91),TRANSPOSE(COLUMN(TechTree)^0)),0))</f>
        <v>2165</v>
      </c>
      <c r="I91" s="63" t="str">
        <f>TEXT(G91,"0") &amp; ", " &amp; TEXT(H91,"0") &amp;", -2"</f>
        <v>-2581, 2165, -2</v>
      </c>
      <c r="J91" s="63" t="str">
        <f>IF(T91="TRUE",VLOOKUP(A91,'Stock Nodes'!$A$1:$C$63,3,FALSE),IF(U91="TRUE",VLOOKUP(A91,'CTT Nodes'!$A$1:$G$83,7,FALSE),VLOOKUP(A91,'ETT Nodes'!$A$1:$E$87,5,FALSE)))</f>
        <v>ETTR/UI/CTT/ctt_icon_antimatterPower</v>
      </c>
      <c r="K91" s="63" t="s">
        <v>211</v>
      </c>
      <c r="L91" s="63" t="s">
        <v>2067</v>
      </c>
      <c r="M91" s="63" t="s">
        <v>2070</v>
      </c>
      <c r="N91" s="63"/>
      <c r="O91" s="63"/>
      <c r="P91" s="63"/>
      <c r="Q91" s="63"/>
      <c r="R91" s="63"/>
      <c r="S91" s="63"/>
      <c r="T91" s="25" t="str">
        <f>IF(ISNA(VLOOKUP(A91,'Stock Nodes'!$A$1:$C$63,1,FALSE)),"FALSE","TRUE")</f>
        <v>FALSE</v>
      </c>
      <c r="U91" s="25" t="str">
        <f>IF(ISNA(VLOOKUP(A91,'CTT Nodes'!$A$1:$D$83,1,FALSE)),"FALSE","TRUE")</f>
        <v>TRUE</v>
      </c>
      <c r="V91" s="25" t="str">
        <f>IF(OR(T91="TRUE",U91="TRUE"),"FALSE","TRUE")</f>
        <v>FALSE</v>
      </c>
      <c r="W91" s="63">
        <v>89</v>
      </c>
      <c r="X91" s="59">
        <v>14</v>
      </c>
      <c r="Y91" s="20"/>
      <c r="Z91" s="20"/>
      <c r="AA91" s="20"/>
      <c r="AB91" s="20"/>
      <c r="AC91" s="20"/>
      <c r="AD91" s="20"/>
      <c r="AE91" s="20"/>
      <c r="AF91" s="20"/>
      <c r="AG91" s="20"/>
      <c r="AH91" s="20"/>
      <c r="AI91" s="20"/>
      <c r="AJ91" s="20"/>
      <c r="AK91" s="20"/>
      <c r="AL91" s="20"/>
      <c r="AM91" s="20"/>
      <c r="AN91" s="20"/>
      <c r="AO91" s="20"/>
      <c r="AP91" s="20"/>
      <c r="AQ91" s="20"/>
      <c r="AR91" s="20"/>
      <c r="AS91" s="20"/>
      <c r="AT91" s="20"/>
      <c r="AU91" s="20"/>
      <c r="AV91" s="20"/>
      <c r="AW91" s="20"/>
      <c r="AX91" s="20"/>
      <c r="AY91" s="20"/>
      <c r="AZ91" s="20"/>
      <c r="BA91" s="20"/>
      <c r="BB91" s="20"/>
      <c r="BC91" s="20"/>
      <c r="BD91" s="20"/>
      <c r="BE91" s="20"/>
      <c r="BF91" s="20"/>
      <c r="BG91" s="20"/>
      <c r="BH91" s="20"/>
    </row>
    <row r="92" spans="1:60" s="20" customFormat="1" x14ac:dyDescent="0.25">
      <c r="A92" s="63" t="s">
        <v>207</v>
      </c>
      <c r="B92" s="63" t="s">
        <v>208</v>
      </c>
      <c r="C92" s="21" t="str">
        <f>IF(T92="TRUE",VLOOKUP(A92,'Stock Nodes'!$A$1:$D$63,4,FALSE),IF(U92="TRUE",VLOOKUP(A92,'CTT Nodes'!$A$1:$D$83,4,FALSE),VLOOKUP(A92,'ETT Nodes'!$A$1:$D$87,3,FALSE)))</f>
        <v>Unified Field Theory</v>
      </c>
      <c r="D92" s="21" t="str">
        <f>"Node"&amp;TEXT(X92,"0")&amp;"_"&amp;A92</f>
        <v>Node18_unifiedFieldTheory</v>
      </c>
      <c r="E92" s="22" t="str">
        <f>IF(OR(V92="TRUE",B92&lt;&gt;C92),"#LOC_ETT_"&amp;A92&amp;"_description",IF(T92="TRUE",VLOOKUP(A92,'Stock Nodes'!$A$1:$C$63,2,FALSE),IF(U92="TRUE",VLOOKUP(A92,'CTT Nodes'!$A$1:$D$83,2,FALSE))))</f>
        <v>#LOC_CTT_unifiedFieldTheory_description</v>
      </c>
      <c r="F92" s="58">
        <v>6000</v>
      </c>
      <c r="G92" s="21">
        <f t="array" ref="G92">INDEX(TNodeCols,MATCH(1,MMULT(--(TTechTree=A92),TRANSPOSE(COLUMN(TTechTree)^0)),0))</f>
        <v>-2737.2000000000035</v>
      </c>
      <c r="H92" s="21">
        <f t="array" ref="H92">INDEX(NodeRows,MATCH(1,MMULT(--(TechTree=A92),TRANSPOSE(COLUMN(TechTree)^0)),0))</f>
        <v>2089</v>
      </c>
      <c r="I92" s="63" t="str">
        <f>TEXT(G92,"0") &amp; ", " &amp; TEXT(H92,"0") &amp;", -2"</f>
        <v>-2737, 2089, -2</v>
      </c>
      <c r="J92" s="63" t="str">
        <f>IF(T92="TRUE",VLOOKUP(A92,'Stock Nodes'!$A$1:$C$63,3,FALSE),IF(U92="TRUE",VLOOKUP(A92,'CTT Nodes'!$A$1:$G$83,7,FALSE),VLOOKUP(A92,'ETT Nodes'!$A$1:$E$87,5,FALSE)))</f>
        <v>ETTR/UI/CTT/ctt_icon_unifiedFieldTheory</v>
      </c>
      <c r="K92" s="63" t="s">
        <v>201</v>
      </c>
      <c r="L92" s="63" t="s">
        <v>2069</v>
      </c>
      <c r="M92" s="63" t="s">
        <v>2068</v>
      </c>
      <c r="N92" s="63"/>
      <c r="O92" s="63"/>
      <c r="P92" s="63"/>
      <c r="Q92" s="63"/>
      <c r="R92" s="63"/>
      <c r="S92" s="63"/>
      <c r="T92" s="25" t="str">
        <f>IF(ISNA(VLOOKUP(A92,'Stock Nodes'!$A$1:$C$63,1,FALSE)),"FALSE","TRUE")</f>
        <v>FALSE</v>
      </c>
      <c r="U92" s="25" t="str">
        <f>IF(ISNA(VLOOKUP(A92,'CTT Nodes'!$A$1:$D$83,1,FALSE)),"FALSE","TRUE")</f>
        <v>TRUE</v>
      </c>
      <c r="V92" s="25" t="str">
        <f>IF(OR(T92="TRUE",U92="TRUE"),"FALSE","TRUE")</f>
        <v>FALSE</v>
      </c>
      <c r="W92" s="68">
        <v>90</v>
      </c>
      <c r="X92" s="59">
        <v>18</v>
      </c>
    </row>
    <row r="93" spans="1:60" x14ac:dyDescent="0.25">
      <c r="A93" s="63" t="s">
        <v>206</v>
      </c>
      <c r="B93" s="63" t="s">
        <v>452</v>
      </c>
      <c r="C93" s="21" t="str">
        <f>IF(T93="TRUE",VLOOKUP(A93,'Stock Nodes'!$A$1:$D$63,4,FALSE),IF(U93="TRUE",VLOOKUP(A93,'CTT Nodes'!$A$1:$D$83,4,FALSE),VLOOKUP(A93,'ETT Nodes'!$A$1:$D$87,3,FALSE)))</f>
        <v>Ultra High Energy Physics</v>
      </c>
      <c r="D93" s="21" t="str">
        <f>"Node"&amp;TEXT(X93,"0")&amp;"_"&amp;A93</f>
        <v>Node20_ultraHighEnergyPhysics</v>
      </c>
      <c r="E93" s="22" t="str">
        <f>IF(OR(V93="TRUE",B93&lt;&gt;C93),"#LOC_ETT_"&amp;A93&amp;"_description",IF(T93="TRUE",VLOOKUP(A93,'Stock Nodes'!$A$1:$C$63,2,FALSE),IF(U93="TRUE",VLOOKUP(A93,'CTT Nodes'!$A$1:$D$83,2,FALSE))))</f>
        <v>#LOC_CTT_ultraHighEnergyPhysics_description</v>
      </c>
      <c r="F93" s="58">
        <v>8000</v>
      </c>
      <c r="G93" s="21">
        <f t="array" ref="G93">INDEX(TNodeCols,MATCH(1,MMULT(--(TTechTree=A93),TRANSPOSE(COLUMN(TTechTree)^0)),0))</f>
        <v>-2815.5000000000036</v>
      </c>
      <c r="H93" s="21">
        <f t="array" ref="H93">INDEX(NodeRows,MATCH(1,MMULT(--(TechTree=A93),TRANSPOSE(COLUMN(TechTree)^0)),0))</f>
        <v>2089</v>
      </c>
      <c r="I93" s="63" t="str">
        <f>TEXT(G93,"0") &amp; ", " &amp; TEXT(H93,"0") &amp;", -2"</f>
        <v>-2816, 2089, -2</v>
      </c>
      <c r="J93" s="63" t="str">
        <f>IF(T93="TRUE",VLOOKUP(A93,'Stock Nodes'!$A$1:$C$63,3,FALSE),IF(U93="TRUE",VLOOKUP(A93,'CTT Nodes'!$A$1:$G$83,7,FALSE),VLOOKUP(A93,'ETT Nodes'!$A$1:$E$87,5,FALSE)))</f>
        <v>ETTR/UI/CTT/RDicon_science-experimental</v>
      </c>
      <c r="K93" s="63" t="s">
        <v>207</v>
      </c>
      <c r="L93" s="63" t="s">
        <v>2069</v>
      </c>
      <c r="M93" s="63" t="s">
        <v>2068</v>
      </c>
      <c r="N93" s="63"/>
      <c r="O93" s="63"/>
      <c r="P93" s="63"/>
      <c r="Q93" s="63"/>
      <c r="R93" s="63"/>
      <c r="S93" s="63"/>
      <c r="T93" s="25" t="str">
        <f>IF(ISNA(VLOOKUP(A93,'Stock Nodes'!$A$1:$C$63,1,FALSE)),"FALSE","TRUE")</f>
        <v>FALSE</v>
      </c>
      <c r="U93" s="25" t="str">
        <f>IF(ISNA(VLOOKUP(A93,'CTT Nodes'!$A$1:$D$83,1,FALSE)),"FALSE","TRUE")</f>
        <v>TRUE</v>
      </c>
      <c r="V93" s="25" t="str">
        <f>IF(OR(T93="TRUE",U93="TRUE"),"FALSE","TRUE")</f>
        <v>FALSE</v>
      </c>
      <c r="W93" s="68">
        <v>91</v>
      </c>
      <c r="X93" s="59">
        <v>20</v>
      </c>
      <c r="Y93" s="20"/>
      <c r="Z93" s="20"/>
      <c r="AA93" s="20"/>
      <c r="AB93" s="20"/>
      <c r="AC93" s="20"/>
      <c r="AD93" s="20"/>
      <c r="AE93" s="20"/>
      <c r="AF93" s="20"/>
      <c r="AG93" s="20"/>
      <c r="AH93" s="20"/>
      <c r="AI93" s="20"/>
      <c r="AJ93" s="20"/>
      <c r="AK93" s="20"/>
      <c r="AL93" s="20"/>
      <c r="AM93" s="20"/>
      <c r="AN93" s="20"/>
      <c r="AO93" s="20"/>
      <c r="AP93" s="20"/>
      <c r="AQ93" s="20"/>
      <c r="AR93" s="20"/>
      <c r="AS93" s="20"/>
      <c r="AT93" s="20"/>
      <c r="AU93" s="20"/>
      <c r="AV93" s="20"/>
      <c r="AW93" s="20"/>
      <c r="AX93" s="20"/>
      <c r="AY93" s="20"/>
      <c r="AZ93" s="20"/>
      <c r="BA93" s="20"/>
      <c r="BB93" s="20"/>
      <c r="BC93" s="20"/>
      <c r="BD93" s="20"/>
      <c r="BE93" s="20"/>
      <c r="BF93" s="20"/>
      <c r="BG93" s="20"/>
      <c r="BH93" s="20"/>
    </row>
    <row r="94" spans="1:60" x14ac:dyDescent="0.25">
      <c r="A94" s="63" t="s">
        <v>83</v>
      </c>
      <c r="B94" s="63" t="s">
        <v>300</v>
      </c>
      <c r="C94" s="21" t="str">
        <f>IF(T94="TRUE",VLOOKUP(A94,'Stock Nodes'!$A$1:$D$63,4,FALSE),IF(U94="TRUE",VLOOKUP(A94,'CTT Nodes'!$A$1:$D$83,4,FALSE),VLOOKUP(A94,'ETT Nodes'!$A$1:$D$87,3,FALSE)))</f>
        <v>Survivability</v>
      </c>
      <c r="D94" s="21" t="str">
        <f>"Node"&amp;TEXT(X94,"0")&amp;"_"&amp;A94</f>
        <v>Node2_survivability</v>
      </c>
      <c r="E94" s="22" t="str">
        <f>IF(OR(V94="TRUE",B94&lt;&gt;C94),"#LOC_ETT_"&amp;A94&amp;"_description",IF(T94="TRUE",VLOOKUP(A94,'Stock Nodes'!$A$1:$C$63,2,FALSE),IF(U94="TRUE",VLOOKUP(A94,'CTT Nodes'!$A$1:$D$83,2,FALSE))))</f>
        <v>#LOC_ETT_survivability_description</v>
      </c>
      <c r="F94" s="58">
        <v>5</v>
      </c>
      <c r="G94" s="21">
        <f t="array" ref="G94">INDEX(TNodeCols,MATCH(1,MMULT(--(TTechTree=A94),TRANSPOSE(COLUMN(TTechTree)^0)),0))</f>
        <v>-1875.9000000000015</v>
      </c>
      <c r="H94" s="21">
        <f t="array" ref="H94">INDEX(NodeRows,MATCH(1,MMULT(--(TechTree=A94),TRANSPOSE(COLUMN(TechTree)^0)),0))</f>
        <v>1519</v>
      </c>
      <c r="I94" s="63" t="str">
        <f>TEXT(G94,"0") &amp; ", " &amp; TEXT(H94,"0") &amp;", -2"</f>
        <v>-1876, 1519, -2</v>
      </c>
      <c r="J94" s="63" t="str">
        <f>IF(T94="TRUE",VLOOKUP(A94,'Stock Nodes'!$A$1:$C$63,3,FALSE),IF(U94="TRUE",VLOOKUP(A94,'CTT Nodes'!$A$1:$G$83,7,FALSE),VLOOKUP(A94,'ETT Nodes'!$A$1:$E$87,5,FALSE)))</f>
        <v>RDicon_survivability</v>
      </c>
      <c r="K94" s="63"/>
      <c r="L94" s="63"/>
      <c r="M94" s="63"/>
      <c r="N94" s="63"/>
      <c r="O94" s="63"/>
      <c r="P94" s="63"/>
      <c r="Q94" s="63"/>
      <c r="R94" s="63"/>
      <c r="S94" s="63"/>
      <c r="T94" s="25" t="str">
        <f>IF(ISNA(VLOOKUP(A94,'Stock Nodes'!$A$1:$C$63,1,FALSE)),"FALSE","TRUE")</f>
        <v>TRUE</v>
      </c>
      <c r="U94" s="25" t="str">
        <f>IF(ISNA(VLOOKUP(A94,'CTT Nodes'!$A$1:$D$83,1,FALSE)),"FALSE","TRUE")</f>
        <v>FALSE</v>
      </c>
      <c r="V94" s="25" t="str">
        <f>IF(OR(T94="TRUE",U94="TRUE"),"FALSE","TRUE")</f>
        <v>FALSE</v>
      </c>
      <c r="W94" s="63">
        <v>92</v>
      </c>
      <c r="X94" s="59">
        <v>1.5</v>
      </c>
      <c r="Y94" s="20"/>
      <c r="Z94" s="20"/>
      <c r="AA94" s="20"/>
      <c r="AB94" s="20"/>
      <c r="AC94" s="20"/>
      <c r="AD94" s="20"/>
      <c r="AE94" s="20"/>
      <c r="AF94" s="20"/>
      <c r="AG94" s="20"/>
      <c r="AH94" s="20"/>
      <c r="AI94" s="20"/>
      <c r="AJ94" s="20"/>
      <c r="AK94" s="20"/>
      <c r="AL94" s="20"/>
      <c r="AM94" s="20"/>
      <c r="AN94" s="20"/>
      <c r="AO94" s="20"/>
      <c r="AP94" s="20"/>
      <c r="AQ94" s="20"/>
      <c r="AR94" s="20"/>
      <c r="AS94" s="20"/>
      <c r="AT94" s="20"/>
      <c r="AU94" s="20"/>
      <c r="AV94" s="20"/>
      <c r="AW94" s="20"/>
      <c r="AX94" s="20"/>
      <c r="AY94" s="20"/>
      <c r="AZ94" s="20"/>
      <c r="BA94" s="20"/>
      <c r="BB94" s="20"/>
      <c r="BC94" s="20"/>
      <c r="BD94" s="20"/>
      <c r="BE94" s="20"/>
      <c r="BF94" s="20"/>
      <c r="BG94" s="20"/>
      <c r="BH94" s="20"/>
    </row>
    <row r="95" spans="1:60" s="20" customFormat="1" x14ac:dyDescent="0.25">
      <c r="A95" s="21" t="s">
        <v>527</v>
      </c>
      <c r="B95" s="21" t="s">
        <v>110</v>
      </c>
      <c r="C95" s="21" t="str">
        <f>IF(T95="TRUE",VLOOKUP(A95,'Stock Nodes'!$A$1:$D$63,4,FALSE),IF(U95="TRUE",VLOOKUP(A95,'CTT Nodes'!$A$1:$D$83,4,FALSE),VLOOKUP(A95,'ETT Nodes'!$A$1:$D$87,3,FALSE)))</f>
        <v>Advanced Parachutes</v>
      </c>
      <c r="D95" s="21" t="str">
        <f>"Node"&amp;TEXT(X95,"0")&amp;"_"&amp;A95</f>
        <v>Node4_advParachutes</v>
      </c>
      <c r="E95" s="22" t="str">
        <f>IF(OR(V95="TRUE",B95&lt;&gt;C95),"#LOC_ETT_"&amp;A95&amp;"_description",IF(T95="TRUE",VLOOKUP(A95,'Stock Nodes'!$A$1:$C$63,2,FALSE),IF(U95="TRUE",VLOOKUP(A95,'CTT Nodes'!$A$1:$D$83,2,FALSE))))</f>
        <v>#LOC_ETT_advParachutes_description</v>
      </c>
      <c r="F95" s="58">
        <v>50</v>
      </c>
      <c r="G95" s="21">
        <f t="array" ref="G95">INDEX(TNodeCols,MATCH(1,MMULT(--(TTechTree=A95),TRANSPOSE(COLUMN(TTechTree)^0)),0))</f>
        <v>-1797.6000000000013</v>
      </c>
      <c r="H95" s="21">
        <f t="array" ref="H95">INDEX(NodeRows,MATCH(1,MMULT(--(TechTree=A95),TRANSPOSE(COLUMN(TechTree)^0)),0))</f>
        <v>1519</v>
      </c>
      <c r="I95" s="63" t="str">
        <f>TEXT(G95,"0") &amp; ", " &amp; TEXT(H95,"0") &amp;", -2"</f>
        <v>-1798, 1519, -2</v>
      </c>
      <c r="J95" s="63">
        <f>IF(T95="TRUE",VLOOKUP(A95,'Stock Nodes'!$A$1:$C$63,3,FALSE),IF(U95="TRUE",VLOOKUP(A95,'CTT Nodes'!$A$1:$G$83,7,FALSE),VLOOKUP(A95,'ETT Nodes'!$A$1:$E$87,5,FALSE)))</f>
        <v>0</v>
      </c>
      <c r="K95" s="21"/>
      <c r="L95" s="63"/>
      <c r="M95" s="63"/>
      <c r="N95" s="21"/>
      <c r="O95" s="63"/>
      <c r="P95" s="63"/>
      <c r="Q95" s="21"/>
      <c r="R95" s="63"/>
      <c r="S95" s="63"/>
      <c r="T95" s="25" t="str">
        <f>IF(ISNA(VLOOKUP(A95,'Stock Nodes'!$A$1:$C$63,1,FALSE)),"FALSE","TRUE")</f>
        <v>FALSE</v>
      </c>
      <c r="U95" s="25" t="str">
        <f>IF(ISNA(VLOOKUP(A95,'CTT Nodes'!$A$1:$D$83,1,FALSE)),"FALSE","TRUE")</f>
        <v>FALSE</v>
      </c>
      <c r="V95" s="25" t="str">
        <f>IF(OR(T95="TRUE",U95="TRUE"),"FALSE","TRUE")</f>
        <v>TRUE</v>
      </c>
      <c r="W95" s="68">
        <v>93</v>
      </c>
      <c r="X95" s="59">
        <v>3.67</v>
      </c>
    </row>
    <row r="96" spans="1:60" s="20" customFormat="1" x14ac:dyDescent="0.25">
      <c r="A96" s="21" t="s">
        <v>134</v>
      </c>
      <c r="B96" s="21" t="s">
        <v>135</v>
      </c>
      <c r="C96" s="21" t="str">
        <f>IF(T96="TRUE",VLOOKUP(A96,'Stock Nodes'!$A$1:$D$63,4,FALSE),IF(U96="TRUE",VLOOKUP(A96,'CTT Nodes'!$A$1:$D$83,4,FALSE),VLOOKUP(A96,'ETT Nodes'!$A$1:$D$87,3,FALSE)))</f>
        <v>Enhanced Survivability</v>
      </c>
      <c r="D96" s="21" t="str">
        <f>"Node"&amp;TEXT(X96,"0")&amp;"_"&amp;A96</f>
        <v>Node5_enhancedSurvivability</v>
      </c>
      <c r="E96" s="22" t="str">
        <f>IF(OR(V96="TRUE",B96&lt;&gt;C96),"#LOC_ETT_"&amp;A96&amp;"_description",IF(T96="TRUE",VLOOKUP(A96,'Stock Nodes'!$A$1:$C$63,2,FALSE),IF(U96="TRUE",VLOOKUP(A96,'CTT Nodes'!$A$1:$D$83,2,FALSE))))</f>
        <v>#LOC_CTT_enhancedSurvivability_description</v>
      </c>
      <c r="F96" s="58">
        <v>95</v>
      </c>
      <c r="G96" s="21">
        <f t="array" ref="G96">INDEX(TNodeCols,MATCH(1,MMULT(--(TTechTree=A96),TRANSPOSE(COLUMN(TTechTree)^0)),0))</f>
        <v>-1719.3000000000011</v>
      </c>
      <c r="H96" s="21">
        <f t="array" ref="H96">INDEX(NodeRows,MATCH(1,MMULT(--(TechTree=A96),TRANSPOSE(COLUMN(TechTree)^0)),0))</f>
        <v>1519</v>
      </c>
      <c r="I96" s="63" t="str">
        <f>TEXT(G96,"0") &amp; ", " &amp; TEXT(H96,"0") &amp;", -2"</f>
        <v>-1719, 1519, -2</v>
      </c>
      <c r="J96" s="63" t="str">
        <f>IF(T96="TRUE",VLOOKUP(A96,'Stock Nodes'!$A$1:$C$63,3,FALSE),IF(U96="TRUE",VLOOKUP(A96,'CTT Nodes'!$A$1:$G$83,7,FALSE),VLOOKUP(A96,'ETT Nodes'!$A$1:$E$87,5,FALSE)))</f>
        <v>ETTR/UI/CTT/ctt_icon_enhancedSurvivability</v>
      </c>
      <c r="K96" s="63"/>
      <c r="L96" s="63"/>
      <c r="M96" s="63"/>
      <c r="N96" s="63"/>
      <c r="O96" s="63"/>
      <c r="P96" s="63"/>
      <c r="Q96" s="21"/>
      <c r="R96" s="63"/>
      <c r="S96" s="63"/>
      <c r="T96" s="25" t="str">
        <f>IF(ISNA(VLOOKUP(A96,'Stock Nodes'!$A$1:$C$63,1,FALSE)),"FALSE","TRUE")</f>
        <v>FALSE</v>
      </c>
      <c r="U96" s="25" t="str">
        <f>IF(ISNA(VLOOKUP(A96,'CTT Nodes'!$A$1:$D$83,1,FALSE)),"FALSE","TRUE")</f>
        <v>TRUE</v>
      </c>
      <c r="V96" s="25" t="str">
        <f>IF(OR(T96="TRUE",U96="TRUE"),"FALSE","TRUE")</f>
        <v>FALSE</v>
      </c>
      <c r="W96" s="68">
        <v>94</v>
      </c>
      <c r="X96" s="59">
        <v>4.67</v>
      </c>
    </row>
    <row r="97" spans="1:60" s="20" customFormat="1" x14ac:dyDescent="0.25">
      <c r="A97" s="21" t="s">
        <v>158</v>
      </c>
      <c r="B97" s="21" t="s">
        <v>159</v>
      </c>
      <c r="C97" s="21" t="str">
        <f>IF(T97="TRUE",VLOOKUP(A97,'Stock Nodes'!$A$1:$D$63,4,FALSE),IF(U97="TRUE",VLOOKUP(A97,'CTT Nodes'!$A$1:$D$83,4,FALSE),VLOOKUP(A97,'ETT Nodes'!$A$1:$D$87,3,FALSE)))</f>
        <v>Storage Technology</v>
      </c>
      <c r="D97" s="21" t="str">
        <f>"Node"&amp;TEXT(X97,"0")&amp;"_"&amp;A97</f>
        <v>Node5_storageTech</v>
      </c>
      <c r="E97" s="22" t="str">
        <f>IF(OR(V97="TRUE",B97&lt;&gt;C97),"#LOC_ETT_"&amp;A97&amp;"_description",IF(T97="TRUE",VLOOKUP(A97,'Stock Nodes'!$A$1:$C$63,2,FALSE),IF(U97="TRUE",VLOOKUP(A97,'CTT Nodes'!$A$1:$D$83,2,FALSE))))</f>
        <v>#LOC_ETT_storageTech_description</v>
      </c>
      <c r="F97" s="58">
        <v>150</v>
      </c>
      <c r="G97" s="21">
        <f t="array" ref="G97">INDEX(TNodeCols,MATCH(1,MMULT(--(TTechTree=A97),TRANSPOSE(COLUMN(TTechTree)^0)),0))</f>
        <v>-1719.3000000000011</v>
      </c>
      <c r="H97" s="21">
        <f t="array" ref="H97">INDEX(NodeRows,MATCH(1,MMULT(--(TechTree=A97),TRANSPOSE(COLUMN(TechTree)^0)),0))</f>
        <v>1329</v>
      </c>
      <c r="I97" s="63" t="str">
        <f>TEXT(G97,"0") &amp; ", " &amp; TEXT(H97,"0") &amp;", -2"</f>
        <v>-1719, 1329, -2</v>
      </c>
      <c r="J97" s="63" t="str">
        <f>IF(T97="TRUE",VLOOKUP(A97,'Stock Nodes'!$A$1:$C$63,3,FALSE),IF(U97="TRUE",VLOOKUP(A97,'CTT Nodes'!$A$1:$G$83,7,FALSE),VLOOKUP(A97,'ETT Nodes'!$A$1:$E$87,5,FALSE)))</f>
        <v>ETTR/UI/CTT/ctt_icon_storageTech</v>
      </c>
      <c r="K97" s="21"/>
      <c r="L97" s="63"/>
      <c r="M97" s="63"/>
      <c r="N97" s="21"/>
      <c r="O97" s="63"/>
      <c r="P97" s="63"/>
      <c r="Q97" s="21"/>
      <c r="R97" s="63"/>
      <c r="S97" s="63"/>
      <c r="T97" s="25" t="str">
        <f>IF(ISNA(VLOOKUP(A97,'Stock Nodes'!$A$1:$C$63,1,FALSE)),"FALSE","TRUE")</f>
        <v>FALSE</v>
      </c>
      <c r="U97" s="25" t="str">
        <f>IF(ISNA(VLOOKUP(A97,'CTT Nodes'!$A$1:$D$83,1,FALSE)),"FALSE","TRUE")</f>
        <v>TRUE</v>
      </c>
      <c r="V97" s="25" t="str">
        <f>IF(OR(T97="TRUE",U97="TRUE"),"FALSE","TRUE")</f>
        <v>FALSE</v>
      </c>
      <c r="W97" s="63">
        <v>95</v>
      </c>
      <c r="X97" s="59">
        <v>5.25</v>
      </c>
    </row>
    <row r="98" spans="1:60" s="20" customFormat="1" x14ac:dyDescent="0.25">
      <c r="A98" s="21" t="s">
        <v>507</v>
      </c>
      <c r="B98" s="21" t="s">
        <v>273</v>
      </c>
      <c r="C98" s="21" t="str">
        <f>IF(T98="TRUE",VLOOKUP(A98,'Stock Nodes'!$A$1:$D$63,4,FALSE),IF(U98="TRUE",VLOOKUP(A98,'CTT Nodes'!$A$1:$D$83,4,FALSE),VLOOKUP(A98,'ETT Nodes'!$A$1:$D$87,3,FALSE)))</f>
        <v>Advanced Service Modules</v>
      </c>
      <c r="D98" s="21" t="str">
        <f>"Node"&amp;TEXT(X98,"0")&amp;"_"&amp;A98</f>
        <v>Node7_advStorageTech</v>
      </c>
      <c r="E98" s="22" t="str">
        <f>IF(OR(V98="TRUE",B98&lt;&gt;C98),"#LOC_ETT_"&amp;A98&amp;"_description",IF(T98="TRUE",VLOOKUP(A98,'Stock Nodes'!$A$1:$C$63,2,FALSE),IF(U98="TRUE",VLOOKUP(A98,'CTT Nodes'!$A$1:$D$83,2,FALSE))))</f>
        <v>#LOC_ETT_advStorageTech_description</v>
      </c>
      <c r="F98" s="58">
        <v>275</v>
      </c>
      <c r="G98" s="21">
        <f t="array" ref="G98">INDEX(TNodeCols,MATCH(1,MMULT(--(TTechTree=A98),TRANSPOSE(COLUMN(TTechTree)^0)),0))</f>
        <v>-1641.0000000000009</v>
      </c>
      <c r="H98" s="21">
        <f t="array" ref="H98">INDEX(NodeRows,MATCH(1,MMULT(--(TechTree=A98),TRANSPOSE(COLUMN(TechTree)^0)),0))</f>
        <v>1329</v>
      </c>
      <c r="I98" s="63" t="str">
        <f>TEXT(G98,"0") &amp; ", " &amp; TEXT(H98,"0") &amp;", -2"</f>
        <v>-1641, 1329, -2</v>
      </c>
      <c r="J98" s="63">
        <f>IF(T98="TRUE",VLOOKUP(A98,'Stock Nodes'!$A$1:$C$63,3,FALSE),IF(U98="TRUE",VLOOKUP(A98,'CTT Nodes'!$A$1:$G$83,7,FALSE),VLOOKUP(A98,'ETT Nodes'!$A$1:$E$87,5,FALSE)))</f>
        <v>0</v>
      </c>
      <c r="K98" s="21"/>
      <c r="L98" s="63"/>
      <c r="M98" s="63"/>
      <c r="N98" s="21"/>
      <c r="O98" s="63"/>
      <c r="P98" s="63"/>
      <c r="Q98" s="21"/>
      <c r="R98" s="63"/>
      <c r="S98" s="63"/>
      <c r="T98" s="25" t="str">
        <f>IF(ISNA(VLOOKUP(A98,'Stock Nodes'!$A$1:$C$63,1,FALSE)),"FALSE","TRUE")</f>
        <v>FALSE</v>
      </c>
      <c r="U98" s="25" t="str">
        <f>IF(ISNA(VLOOKUP(A98,'CTT Nodes'!$A$1:$D$83,1,FALSE)),"FALSE","TRUE")</f>
        <v>FALSE</v>
      </c>
      <c r="V98" s="25" t="str">
        <f>IF(OR(T98="TRUE",U98="TRUE"),"FALSE","TRUE")</f>
        <v>TRUE</v>
      </c>
      <c r="W98" s="68">
        <v>96</v>
      </c>
      <c r="X98" s="59">
        <v>6.5</v>
      </c>
    </row>
    <row r="99" spans="1:60" x14ac:dyDescent="0.25">
      <c r="A99" s="14" t="s">
        <v>53</v>
      </c>
      <c r="B99" s="21" t="s">
        <v>54</v>
      </c>
      <c r="C99" s="21" t="str">
        <f>IF(T99="TRUE",VLOOKUP(A99,'Stock Nodes'!$A$1:$D$63,4,FALSE),IF(U99="TRUE",VLOOKUP(A99,'CTT Nodes'!$A$1:$D$83,4,FALSE),VLOOKUP(A99,'ETT Nodes'!$A$1:$D$87,3,FALSE)))</f>
        <v>Large Volume Containment</v>
      </c>
      <c r="D99" s="21" t="str">
        <f>"Node"&amp;TEXT(X99,"0")&amp;"_"&amp;A99</f>
        <v>Node9_largeVolumeContainment</v>
      </c>
      <c r="E99" s="22" t="str">
        <f>IF(OR(V99="TRUE",B99&lt;&gt;C99),"#LOC_ETT_"&amp;A99&amp;"_description",IF(T99="TRUE",VLOOKUP(A99,'Stock Nodes'!$A$1:$C$63,2,FALSE),IF(U99="TRUE",VLOOKUP(A99,'CTT Nodes'!$A$1:$D$83,2,FALSE))))</f>
        <v>#autoLOC_501103 //#autoLOC_501103 = Maximize the payload capacity of your spacecraft by maximizing the size of your spacecraft.</v>
      </c>
      <c r="F99" s="58">
        <v>750</v>
      </c>
      <c r="G99" s="21">
        <f t="array" ref="G99">INDEX(TNodeCols,MATCH(1,MMULT(--(TTechTree=A99),TRANSPOSE(COLUMN(TTechTree)^0)),0))</f>
        <v>-1562.7000000000007</v>
      </c>
      <c r="H99" s="21">
        <f t="array" ref="H99">INDEX(NodeRows,MATCH(1,MMULT(--(TechTree=A99),TRANSPOSE(COLUMN(TechTree)^0)),0))</f>
        <v>1329</v>
      </c>
      <c r="I99" s="63" t="str">
        <f>TEXT(G99,"0") &amp; ", " &amp; TEXT(H99,"0") &amp;", -2"</f>
        <v>-1563, 1329, -2</v>
      </c>
      <c r="J99" s="63" t="str">
        <f>IF(T99="TRUE",VLOOKUP(A99,'Stock Nodes'!$A$1:$C$63,3,FALSE),IF(U99="TRUE",VLOOKUP(A99,'CTT Nodes'!$A$1:$G$83,7,FALSE),VLOOKUP(A99,'ETT Nodes'!$A$1:$E$87,5,FALSE)))</f>
        <v>RDicon_largeVolumeContainment</v>
      </c>
      <c r="K99" s="21"/>
      <c r="L99" s="63"/>
      <c r="M99" s="63"/>
      <c r="N99" s="6"/>
      <c r="O99" s="63"/>
      <c r="P99" s="63"/>
      <c r="Q99" s="6"/>
      <c r="R99" s="63"/>
      <c r="S99" s="63"/>
      <c r="T99" s="25" t="str">
        <f>IF(ISNA(VLOOKUP(A99,'Stock Nodes'!$A$1:$C$63,1,FALSE)),"FALSE","TRUE")</f>
        <v>TRUE</v>
      </c>
      <c r="U99" s="25" t="str">
        <f>IF(ISNA(VLOOKUP(A99,'CTT Nodes'!$A$1:$D$83,1,FALSE)),"FALSE","TRUE")</f>
        <v>FALSE</v>
      </c>
      <c r="V99" s="25" t="str">
        <f>IF(OR(T99="TRUE",U99="TRUE"),"FALSE","TRUE")</f>
        <v>FALSE</v>
      </c>
      <c r="W99" s="68">
        <v>97</v>
      </c>
      <c r="X99" s="59">
        <v>9</v>
      </c>
      <c r="Y99" s="20"/>
      <c r="Z99" s="20"/>
      <c r="AA99" s="20"/>
      <c r="AB99" s="20"/>
      <c r="AC99" s="20"/>
      <c r="AD99" s="20"/>
      <c r="AE99" s="20"/>
      <c r="AF99" s="20"/>
      <c r="AG99" s="20"/>
      <c r="AH99" s="20"/>
      <c r="AI99" s="20"/>
      <c r="AJ99" s="20"/>
      <c r="AK99" s="20"/>
      <c r="AL99" s="20"/>
      <c r="AM99" s="20"/>
      <c r="AN99" s="20"/>
      <c r="AO99" s="20"/>
      <c r="AP99" s="20"/>
      <c r="AQ99" s="20"/>
      <c r="AR99" s="20"/>
      <c r="AS99" s="20"/>
      <c r="AT99" s="20"/>
      <c r="AU99" s="20"/>
      <c r="AV99" s="20"/>
      <c r="AW99" s="20"/>
      <c r="AX99" s="20"/>
      <c r="AY99" s="20"/>
      <c r="AZ99" s="20"/>
      <c r="BA99" s="20"/>
      <c r="BB99" s="20"/>
      <c r="BC99" s="20"/>
      <c r="BD99" s="20"/>
      <c r="BE99" s="20"/>
      <c r="BF99" s="20"/>
      <c r="BG99" s="20"/>
      <c r="BH99" s="20"/>
    </row>
    <row r="100" spans="1:60" x14ac:dyDescent="0.25">
      <c r="A100" s="14" t="s">
        <v>37</v>
      </c>
      <c r="B100" s="21" t="s">
        <v>195</v>
      </c>
      <c r="C100" s="21" t="str">
        <f>IF(T100="TRUE",VLOOKUP(A100,'Stock Nodes'!$A$1:$D$63,4,FALSE),IF(U100="TRUE",VLOOKUP(A100,'CTT Nodes'!$A$1:$D$83,4,FALSE),VLOOKUP(A100,'ETT Nodes'!$A$1:$D$87,3,FALSE)))</f>
        <v>Fusion Power</v>
      </c>
      <c r="D100" s="21" t="str">
        <f>"Node"&amp;TEXT(X100,"0")&amp;"_"&amp;A100</f>
        <v>Node11_fusionPower</v>
      </c>
      <c r="E100" s="22" t="str">
        <f>IF(OR(V100="TRUE",B100&lt;&gt;C100),"#LOC_ETT_"&amp;A100&amp;"_description",IF(T100="TRUE",VLOOKUP(A100,'Stock Nodes'!$A$1:$C$63,2,FALSE),IF(U100="TRUE",VLOOKUP(A100,'CTT Nodes'!$A$1:$D$83,2,FALSE))))</f>
        <v>#LOC_CTT_fusionPower_description</v>
      </c>
      <c r="F100" s="58">
        <v>1500</v>
      </c>
      <c r="G100" s="21">
        <f t="array" ref="G100">INDEX(TNodeCols,MATCH(1,MMULT(--(TTechTree=A100),TRANSPOSE(COLUMN(TTechTree)^0)),0))</f>
        <v>-2658.9000000000033</v>
      </c>
      <c r="H100" s="21">
        <f t="array" ref="H100">INDEX(NodeRows,MATCH(1,MMULT(--(TechTree=A100),TRANSPOSE(COLUMN(TechTree)^0)),0))</f>
        <v>1861</v>
      </c>
      <c r="I100" s="63" t="str">
        <f>TEXT(G100,"0") &amp; ", " &amp; TEXT(H100,"0") &amp;", -2"</f>
        <v>-2659, 1861, -2</v>
      </c>
      <c r="J100" s="63" t="str">
        <f>IF(T100="TRUE",VLOOKUP(A100,'Stock Nodes'!$A$1:$C$63,3,FALSE),IF(U100="TRUE",VLOOKUP(A100,'CTT Nodes'!$A$1:$G$83,7,FALSE),VLOOKUP(A100,'ETT Nodes'!$A$1:$E$87,5,FALSE)))</f>
        <v>ETTR/UI/CTT/ctt_icon_fusionPower</v>
      </c>
      <c r="K100" s="63" t="s">
        <v>33</v>
      </c>
      <c r="L100" s="63" t="s">
        <v>2069</v>
      </c>
      <c r="M100" s="63" t="s">
        <v>2068</v>
      </c>
      <c r="N100" s="6"/>
      <c r="O100" s="63"/>
      <c r="P100" s="63"/>
      <c r="Q100" s="6"/>
      <c r="R100" s="63"/>
      <c r="S100" s="63"/>
      <c r="T100" s="25" t="str">
        <f>IF(ISNA(VLOOKUP(A100,'Stock Nodes'!$A$1:$C$63,1,FALSE)),"FALSE","TRUE")</f>
        <v>FALSE</v>
      </c>
      <c r="U100" s="25" t="str">
        <f>IF(ISNA(VLOOKUP(A100,'CTT Nodes'!$A$1:$D$83,1,FALSE)),"FALSE","TRUE")</f>
        <v>TRUE</v>
      </c>
      <c r="V100" s="25" t="str">
        <f>IF(OR(T100="TRUE",U100="TRUE"),"FALSE","TRUE")</f>
        <v>FALSE</v>
      </c>
      <c r="W100" s="63">
        <v>98</v>
      </c>
      <c r="X100" s="59">
        <v>11</v>
      </c>
      <c r="Y100" s="20"/>
      <c r="Z100" s="20"/>
      <c r="AA100" s="20"/>
      <c r="AB100" s="20"/>
      <c r="AC100" s="20"/>
      <c r="AD100" s="20"/>
      <c r="AE100" s="20"/>
      <c r="AF100" s="20"/>
      <c r="AG100" s="20"/>
      <c r="AH100" s="20"/>
      <c r="AI100" s="20"/>
      <c r="AJ100" s="20"/>
      <c r="AK100" s="20"/>
      <c r="AL100" s="20"/>
      <c r="AM100" s="20"/>
      <c r="AN100" s="20"/>
      <c r="AO100" s="20"/>
      <c r="AP100" s="20"/>
      <c r="AQ100" s="20"/>
      <c r="AR100" s="20"/>
      <c r="AS100" s="20"/>
      <c r="AT100" s="20"/>
      <c r="AU100" s="20"/>
      <c r="AV100" s="20"/>
      <c r="AW100" s="20"/>
      <c r="AX100" s="20"/>
      <c r="AY100" s="20"/>
      <c r="AZ100" s="20"/>
      <c r="BA100" s="20"/>
      <c r="BB100" s="20"/>
      <c r="BC100" s="20"/>
      <c r="BD100" s="20"/>
      <c r="BE100" s="20"/>
      <c r="BF100" s="20"/>
      <c r="BG100" s="20"/>
      <c r="BH100" s="20"/>
    </row>
    <row r="101" spans="1:60" x14ac:dyDescent="0.25">
      <c r="A101" s="63" t="s">
        <v>35</v>
      </c>
      <c r="B101" s="63" t="s">
        <v>36</v>
      </c>
      <c r="C101" s="21" t="str">
        <f>IF(T101="TRUE",VLOOKUP(A101,'Stock Nodes'!$A$1:$D$63,4,FALSE),IF(U101="TRUE",VLOOKUP(A101,'CTT Nodes'!$A$1:$D$83,4,FALSE),VLOOKUP(A101,'ETT Nodes'!$A$1:$D$87,3,FALSE)))</f>
        <v>Fusion Rockets</v>
      </c>
      <c r="D101" s="21" t="str">
        <f>"Node"&amp;TEXT(X101,"0")&amp;"_"&amp;A101</f>
        <v>Node12_fusionRockets</v>
      </c>
      <c r="E101" s="22" t="str">
        <f>IF(OR(V101="TRUE",B101&lt;&gt;C101),"#LOC_ETT_"&amp;A101&amp;"_description",IF(T101="TRUE",VLOOKUP(A101,'Stock Nodes'!$A$1:$C$63,2,FALSE),IF(U101="TRUE",VLOOKUP(A101,'CTT Nodes'!$A$1:$D$83,2,FALSE))))</f>
        <v>#LOC_CTT_fusionRockets_description</v>
      </c>
      <c r="F101" s="58">
        <v>1750</v>
      </c>
      <c r="G101" s="21">
        <f t="array" ref="G101">INDEX(TNodeCols,MATCH(1,MMULT(--(TTechTree=A101),TRANSPOSE(COLUMN(TTechTree)^0)),0))</f>
        <v>-2658.9000000000033</v>
      </c>
      <c r="H101" s="21">
        <f t="array" ref="H101">INDEX(NodeRows,MATCH(1,MMULT(--(TechTree=A101),TRANSPOSE(COLUMN(TechTree)^0)),0))</f>
        <v>1937</v>
      </c>
      <c r="I101" s="63" t="str">
        <f>TEXT(G101,"0") &amp; ", " &amp; TEXT(H101,"0") &amp;", -2"</f>
        <v>-2659, 1937, -2</v>
      </c>
      <c r="J101" s="63" t="str">
        <f>IF(T101="TRUE",VLOOKUP(A101,'Stock Nodes'!$A$1:$C$63,3,FALSE),IF(U101="TRUE",VLOOKUP(A101,'CTT Nodes'!$A$1:$G$83,7,FALSE),VLOOKUP(A101,'ETT Nodes'!$A$1:$E$87,5,FALSE)))</f>
        <v>ETTR/UI/CTT/ctt_icon_fusionRockets</v>
      </c>
      <c r="K101" s="63" t="s">
        <v>37</v>
      </c>
      <c r="L101" s="63" t="s">
        <v>2067</v>
      </c>
      <c r="M101" s="63" t="s">
        <v>2070</v>
      </c>
      <c r="N101" s="63"/>
      <c r="O101" s="63"/>
      <c r="P101" s="63"/>
      <c r="Q101" s="63"/>
      <c r="R101" s="63"/>
      <c r="S101" s="63"/>
      <c r="T101" s="25" t="str">
        <f>IF(ISNA(VLOOKUP(A101,'Stock Nodes'!$A$1:$C$63,1,FALSE)),"FALSE","TRUE")</f>
        <v>FALSE</v>
      </c>
      <c r="U101" s="25" t="str">
        <f>IF(ISNA(VLOOKUP(A101,'CTT Nodes'!$A$1:$D$83,1,FALSE)),"FALSE","TRUE")</f>
        <v>TRUE</v>
      </c>
      <c r="V101" s="25" t="str">
        <f>IF(OR(T101="TRUE",U101="TRUE"),"FALSE","TRUE")</f>
        <v>FALSE</v>
      </c>
      <c r="W101" s="68">
        <v>99</v>
      </c>
      <c r="X101" s="59">
        <v>12</v>
      </c>
      <c r="Y101" s="20"/>
      <c r="Z101" s="20"/>
      <c r="AA101" s="20"/>
      <c r="AB101" s="20"/>
      <c r="AC101" s="20"/>
      <c r="AD101" s="20"/>
      <c r="AE101" s="20"/>
      <c r="AF101" s="20"/>
      <c r="AG101" s="20"/>
      <c r="AH101" s="20"/>
      <c r="AI101" s="20"/>
      <c r="AJ101" s="20"/>
      <c r="AK101" s="20"/>
      <c r="AL101" s="20"/>
      <c r="AM101" s="20"/>
      <c r="AN101" s="20"/>
      <c r="AO101" s="20"/>
      <c r="AP101" s="20"/>
      <c r="AQ101" s="20"/>
      <c r="AR101" s="20"/>
      <c r="AS101" s="20"/>
      <c r="AT101" s="20"/>
      <c r="AU101" s="20"/>
      <c r="AV101" s="20"/>
      <c r="AW101" s="20"/>
      <c r="AX101" s="20"/>
      <c r="AY101" s="20"/>
      <c r="AZ101" s="20"/>
      <c r="BA101" s="20"/>
      <c r="BB101" s="20"/>
      <c r="BC101" s="20"/>
      <c r="BD101" s="20"/>
      <c r="BE101" s="20"/>
      <c r="BF101" s="20"/>
      <c r="BG101" s="20"/>
      <c r="BH101" s="20"/>
    </row>
    <row r="102" spans="1:60" x14ac:dyDescent="0.25">
      <c r="A102" s="21" t="s">
        <v>196</v>
      </c>
      <c r="B102" s="21" t="s">
        <v>353</v>
      </c>
      <c r="C102" s="21" t="str">
        <f>IF(T102="TRUE",VLOOKUP(A102,'Stock Nodes'!$A$1:$D$63,4,FALSE),IF(U102="TRUE",VLOOKUP(A102,'CTT Nodes'!$A$1:$D$83,4,FALSE),VLOOKUP(A102,'ETT Nodes'!$A$1:$D$87,3,FALSE)))</f>
        <v>Advanced Fusion Reactions</v>
      </c>
      <c r="D102" s="21" t="str">
        <f>"Node"&amp;TEXT(X102,"0")&amp;"_"&amp;A102</f>
        <v>Node13_advFusionReactions</v>
      </c>
      <c r="E102" s="22" t="str">
        <f>IF(OR(V102="TRUE",B102&lt;&gt;C102),"#LOC_ETT_"&amp;A102&amp;"_description",IF(T102="TRUE",VLOOKUP(A102,'Stock Nodes'!$A$1:$C$63,2,FALSE),IF(U102="TRUE",VLOOKUP(A102,'CTT Nodes'!$A$1:$D$83,2,FALSE))))</f>
        <v>#LOC_ETT_advFusionReactions_description</v>
      </c>
      <c r="F102" s="58">
        <v>2250</v>
      </c>
      <c r="G102" s="21">
        <f t="array" ref="G102">INDEX(TNodeCols,MATCH(1,MMULT(--(TTechTree=A102),TRANSPOSE(COLUMN(TTechTree)^0)),0))</f>
        <v>-2658.9000000000033</v>
      </c>
      <c r="H102" s="21">
        <f t="array" ref="H102">INDEX(NodeRows,MATCH(1,MMULT(--(TechTree=A102),TRANSPOSE(COLUMN(TechTree)^0)),0))</f>
        <v>2013</v>
      </c>
      <c r="I102" s="63" t="str">
        <f>TEXT(G102,"0") &amp; ", " &amp; TEXT(H102,"0") &amp;", -2"</f>
        <v>-2659, 2013, -2</v>
      </c>
      <c r="J102" s="63" t="str">
        <f>IF(T102="TRUE",VLOOKUP(A102,'Stock Nodes'!$A$1:$C$63,3,FALSE),IF(U102="TRUE",VLOOKUP(A102,'CTT Nodes'!$A$1:$G$83,7,FALSE),VLOOKUP(A102,'ETT Nodes'!$A$1:$E$87,5,FALSE)))</f>
        <v>ETTR/UI/CTT/ctt_icon_advFusionReactions</v>
      </c>
      <c r="K102" s="21" t="s">
        <v>35</v>
      </c>
      <c r="L102" s="63" t="s">
        <v>2067</v>
      </c>
      <c r="M102" s="63" t="s">
        <v>2070</v>
      </c>
      <c r="N102" s="6"/>
      <c r="O102" s="63"/>
      <c r="P102" s="63"/>
      <c r="Q102" s="6"/>
      <c r="R102" s="63"/>
      <c r="S102" s="63"/>
      <c r="T102" s="25" t="str">
        <f>IF(ISNA(VLOOKUP(A102,'Stock Nodes'!$A$1:$C$63,1,FALSE)),"FALSE","TRUE")</f>
        <v>FALSE</v>
      </c>
      <c r="U102" s="25" t="str">
        <f>IF(ISNA(VLOOKUP(A102,'CTT Nodes'!$A$1:$D$83,1,FALSE)),"FALSE","TRUE")</f>
        <v>TRUE</v>
      </c>
      <c r="V102" s="25" t="str">
        <f>IF(OR(T102="TRUE",U102="TRUE"),"FALSE","TRUE")</f>
        <v>FALSE</v>
      </c>
      <c r="W102" s="68">
        <v>100</v>
      </c>
      <c r="X102" s="59">
        <v>13</v>
      </c>
      <c r="Y102" s="20"/>
      <c r="Z102" s="20"/>
      <c r="AA102" s="20"/>
      <c r="AB102" s="20"/>
      <c r="AC102" s="20"/>
      <c r="AD102" s="20"/>
      <c r="AE102" s="20"/>
      <c r="AF102" s="20"/>
      <c r="AG102" s="20"/>
      <c r="AH102" s="20"/>
      <c r="AI102" s="20"/>
      <c r="AJ102" s="20"/>
      <c r="AK102" s="20"/>
      <c r="AL102" s="20"/>
      <c r="AM102" s="20"/>
      <c r="AN102" s="20"/>
      <c r="AO102" s="20"/>
      <c r="AP102" s="20"/>
      <c r="AQ102" s="20"/>
      <c r="AR102" s="20"/>
      <c r="AS102" s="20"/>
      <c r="AT102" s="20"/>
      <c r="AU102" s="20"/>
      <c r="AV102" s="20"/>
      <c r="AW102" s="20"/>
      <c r="AX102" s="20"/>
      <c r="AY102" s="20"/>
      <c r="AZ102" s="20"/>
      <c r="BA102" s="20"/>
      <c r="BB102" s="20"/>
      <c r="BC102" s="20"/>
      <c r="BD102" s="20"/>
      <c r="BE102" s="20"/>
      <c r="BF102" s="20"/>
      <c r="BG102" s="20"/>
      <c r="BH102" s="20"/>
    </row>
    <row r="103" spans="1:60" s="20" customFormat="1" x14ac:dyDescent="0.25">
      <c r="A103" s="21" t="s">
        <v>201</v>
      </c>
      <c r="B103" s="67" t="s">
        <v>465</v>
      </c>
      <c r="C103" s="21" t="str">
        <f>IF(T103="TRUE",VLOOKUP(A103,'Stock Nodes'!$A$1:$D$63,4,FALSE),IF(U103="TRUE",VLOOKUP(A103,'CTT Nodes'!$A$1:$D$83,4,FALSE),VLOOKUP(A103,'ETT Nodes'!$A$1:$D$87,3,FALSE)))</f>
        <v>Exotic Fusion Reactions</v>
      </c>
      <c r="D103" s="21" t="str">
        <f>"Node"&amp;TEXT(X103,"0")&amp;"_"&amp;A103</f>
        <v>Node16_exoticReactions</v>
      </c>
      <c r="E103" s="22" t="str">
        <f>IF(OR(V103="TRUE",B103&lt;&gt;C103),"#LOC_ETT_"&amp;A103&amp;"_description",IF(T103="TRUE",VLOOKUP(A103,'Stock Nodes'!$A$1:$C$63,2,FALSE),IF(U103="TRUE",VLOOKUP(A103,'CTT Nodes'!$A$1:$D$83,2,FALSE))))</f>
        <v>#LOC_ETT_exoticReactions_description</v>
      </c>
      <c r="F103" s="58">
        <v>4000</v>
      </c>
      <c r="G103" s="21">
        <f t="array" ref="G103">INDEX(TNodeCols,MATCH(1,MMULT(--(TTechTree=A103),TRANSPOSE(COLUMN(TTechTree)^0)),0))</f>
        <v>-2658.9000000000033</v>
      </c>
      <c r="H103" s="21">
        <f t="array" ref="H103">INDEX(NodeRows,MATCH(1,MMULT(--(TechTree=A103),TRANSPOSE(COLUMN(TechTree)^0)),0))</f>
        <v>2089</v>
      </c>
      <c r="I103" s="63" t="str">
        <f>TEXT(G103,"0") &amp; ", " &amp; TEXT(H103,"0") &amp;", -2"</f>
        <v>-2659, 2089, -2</v>
      </c>
      <c r="J103" s="63" t="str">
        <f>IF(T103="TRUE",VLOOKUP(A103,'Stock Nodes'!$A$1:$C$63,3,FALSE),IF(U103="TRUE",VLOOKUP(A103,'CTT Nodes'!$A$1:$G$83,7,FALSE),VLOOKUP(A103,'ETT Nodes'!$A$1:$E$87,5,FALSE)))</f>
        <v>ETTR/UI/CTT/ctt_icon_exoticFusionReactions</v>
      </c>
      <c r="K103" s="21" t="s">
        <v>196</v>
      </c>
      <c r="L103" s="63" t="s">
        <v>2067</v>
      </c>
      <c r="M103" s="63" t="s">
        <v>2070</v>
      </c>
      <c r="N103" s="21"/>
      <c r="O103" s="63"/>
      <c r="P103" s="63"/>
      <c r="Q103" s="21"/>
      <c r="R103" s="63"/>
      <c r="S103" s="63"/>
      <c r="T103" s="25" t="str">
        <f>IF(ISNA(VLOOKUP(A103,'Stock Nodes'!$A$1:$C$63,1,FALSE)),"FALSE","TRUE")</f>
        <v>FALSE</v>
      </c>
      <c r="U103" s="25" t="str">
        <f>IF(ISNA(VLOOKUP(A103,'CTT Nodes'!$A$1:$D$83,1,FALSE)),"FALSE","TRUE")</f>
        <v>TRUE</v>
      </c>
      <c r="V103" s="25" t="str">
        <f>IF(OR(T103="TRUE",U103="TRUE"),"FALSE","TRUE")</f>
        <v>FALSE</v>
      </c>
      <c r="W103" s="63">
        <v>101</v>
      </c>
      <c r="X103" s="59">
        <v>16</v>
      </c>
    </row>
    <row r="104" spans="1:60" x14ac:dyDescent="0.25">
      <c r="A104" s="63" t="s">
        <v>444</v>
      </c>
      <c r="B104" s="63" t="s">
        <v>821</v>
      </c>
      <c r="C104" s="21" t="str">
        <f>IF(T104="TRUE",VLOOKUP(A104,'Stock Nodes'!$A$1:$D$63,4,FALSE),IF(U104="TRUE",VLOOKUP(A104,'CTT Nodes'!$A$1:$D$83,4,FALSE),VLOOKUP(A104,'ETT Nodes'!$A$1:$D$87,3,FALSE)))</f>
        <v>High Density Fusion Reactions</v>
      </c>
      <c r="D104" s="21" t="str">
        <f>"Node"&amp;TEXT(X104,"0")&amp;"_"&amp;A104</f>
        <v>Node20_quantumReactions</v>
      </c>
      <c r="E104" s="22" t="str">
        <f>IF(OR(V104="TRUE",B104&lt;&gt;C104),"#LOC_ETT_"&amp;A104&amp;"_description",IF(T104="TRUE",VLOOKUP(A104,'Stock Nodes'!$A$1:$C$63,2,FALSE),IF(U104="TRUE",VLOOKUP(A104,'CTT Nodes'!$A$1:$D$83,2,FALSE))))</f>
        <v>#LOC_ETT_quantumReactions_description</v>
      </c>
      <c r="F104" s="58">
        <v>8000</v>
      </c>
      <c r="G104" s="21">
        <f t="array" ref="G104">INDEX(TNodeCols,MATCH(1,MMULT(--(TTechTree=A104),TRANSPOSE(COLUMN(TTechTree)^0)),0))</f>
        <v>-2658.9000000000033</v>
      </c>
      <c r="H104" s="21">
        <f t="array" ref="H104">INDEX(NodeRows,MATCH(1,MMULT(--(TechTree=A104),TRANSPOSE(COLUMN(TechTree)^0)),0))</f>
        <v>2165</v>
      </c>
      <c r="I104" s="63" t="str">
        <f>TEXT(G104,"0") &amp; ", " &amp; TEXT(H104,"0") &amp;", -2"</f>
        <v>-2659, 2165, -2</v>
      </c>
      <c r="J104" s="63" t="str">
        <f>IF(T104="TRUE",VLOOKUP(A104,'Stock Nodes'!$A$1:$C$63,3,FALSE),IF(U104="TRUE",VLOOKUP(A104,'CTT Nodes'!$A$1:$G$83,7,FALSE),VLOOKUP(A104,'ETT Nodes'!$A$1:$E$87,5,FALSE)))</f>
        <v>ETTR/UI/CTT/ctt_icon_exoticFusionReactions</v>
      </c>
      <c r="K104" s="63" t="s">
        <v>201</v>
      </c>
      <c r="L104" s="63" t="s">
        <v>2067</v>
      </c>
      <c r="M104" s="63" t="s">
        <v>2070</v>
      </c>
      <c r="N104" s="63"/>
      <c r="O104" s="63"/>
      <c r="P104" s="63"/>
      <c r="Q104" s="63"/>
      <c r="R104" s="63"/>
      <c r="S104" s="63"/>
      <c r="T104" s="25" t="str">
        <f>IF(ISNA(VLOOKUP(A104,'Stock Nodes'!$A$1:$C$63,1,FALSE)),"FALSE","TRUE")</f>
        <v>FALSE</v>
      </c>
      <c r="U104" s="25" t="str">
        <f>IF(ISNA(VLOOKUP(A104,'CTT Nodes'!$A$1:$D$83,1,FALSE)),"FALSE","TRUE")</f>
        <v>TRUE</v>
      </c>
      <c r="V104" s="25" t="str">
        <f>IF(OR(T104="TRUE",U104="TRUE"),"FALSE","TRUE")</f>
        <v>FALSE</v>
      </c>
      <c r="W104" s="68">
        <v>102</v>
      </c>
      <c r="X104" s="59">
        <v>20</v>
      </c>
      <c r="Y104" s="20"/>
      <c r="Z104" s="20"/>
      <c r="AA104" s="20"/>
      <c r="AB104" s="20"/>
      <c r="AC104" s="20"/>
      <c r="AD104" s="20"/>
      <c r="AE104" s="20"/>
      <c r="AF104" s="20"/>
      <c r="AG104" s="20"/>
      <c r="AH104" s="20"/>
      <c r="AI104" s="20"/>
      <c r="AJ104" s="20"/>
      <c r="AK104" s="20"/>
      <c r="AL104" s="20"/>
      <c r="AM104" s="20"/>
      <c r="AN104" s="20"/>
      <c r="AO104" s="20"/>
      <c r="AP104" s="20"/>
      <c r="AQ104" s="20"/>
      <c r="AR104" s="20"/>
      <c r="AS104" s="20"/>
      <c r="AT104" s="20"/>
      <c r="AU104" s="20"/>
      <c r="AV104" s="20"/>
      <c r="AW104" s="20"/>
      <c r="AX104" s="20"/>
      <c r="AY104" s="20"/>
      <c r="AZ104" s="20"/>
      <c r="BA104" s="20"/>
      <c r="BB104" s="20"/>
      <c r="BC104" s="20"/>
      <c r="BD104" s="20"/>
      <c r="BE104" s="20"/>
      <c r="BF104" s="20"/>
      <c r="BG104" s="20"/>
      <c r="BH104" s="20"/>
    </row>
    <row r="105" spans="1:60" s="20" customFormat="1" x14ac:dyDescent="0.25">
      <c r="A105" s="21" t="s">
        <v>17</v>
      </c>
      <c r="B105" s="21" t="s">
        <v>18</v>
      </c>
      <c r="C105" s="21" t="str">
        <f>IF(T105="TRUE",VLOOKUP(A105,'Stock Nodes'!$A$1:$D$63,4,FALSE),IF(U105="TRUE",VLOOKUP(A105,'CTT Nodes'!$A$1:$D$83,4,FALSE),VLOOKUP(A105,'ETT Nodes'!$A$1:$D$87,3,FALSE)))</f>
        <v>Simple Command Modules</v>
      </c>
      <c r="D105" s="21" t="str">
        <f>"Node"&amp;TEXT(X105,"0")&amp;"_"&amp;A105</f>
        <v>Node4_simpleCommandModules</v>
      </c>
      <c r="E105" s="22" t="str">
        <f>IF(OR(V105="TRUE",B105&lt;&gt;C105),"#LOC_ETT_"&amp;A105&amp;"_description",IF(T105="TRUE",VLOOKUP(A105,'Stock Nodes'!$A$1:$C$63,2,FALSE),IF(U105="TRUE",VLOOKUP(A105,'CTT Nodes'!$A$1:$D$83,2,FALSE))))</f>
        <v>#LOC_CTT_simpleCommandModules_description</v>
      </c>
      <c r="F105" s="58">
        <v>50</v>
      </c>
      <c r="G105" s="21">
        <f t="array" ref="G105">INDEX(TNodeCols,MATCH(1,MMULT(--(TTechTree=A105),TRANSPOSE(COLUMN(TTechTree)^0)),0))</f>
        <v>-1719.3000000000011</v>
      </c>
      <c r="H105" s="21">
        <f t="array" ref="H105">INDEX(NodeRows,MATCH(1,MMULT(--(TechTree=A105),TRANSPOSE(COLUMN(TechTree)^0)),0))</f>
        <v>1671</v>
      </c>
      <c r="I105" s="63" t="str">
        <f>TEXT(G105,"0") &amp; ", " &amp; TEXT(H105,"0") &amp;", -2"</f>
        <v>-1719, 1671, -2</v>
      </c>
      <c r="J105" s="63" t="str">
        <f>IF(T105="TRUE",VLOOKUP(A105,'Stock Nodes'!$A$1:$C$63,3,FALSE),IF(U105="TRUE",VLOOKUP(A105,'CTT Nodes'!$A$1:$G$83,7,FALSE),VLOOKUP(A105,'ETT Nodes'!$A$1:$E$87,5,FALSE)))</f>
        <v>ETTR/UI/CTT/ctt_icon_simpleCommandModules</v>
      </c>
      <c r="K105" s="63"/>
      <c r="L105" s="63"/>
      <c r="M105" s="63"/>
      <c r="N105" s="63"/>
      <c r="O105" s="63"/>
      <c r="P105" s="63"/>
      <c r="Q105" s="21"/>
      <c r="R105" s="63"/>
      <c r="S105" s="63"/>
      <c r="T105" s="25" t="str">
        <f>IF(ISNA(VLOOKUP(A105,'Stock Nodes'!$A$1:$C$63,1,FALSE)),"FALSE","TRUE")</f>
        <v>FALSE</v>
      </c>
      <c r="U105" s="25" t="str">
        <f>IF(ISNA(VLOOKUP(A105,'CTT Nodes'!$A$1:$D$83,1,FALSE)),"FALSE","TRUE")</f>
        <v>TRUE</v>
      </c>
      <c r="V105" s="25" t="str">
        <f>IF(OR(T105="TRUE",U105="TRUE"),"FALSE","TRUE")</f>
        <v>FALSE</v>
      </c>
      <c r="W105" s="68">
        <v>103</v>
      </c>
      <c r="X105" s="59">
        <v>3.67</v>
      </c>
    </row>
    <row r="106" spans="1:60" x14ac:dyDescent="0.25">
      <c r="A106" s="63" t="s">
        <v>24</v>
      </c>
      <c r="B106" s="63" t="s">
        <v>75</v>
      </c>
      <c r="C106" s="21" t="str">
        <f>IF(T106="TRUE",VLOOKUP(A106,'Stock Nodes'!$A$1:$D$63,4,FALSE),IF(U106="TRUE",VLOOKUP(A106,'CTT Nodes'!$A$1:$D$83,4,FALSE),VLOOKUP(A106,'ETT Nodes'!$A$1:$D$87,3,FALSE)))</f>
        <v>Command Modules</v>
      </c>
      <c r="D106" s="21" t="str">
        <f>"Node"&amp;TEXT(X106,"0")&amp;"_"&amp;A106</f>
        <v>Node5_commandModules</v>
      </c>
      <c r="E106" s="22" t="str">
        <f>IF(OR(V106="TRUE",B106&lt;&gt;C106),"#LOC_ETT_"&amp;A106&amp;"_description",IF(T106="TRUE",VLOOKUP(A106,'Stock Nodes'!$A$1:$C$63,2,FALSE),IF(U106="TRUE",VLOOKUP(A106,'CTT Nodes'!$A$1:$D$83,2,FALSE))))</f>
        <v>#autoLOC_501065 //#autoLOC_501065 = Flight control technology has evolved far enough that we feel we can honestly say pilots are in command now.</v>
      </c>
      <c r="F106" s="58">
        <v>95</v>
      </c>
      <c r="G106" s="21">
        <f t="array" ref="G106">INDEX(TNodeCols,MATCH(1,MMULT(--(TTechTree=A106),TRANSPOSE(COLUMN(TTechTree)^0)),0))</f>
        <v>-1641.0000000000009</v>
      </c>
      <c r="H106" s="21">
        <f t="array" ref="H106">INDEX(NodeRows,MATCH(1,MMULT(--(TechTree=A106),TRANSPOSE(COLUMN(TechTree)^0)),0))</f>
        <v>1671</v>
      </c>
      <c r="I106" s="63" t="str">
        <f>TEXT(G106,"0") &amp; ", " &amp; TEXT(H106,"0") &amp;", -2"</f>
        <v>-1641, 1671, -2</v>
      </c>
      <c r="J106" s="63" t="str">
        <f>IF(T106="TRUE",VLOOKUP(A106,'Stock Nodes'!$A$1:$C$63,3,FALSE),IF(U106="TRUE",VLOOKUP(A106,'CTT Nodes'!$A$1:$G$83,7,FALSE),VLOOKUP(A106,'ETT Nodes'!$A$1:$E$87,5,FALSE)))</f>
        <v>RDicon_commandmodules</v>
      </c>
      <c r="K106" s="63"/>
      <c r="L106" s="63"/>
      <c r="M106" s="63"/>
      <c r="N106" s="63"/>
      <c r="O106" s="63"/>
      <c r="P106" s="63"/>
      <c r="Q106" s="63"/>
      <c r="R106" s="63"/>
      <c r="S106" s="63"/>
      <c r="T106" s="25" t="str">
        <f>IF(ISNA(VLOOKUP(A106,'Stock Nodes'!$A$1:$C$63,1,FALSE)),"FALSE","TRUE")</f>
        <v>TRUE</v>
      </c>
      <c r="U106" s="25" t="str">
        <f>IF(ISNA(VLOOKUP(A106,'CTT Nodes'!$A$1:$D$83,1,FALSE)),"FALSE","TRUE")</f>
        <v>FALSE</v>
      </c>
      <c r="V106" s="25" t="str">
        <f>IF(OR(T106="TRUE",U106="TRUE"),"FALSE","TRUE")</f>
        <v>FALSE</v>
      </c>
      <c r="W106" s="63">
        <v>104</v>
      </c>
      <c r="X106" s="59">
        <v>4.67</v>
      </c>
      <c r="Y106" s="20"/>
      <c r="Z106" s="20"/>
      <c r="AA106" s="20"/>
      <c r="AB106" s="20"/>
      <c r="AC106" s="20"/>
      <c r="AD106" s="20"/>
      <c r="AE106" s="20"/>
      <c r="AF106" s="20"/>
      <c r="AG106" s="20"/>
      <c r="AH106" s="20"/>
      <c r="AI106" s="20"/>
      <c r="AJ106" s="20"/>
      <c r="AK106" s="20"/>
      <c r="AL106" s="20"/>
      <c r="AM106" s="20"/>
      <c r="AN106" s="20"/>
      <c r="AO106" s="20"/>
      <c r="AP106" s="20"/>
      <c r="AQ106" s="20"/>
      <c r="AR106" s="20"/>
      <c r="AS106" s="20"/>
      <c r="AT106" s="20"/>
      <c r="AU106" s="20"/>
      <c r="AV106" s="20"/>
      <c r="AW106" s="20"/>
      <c r="AX106" s="20"/>
      <c r="AY106" s="20"/>
      <c r="AZ106" s="20"/>
      <c r="BA106" s="20"/>
      <c r="BB106" s="20"/>
      <c r="BC106" s="20"/>
      <c r="BD106" s="20"/>
      <c r="BE106" s="20"/>
      <c r="BF106" s="20"/>
      <c r="BG106" s="20"/>
      <c r="BH106" s="20"/>
    </row>
    <row r="107" spans="1:60" x14ac:dyDescent="0.25">
      <c r="A107" s="14" t="s">
        <v>16</v>
      </c>
      <c r="B107" s="21" t="s">
        <v>23</v>
      </c>
      <c r="C107" s="21" t="str">
        <f>IF(T107="TRUE",VLOOKUP(A107,'Stock Nodes'!$A$1:$D$63,4,FALSE),IF(U107="TRUE",VLOOKUP(A107,'CTT Nodes'!$A$1:$D$83,4,FALSE),VLOOKUP(A107,'ETT Nodes'!$A$1:$D$87,3,FALSE)))</f>
        <v>Heavy Command Modules</v>
      </c>
      <c r="D107" s="21" t="str">
        <f>"Node"&amp;TEXT(X107,"0")&amp;"_"&amp;A107</f>
        <v>Node7_heavyCommandModules</v>
      </c>
      <c r="E107" s="22" t="str">
        <f>IF(OR(V107="TRUE",B107&lt;&gt;C107),"#LOC_ETT_"&amp;A107&amp;"_description",IF(T107="TRUE",VLOOKUP(A107,'Stock Nodes'!$A$1:$C$63,2,FALSE),IF(U107="TRUE",VLOOKUP(A107,'CTT Nodes'!$A$1:$D$83,2,FALSE))))</f>
        <v>#LOC_CTT_heavyCommandModules_description</v>
      </c>
      <c r="F107" s="58">
        <v>375</v>
      </c>
      <c r="G107" s="21">
        <f t="array" ref="G107">INDEX(TNodeCols,MATCH(1,MMULT(--(TTechTree=A107),TRANSPOSE(COLUMN(TTechTree)^0)),0))</f>
        <v>-1562.7000000000007</v>
      </c>
      <c r="H107" s="21">
        <f t="array" ref="H107">INDEX(NodeRows,MATCH(1,MMULT(--(TechTree=A107),TRANSPOSE(COLUMN(TechTree)^0)),0))</f>
        <v>1671</v>
      </c>
      <c r="I107" s="63" t="str">
        <f>TEXT(G107,"0") &amp; ", " &amp; TEXT(H107,"0") &amp;", -2"</f>
        <v>-1563, 1671, -2</v>
      </c>
      <c r="J107" s="63" t="str">
        <f>IF(T107="TRUE",VLOOKUP(A107,'Stock Nodes'!$A$1:$C$63,3,FALSE),IF(U107="TRUE",VLOOKUP(A107,'CTT Nodes'!$A$1:$G$83,7,FALSE),VLOOKUP(A107,'ETT Nodes'!$A$1:$E$87,5,FALSE)))</f>
        <v>ETTR/UI/CTT/ctt_icon_heavyCommandModules</v>
      </c>
      <c r="K107" s="63"/>
      <c r="L107" s="63"/>
      <c r="M107" s="63"/>
      <c r="N107" s="6"/>
      <c r="O107" s="63"/>
      <c r="P107" s="63"/>
      <c r="Q107" s="6"/>
      <c r="R107" s="63"/>
      <c r="S107" s="63"/>
      <c r="T107" s="25" t="str">
        <f>IF(ISNA(VLOOKUP(A107,'Stock Nodes'!$A$1:$C$63,1,FALSE)),"FALSE","TRUE")</f>
        <v>FALSE</v>
      </c>
      <c r="U107" s="25" t="str">
        <f>IF(ISNA(VLOOKUP(A107,'CTT Nodes'!$A$1:$D$83,1,FALSE)),"FALSE","TRUE")</f>
        <v>TRUE</v>
      </c>
      <c r="V107" s="25" t="str">
        <f>IF(OR(T107="TRUE",U107="TRUE"),"FALSE","TRUE")</f>
        <v>FALSE</v>
      </c>
      <c r="W107" s="68">
        <v>105</v>
      </c>
      <c r="X107" s="59">
        <v>7</v>
      </c>
      <c r="Y107" s="20"/>
      <c r="Z107" s="20"/>
      <c r="AA107" s="20"/>
      <c r="AB107" s="20"/>
      <c r="AC107" s="20"/>
      <c r="AD107" s="20"/>
      <c r="AE107" s="20"/>
      <c r="AF107" s="20"/>
      <c r="AG107" s="20"/>
      <c r="AH107" s="20"/>
      <c r="AI107" s="20"/>
      <c r="AJ107" s="20"/>
      <c r="AK107" s="20"/>
      <c r="AL107" s="20"/>
      <c r="AM107" s="20"/>
      <c r="AN107" s="20"/>
      <c r="AO107" s="20"/>
      <c r="AP107" s="20"/>
      <c r="AQ107" s="20"/>
      <c r="AR107" s="20"/>
      <c r="AS107" s="20"/>
      <c r="AT107" s="20"/>
      <c r="AU107" s="20"/>
      <c r="AV107" s="20"/>
      <c r="AW107" s="20"/>
      <c r="AX107" s="20"/>
      <c r="AY107" s="20"/>
      <c r="AZ107" s="20"/>
      <c r="BA107" s="20"/>
      <c r="BB107" s="20"/>
      <c r="BC107" s="20"/>
      <c r="BD107" s="20"/>
      <c r="BE107" s="20"/>
      <c r="BF107" s="20"/>
      <c r="BG107" s="20"/>
      <c r="BH107" s="20"/>
    </row>
    <row r="108" spans="1:60" x14ac:dyDescent="0.25">
      <c r="A108" s="63" t="s">
        <v>14</v>
      </c>
      <c r="B108" s="63" t="s">
        <v>15</v>
      </c>
      <c r="C108" s="21" t="str">
        <f>IF(T108="TRUE",VLOOKUP(A108,'Stock Nodes'!$A$1:$D$63,4,FALSE),IF(U108="TRUE",VLOOKUP(A108,'CTT Nodes'!$A$1:$D$83,4,FALSE),VLOOKUP(A108,'ETT Nodes'!$A$1:$D$87,3,FALSE)))</f>
        <v>Specialized Command Modules</v>
      </c>
      <c r="D108" s="21" t="str">
        <f>"Node"&amp;TEXT(X108,"0")&amp;"_"&amp;A108</f>
        <v>Node9_specializedCommandModules</v>
      </c>
      <c r="E108" s="22" t="str">
        <f>IF(OR(V108="TRUE",B108&lt;&gt;C108),"#LOC_ETT_"&amp;A108&amp;"_description",IF(T108="TRUE",VLOOKUP(A108,'Stock Nodes'!$A$1:$C$63,2,FALSE),IF(U108="TRUE",VLOOKUP(A108,'CTT Nodes'!$A$1:$D$83,2,FALSE))))</f>
        <v>#LOC_CTT_specializedCommandModules_description</v>
      </c>
      <c r="F108" s="58">
        <v>750</v>
      </c>
      <c r="G108" s="21">
        <f t="array" ref="G108">INDEX(TNodeCols,MATCH(1,MMULT(--(TTechTree=A108),TRANSPOSE(COLUMN(TTechTree)^0)),0))</f>
        <v>-1484.4000000000005</v>
      </c>
      <c r="H108" s="21">
        <f t="array" ref="H108">INDEX(NodeRows,MATCH(1,MMULT(--(TechTree=A108),TRANSPOSE(COLUMN(TechTree)^0)),0))</f>
        <v>1671</v>
      </c>
      <c r="I108" s="63" t="str">
        <f>TEXT(G108,"0") &amp; ", " &amp; TEXT(H108,"0") &amp;", -2"</f>
        <v>-1484, 1671, -2</v>
      </c>
      <c r="J108" s="63" t="str">
        <f>IF(T108="TRUE",VLOOKUP(A108,'Stock Nodes'!$A$1:$C$63,3,FALSE),IF(U108="TRUE",VLOOKUP(A108,'CTT Nodes'!$A$1:$G$83,7,FALSE),VLOOKUP(A108,'ETT Nodes'!$A$1:$E$87,5,FALSE)))</f>
        <v>ETTR/UI/CTT/ctt_icon_specializedCommandModules</v>
      </c>
      <c r="K108" s="63"/>
      <c r="L108" s="63"/>
      <c r="M108" s="63"/>
      <c r="N108" s="63"/>
      <c r="O108" s="63"/>
      <c r="P108" s="63"/>
      <c r="Q108" s="63"/>
      <c r="R108" s="63"/>
      <c r="S108" s="63"/>
      <c r="T108" s="25" t="str">
        <f>IF(ISNA(VLOOKUP(A108,'Stock Nodes'!$A$1:$C$63,1,FALSE)),"FALSE","TRUE")</f>
        <v>FALSE</v>
      </c>
      <c r="U108" s="25" t="str">
        <f>IF(ISNA(VLOOKUP(A108,'CTT Nodes'!$A$1:$D$83,1,FALSE)),"FALSE","TRUE")</f>
        <v>TRUE</v>
      </c>
      <c r="V108" s="25" t="str">
        <f>IF(OR(T108="TRUE",U108="TRUE"),"FALSE","TRUE")</f>
        <v>FALSE</v>
      </c>
      <c r="W108" s="68">
        <v>106</v>
      </c>
      <c r="X108" s="59">
        <v>9</v>
      </c>
      <c r="Y108" s="20"/>
      <c r="Z108" s="20"/>
      <c r="AA108" s="20"/>
      <c r="AB108" s="20"/>
      <c r="AC108" s="20"/>
      <c r="AD108" s="20"/>
      <c r="AE108" s="20"/>
      <c r="AF108" s="20"/>
      <c r="AG108" s="20"/>
      <c r="AH108" s="20"/>
      <c r="AI108" s="20"/>
      <c r="AJ108" s="20"/>
      <c r="AK108" s="20"/>
      <c r="AL108" s="20"/>
      <c r="AM108" s="20"/>
      <c r="AN108" s="20"/>
      <c r="AO108" s="20"/>
      <c r="AP108" s="20"/>
      <c r="AQ108" s="20"/>
      <c r="AR108" s="20"/>
      <c r="AS108" s="20"/>
      <c r="AT108" s="20"/>
      <c r="AU108" s="20"/>
      <c r="AV108" s="20"/>
      <c r="AW108" s="20"/>
      <c r="AX108" s="20"/>
      <c r="AY108" s="20"/>
      <c r="AZ108" s="20"/>
      <c r="BA108" s="20"/>
      <c r="BB108" s="20"/>
      <c r="BC108" s="20"/>
      <c r="BD108" s="20"/>
      <c r="BE108" s="20"/>
      <c r="BF108" s="20"/>
      <c r="BG108" s="20"/>
      <c r="BH108" s="20"/>
    </row>
    <row r="109" spans="1:60" x14ac:dyDescent="0.25">
      <c r="A109" s="14" t="s">
        <v>643</v>
      </c>
      <c r="B109" s="21" t="s">
        <v>435</v>
      </c>
      <c r="C109" s="21" t="str">
        <f>IF(T109="TRUE",VLOOKUP(A109,'Stock Nodes'!$A$1:$D$63,4,FALSE),IF(U109="TRUE",VLOOKUP(A109,'CTT Nodes'!$A$1:$D$83,4,FALSE),VLOOKUP(A109,'ETT Nodes'!$A$1:$D$87,3,FALSE)))</f>
        <v>Heavy Command Centers</v>
      </c>
      <c r="D109" s="21" t="str">
        <f>"Node"&amp;TEXT(X109,"0")&amp;"_"&amp;A109</f>
        <v>Node12_heavyCommandCenters</v>
      </c>
      <c r="E109" s="22" t="str">
        <f>IF(OR(V109="TRUE",B109&lt;&gt;C109),"#LOC_ETT_"&amp;A109&amp;"_description",IF(T109="TRUE",VLOOKUP(A109,'Stock Nodes'!$A$1:$C$63,2,FALSE),IF(U109="TRUE",VLOOKUP(A109,'CTT Nodes'!$A$1:$D$83,2,FALSE))))</f>
        <v>#LOC_CTT_heavyCommandCenters_description</v>
      </c>
      <c r="F109" s="58">
        <v>1750</v>
      </c>
      <c r="G109" s="21">
        <f t="array" ref="G109">INDEX(TNodeCols,MATCH(1,MMULT(--(TTechTree=A109),TRANSPOSE(COLUMN(TTechTree)^0)),0))</f>
        <v>-1484.4000000000005</v>
      </c>
      <c r="H109" s="21">
        <f t="array" ref="H109">INDEX(NodeRows,MATCH(1,MMULT(--(TechTree=A109),TRANSPOSE(COLUMN(TechTree)^0)),0))</f>
        <v>1595</v>
      </c>
      <c r="I109" s="63" t="str">
        <f>TEXT(G109,"0") &amp; ", " &amp; TEXT(H109,"0") &amp;", -2"</f>
        <v>-1484, 1595, -2</v>
      </c>
      <c r="J109" s="63" t="str">
        <f>IF(T109="TRUE",VLOOKUP(A109,'Stock Nodes'!$A$1:$C$63,3,FALSE),IF(U109="TRUE",VLOOKUP(A109,'CTT Nodes'!$A$1:$G$83,7,FALSE),VLOOKUP(A109,'ETT Nodes'!$A$1:$E$87,5,FALSE)))</f>
        <v>ETTR/UI/CTT/ctt_icon_heavyCommandCenters</v>
      </c>
      <c r="K109" s="63"/>
      <c r="L109" s="63"/>
      <c r="M109" s="63"/>
      <c r="N109" s="21"/>
      <c r="O109" s="63"/>
      <c r="P109" s="63"/>
      <c r="Q109" s="6"/>
      <c r="R109" s="63"/>
      <c r="S109" s="63"/>
      <c r="T109" s="25" t="str">
        <f>IF(ISNA(VLOOKUP(A109,'Stock Nodes'!$A$1:$C$63,1,FALSE)),"FALSE","TRUE")</f>
        <v>FALSE</v>
      </c>
      <c r="U109" s="25" t="str">
        <f>IF(ISNA(VLOOKUP(A109,'CTT Nodes'!$A$1:$D$83,1,FALSE)),"FALSE","TRUE")</f>
        <v>TRUE</v>
      </c>
      <c r="V109" s="25" t="str">
        <f>IF(OR(T109="TRUE",U109="TRUE"),"FALSE","TRUE")</f>
        <v>FALSE</v>
      </c>
      <c r="W109" s="63">
        <v>107</v>
      </c>
      <c r="X109" s="59">
        <v>12</v>
      </c>
      <c r="Y109" s="20"/>
      <c r="Z109" s="20"/>
      <c r="AA109" s="20"/>
      <c r="AB109" s="20"/>
      <c r="AC109" s="20"/>
      <c r="AD109" s="20"/>
      <c r="AE109" s="20"/>
      <c r="AF109" s="20"/>
      <c r="AG109" s="20"/>
      <c r="AH109" s="20"/>
      <c r="AI109" s="20"/>
      <c r="AJ109" s="20"/>
      <c r="AK109" s="20"/>
      <c r="AL109" s="20"/>
      <c r="AM109" s="20"/>
      <c r="AN109" s="20"/>
      <c r="AO109" s="20"/>
      <c r="AP109" s="20"/>
      <c r="AQ109" s="20"/>
      <c r="AR109" s="20"/>
      <c r="AS109" s="20"/>
      <c r="AT109" s="20"/>
      <c r="AU109" s="20"/>
      <c r="AV109" s="20"/>
      <c r="AW109" s="20"/>
      <c r="AX109" s="20"/>
      <c r="AY109" s="20"/>
      <c r="AZ109" s="20"/>
      <c r="BA109" s="20"/>
      <c r="BB109" s="20"/>
      <c r="BC109" s="20"/>
      <c r="BD109" s="20"/>
      <c r="BE109" s="20"/>
      <c r="BF109" s="20"/>
      <c r="BG109" s="20"/>
      <c r="BH109" s="20"/>
    </row>
    <row r="110" spans="1:60" x14ac:dyDescent="0.25">
      <c r="A110" s="63" t="s">
        <v>447</v>
      </c>
      <c r="B110" s="63" t="s">
        <v>446</v>
      </c>
      <c r="C110" s="21" t="str">
        <f>IF(T110="TRUE",VLOOKUP(A110,'Stock Nodes'!$A$1:$D$63,4,FALSE),IF(U110="TRUE",VLOOKUP(A110,'CTT Nodes'!$A$1:$D$83,4,FALSE),VLOOKUP(A110,'ETT Nodes'!$A$1:$D$87,3,FALSE)))</f>
        <v>Specialized Command Centers</v>
      </c>
      <c r="D110" s="21" t="str">
        <f>"Node"&amp;TEXT(X110,"0")&amp;"_"&amp;A110</f>
        <v>Node15_specializedCommandCenters</v>
      </c>
      <c r="E110" s="22" t="str">
        <f>IF(OR(V110="TRUE",B110&lt;&gt;C110),"#LOC_ETT_"&amp;A110&amp;"_description",IF(T110="TRUE",VLOOKUP(A110,'Stock Nodes'!$A$1:$C$63,2,FALSE),IF(U110="TRUE",VLOOKUP(A110,'CTT Nodes'!$A$1:$D$83,2,FALSE))))</f>
        <v>#LOC_CTT_specializedCommandCenters_description</v>
      </c>
      <c r="F110" s="58">
        <v>3500</v>
      </c>
      <c r="G110" s="21">
        <f t="array" ref="G110">INDEX(TNodeCols,MATCH(1,MMULT(--(TTechTree=A110),TRANSPOSE(COLUMN(TTechTree)^0)),0))</f>
        <v>-1406.1000000000004</v>
      </c>
      <c r="H110" s="21">
        <f t="array" ref="H110">INDEX(NodeRows,MATCH(1,MMULT(--(TechTree=A110),TRANSPOSE(COLUMN(TechTree)^0)),0))</f>
        <v>1595</v>
      </c>
      <c r="I110" s="63" t="str">
        <f>TEXT(G110,"0") &amp; ", " &amp; TEXT(H110,"0") &amp;", -2"</f>
        <v>-1406, 1595, -2</v>
      </c>
      <c r="J110" s="63" t="str">
        <f>IF(T110="TRUE",VLOOKUP(A110,'Stock Nodes'!$A$1:$C$63,3,FALSE),IF(U110="TRUE",VLOOKUP(A110,'CTT Nodes'!$A$1:$G$83,7,FALSE),VLOOKUP(A110,'ETT Nodes'!$A$1:$E$87,5,FALSE)))</f>
        <v>ETTR/UI/CTT/ctt_icon_specializedCommandCenters</v>
      </c>
      <c r="K110" s="63"/>
      <c r="L110" s="63"/>
      <c r="M110" s="63"/>
      <c r="N110" s="63"/>
      <c r="O110" s="63"/>
      <c r="P110" s="63"/>
      <c r="Q110" s="63"/>
      <c r="R110" s="63"/>
      <c r="S110" s="63"/>
      <c r="T110" s="25" t="str">
        <f>IF(ISNA(VLOOKUP(A110,'Stock Nodes'!$A$1:$C$63,1,FALSE)),"FALSE","TRUE")</f>
        <v>FALSE</v>
      </c>
      <c r="U110" s="25" t="str">
        <f>IF(ISNA(VLOOKUP(A110,'CTT Nodes'!$A$1:$D$83,1,FALSE)),"FALSE","TRUE")</f>
        <v>TRUE</v>
      </c>
      <c r="V110" s="25" t="str">
        <f>IF(OR(T110="TRUE",U110="TRUE"),"FALSE","TRUE")</f>
        <v>FALSE</v>
      </c>
      <c r="W110" s="68">
        <v>108</v>
      </c>
      <c r="X110" s="59">
        <v>15</v>
      </c>
      <c r="Y110" s="20"/>
      <c r="Z110" s="20"/>
      <c r="AA110" s="20"/>
      <c r="AB110" s="20"/>
      <c r="AC110" s="20"/>
      <c r="AD110" s="20"/>
      <c r="AE110" s="20"/>
      <c r="AF110" s="20"/>
      <c r="AG110" s="20"/>
      <c r="AH110" s="20"/>
      <c r="AI110" s="20"/>
      <c r="AJ110" s="20"/>
      <c r="AK110" s="20"/>
      <c r="AL110" s="20"/>
      <c r="AM110" s="20"/>
      <c r="AN110" s="20"/>
      <c r="AO110" s="20"/>
      <c r="AP110" s="20"/>
      <c r="AQ110" s="20"/>
      <c r="AR110" s="20"/>
      <c r="AS110" s="20"/>
      <c r="AT110" s="20"/>
      <c r="AU110" s="20"/>
      <c r="AV110" s="20"/>
      <c r="AW110" s="20"/>
      <c r="AX110" s="20"/>
      <c r="AY110" s="20"/>
      <c r="AZ110" s="20"/>
      <c r="BA110" s="20"/>
      <c r="BB110" s="20"/>
      <c r="BC110" s="20"/>
      <c r="BD110" s="20"/>
      <c r="BE110" s="20"/>
      <c r="BF110" s="20"/>
      <c r="BG110" s="20"/>
      <c r="BH110" s="20"/>
    </row>
    <row r="111" spans="1:60" x14ac:dyDescent="0.25">
      <c r="A111" s="14" t="s">
        <v>19</v>
      </c>
      <c r="B111" s="21" t="s">
        <v>332</v>
      </c>
      <c r="C111" s="21" t="str">
        <f>IF(T111="TRUE",VLOOKUP(A111,'Stock Nodes'!$A$1:$D$63,4,FALSE),IF(U111="TRUE",VLOOKUP(A111,'CTT Nodes'!$A$1:$D$83,4,FALSE),VLOOKUP(A111,'ETT Nodes'!$A$1:$D$87,3,FALSE)))</f>
        <v>Space Exploration</v>
      </c>
      <c r="D111" s="21" t="str">
        <f>"Node"&amp;TEXT(X111,"0")&amp;"_"&amp;A111</f>
        <v>Node5_spaceExploration</v>
      </c>
      <c r="E111" s="22" t="str">
        <f>IF(OR(V111="TRUE",B111&lt;&gt;C111),"#LOC_ETT_"&amp;A111&amp;"_description",IF(T111="TRUE",VLOOKUP(A111,'Stock Nodes'!$A$1:$C$63,2,FALSE),IF(U111="TRUE",VLOOKUP(A111,'CTT Nodes'!$A$1:$D$83,2,FALSE))))</f>
        <v>#LOC_ETT_spaceExploration_description</v>
      </c>
      <c r="F111" s="58">
        <v>150</v>
      </c>
      <c r="G111" s="21">
        <f t="array" ref="G111">INDEX(TNodeCols,MATCH(1,MMULT(--(TTechTree=A111),TRANSPOSE(COLUMN(TTechTree)^0)),0))</f>
        <v>-1641.0000000000009</v>
      </c>
      <c r="H111" s="21">
        <f t="array" ref="H111">INDEX(NodeRows,MATCH(1,MMULT(--(TechTree=A111),TRANSPOSE(COLUMN(TechTree)^0)),0))</f>
        <v>1747</v>
      </c>
      <c r="I111" s="63" t="str">
        <f>TEXT(G111,"0") &amp; ", " &amp; TEXT(H111,"0") &amp;", -2"</f>
        <v>-1641, 1747, -2</v>
      </c>
      <c r="J111" s="63" t="str">
        <f>IF(T111="TRUE",VLOOKUP(A111,'Stock Nodes'!$A$1:$C$63,3,FALSE),IF(U111="TRUE",VLOOKUP(A111,'CTT Nodes'!$A$1:$G$83,7,FALSE),VLOOKUP(A111,'ETT Nodes'!$A$1:$E$87,5,FALSE)))</f>
        <v>RDicon_evaTech</v>
      </c>
      <c r="K111" s="63"/>
      <c r="L111" s="63"/>
      <c r="M111" s="63"/>
      <c r="N111" s="6"/>
      <c r="O111" s="63"/>
      <c r="P111" s="63"/>
      <c r="Q111" s="6"/>
      <c r="R111" s="63"/>
      <c r="S111" s="63"/>
      <c r="T111" s="25" t="str">
        <f>IF(ISNA(VLOOKUP(A111,'Stock Nodes'!$A$1:$C$63,1,FALSE)),"FALSE","TRUE")</f>
        <v>TRUE</v>
      </c>
      <c r="U111" s="25" t="str">
        <f>IF(ISNA(VLOOKUP(A111,'CTT Nodes'!$A$1:$D$83,1,FALSE)),"FALSE","TRUE")</f>
        <v>FALSE</v>
      </c>
      <c r="V111" s="25" t="str">
        <f>IF(OR(T111="TRUE",U111="TRUE"),"FALSE","TRUE")</f>
        <v>FALSE</v>
      </c>
      <c r="W111" s="68">
        <v>109</v>
      </c>
      <c r="X111" s="59">
        <v>5.25</v>
      </c>
      <c r="Y111" s="20"/>
      <c r="Z111" s="20"/>
      <c r="AA111" s="20"/>
      <c r="AB111" s="20"/>
      <c r="AC111" s="20"/>
      <c r="AD111" s="20"/>
      <c r="AE111" s="20"/>
      <c r="AF111" s="20"/>
      <c r="AG111" s="20"/>
      <c r="AH111" s="20"/>
      <c r="AI111" s="20"/>
      <c r="AJ111" s="20"/>
      <c r="AK111" s="20"/>
      <c r="AL111" s="20"/>
      <c r="AM111" s="20"/>
      <c r="AN111" s="20"/>
      <c r="AO111" s="20"/>
      <c r="AP111" s="20"/>
      <c r="AQ111" s="20"/>
      <c r="AR111" s="20"/>
      <c r="AS111" s="20"/>
      <c r="AT111" s="20"/>
      <c r="AU111" s="20"/>
      <c r="AV111" s="20"/>
      <c r="AW111" s="20"/>
      <c r="AX111" s="20"/>
      <c r="AY111" s="20"/>
      <c r="AZ111" s="20"/>
      <c r="BA111" s="20"/>
      <c r="BB111" s="20"/>
      <c r="BC111" s="20"/>
      <c r="BD111" s="20"/>
      <c r="BE111" s="20"/>
      <c r="BF111" s="20"/>
      <c r="BG111" s="20"/>
      <c r="BH111" s="20"/>
    </row>
    <row r="112" spans="1:60" x14ac:dyDescent="0.25">
      <c r="A112" s="14" t="s">
        <v>140</v>
      </c>
      <c r="B112" s="63" t="s">
        <v>141</v>
      </c>
      <c r="C112" s="21" t="str">
        <f>IF(T112="TRUE",VLOOKUP(A112,'Stock Nodes'!$A$1:$D$63,4,FALSE),IF(U112="TRUE",VLOOKUP(A112,'CTT Nodes'!$A$1:$D$83,4,FALSE),VLOOKUP(A112,'ETT Nodes'!$A$1:$D$87,3,FALSE)))</f>
        <v>Advanced Exploration</v>
      </c>
      <c r="D112" s="21" t="str">
        <f>"Node"&amp;TEXT(X112,"0")&amp;"_"&amp;A112</f>
        <v>Node6_advExploration</v>
      </c>
      <c r="E112" s="22" t="str">
        <f>IF(OR(V112="TRUE",B112&lt;&gt;C112),"#LOC_ETT_"&amp;A112&amp;"_description",IF(T112="TRUE",VLOOKUP(A112,'Stock Nodes'!$A$1:$C$63,2,FALSE),IF(U112="TRUE",VLOOKUP(A112,'CTT Nodes'!$A$1:$D$83,2,FALSE))))</f>
        <v>#autoLOC_501071 //#autoLOC_501071 = They are Self-Deploying Astronaut Mobility Enhancement Devices, I don't know what you mean by "ladders".</v>
      </c>
      <c r="F112" s="58">
        <v>200</v>
      </c>
      <c r="G112" s="21">
        <f t="array" ref="G112">INDEX(TNodeCols,MATCH(1,MMULT(--(TTechTree=A112),TRANSPOSE(COLUMN(TTechTree)^0)),0))</f>
        <v>-1562.7000000000007</v>
      </c>
      <c r="H112" s="21">
        <f t="array" ref="H112">INDEX(NodeRows,MATCH(1,MMULT(--(TechTree=A112),TRANSPOSE(COLUMN(TechTree)^0)),0))</f>
        <v>1747</v>
      </c>
      <c r="I112" s="63" t="str">
        <f>TEXT(G112,"0") &amp; ", " &amp; TEXT(H112,"0") &amp;", -2"</f>
        <v>-1563, 1747, -2</v>
      </c>
      <c r="J112" s="63" t="str">
        <f>IF(T112="TRUE",VLOOKUP(A112,'Stock Nodes'!$A$1:$C$63,3,FALSE),IF(U112="TRUE",VLOOKUP(A112,'CTT Nodes'!$A$1:$G$83,7,FALSE),VLOOKUP(A112,'ETT Nodes'!$A$1:$E$87,5,FALSE)))</f>
        <v>RDicon_exploration-advanced</v>
      </c>
      <c r="K112" s="63"/>
      <c r="L112" s="63"/>
      <c r="M112" s="63"/>
      <c r="N112" s="6"/>
      <c r="O112" s="63"/>
      <c r="P112" s="63"/>
      <c r="Q112" s="6"/>
      <c r="R112" s="63"/>
      <c r="S112" s="63"/>
      <c r="T112" s="25" t="str">
        <f>IF(ISNA(VLOOKUP(A112,'Stock Nodes'!$A$1:$C$63,1,FALSE)),"FALSE","TRUE")</f>
        <v>TRUE</v>
      </c>
      <c r="U112" s="25" t="str">
        <f>IF(ISNA(VLOOKUP(A112,'CTT Nodes'!$A$1:$D$83,1,FALSE)),"FALSE","TRUE")</f>
        <v>FALSE</v>
      </c>
      <c r="V112" s="25" t="str">
        <f>IF(OR(T112="TRUE",U112="TRUE"),"FALSE","TRUE")</f>
        <v>FALSE</v>
      </c>
      <c r="W112" s="63">
        <v>110</v>
      </c>
      <c r="X112" s="59">
        <v>5.75</v>
      </c>
      <c r="Y112" s="20"/>
      <c r="Z112" s="20"/>
      <c r="AA112" s="20"/>
      <c r="AB112" s="20"/>
      <c r="AC112" s="20"/>
      <c r="AD112" s="20"/>
      <c r="AE112" s="20"/>
      <c r="AF112" s="20"/>
      <c r="AG112" s="20"/>
      <c r="AH112" s="20"/>
      <c r="AI112" s="20"/>
      <c r="AJ112" s="20"/>
      <c r="AK112" s="20"/>
      <c r="AL112" s="20"/>
      <c r="AM112" s="20"/>
      <c r="AN112" s="20"/>
      <c r="AO112" s="20"/>
      <c r="AP112" s="20"/>
      <c r="AQ112" s="20"/>
      <c r="AR112" s="20"/>
      <c r="AS112" s="20"/>
      <c r="AT112" s="20"/>
      <c r="AU112" s="20"/>
      <c r="AV112" s="20"/>
      <c r="AW112" s="20"/>
      <c r="AX112" s="20"/>
      <c r="AY112" s="20"/>
      <c r="AZ112" s="20"/>
      <c r="BA112" s="20"/>
      <c r="BB112" s="20"/>
      <c r="BC112" s="20"/>
      <c r="BD112" s="20"/>
      <c r="BE112" s="20"/>
      <c r="BF112" s="20"/>
      <c r="BG112" s="20"/>
      <c r="BH112" s="20"/>
    </row>
    <row r="113" spans="1:60" s="13" customFormat="1" x14ac:dyDescent="0.25">
      <c r="A113" s="63" t="s">
        <v>640</v>
      </c>
      <c r="B113" s="63" t="s">
        <v>237</v>
      </c>
      <c r="C113" s="21" t="str">
        <f>IF(T113="TRUE",VLOOKUP(A113,'Stock Nodes'!$A$1:$D$63,4,FALSE),IF(U113="TRUE",VLOOKUP(A113,'CTT Nodes'!$A$1:$D$83,4,FALSE),VLOOKUP(A113,'ETT Nodes'!$A$1:$D$87,3,FALSE)))</f>
        <v>Heavy Landers</v>
      </c>
      <c r="D113" s="21" t="str">
        <f>"Node"&amp;TEXT(X113,"0")&amp;"_"&amp;A113</f>
        <v>Node7_heavyLanders</v>
      </c>
      <c r="E113" s="22" t="str">
        <f>IF(OR(V113="TRUE",B113&lt;&gt;C113),"#LOC_ETT_"&amp;A113&amp;"_description",IF(T113="TRUE",VLOOKUP(A113,'Stock Nodes'!$A$1:$C$63,2,FALSE),IF(U113="TRUE",VLOOKUP(A113,'CTT Nodes'!$A$1:$D$83,2,FALSE))))</f>
        <v>#LOC_ETT_heavyLanders_description</v>
      </c>
      <c r="F113" s="58">
        <v>275</v>
      </c>
      <c r="G113" s="21">
        <f t="array" ref="G113">INDEX(TNodeCols,MATCH(1,MMULT(--(TTechTree=A113),TRANSPOSE(COLUMN(TTechTree)^0)),0))</f>
        <v>-1641.0000000000009</v>
      </c>
      <c r="H113" s="21">
        <f t="array" ref="H113">INDEX(NodeRows,MATCH(1,MMULT(--(TechTree=A113),TRANSPOSE(COLUMN(TechTree)^0)),0))</f>
        <v>1481</v>
      </c>
      <c r="I113" s="63" t="str">
        <f>TEXT(G113,"0") &amp; ", " &amp; TEXT(H113,"0") &amp;", -2"</f>
        <v>-1641, 1481, -2</v>
      </c>
      <c r="J113" s="63" t="str">
        <f>IF(T113="TRUE",VLOOKUP(A113,'Stock Nodes'!$A$1:$C$63,3,FALSE),IF(U113="TRUE",VLOOKUP(A113,'CTT Nodes'!$A$1:$G$83,7,FALSE),VLOOKUP(A113,'ETT Nodes'!$A$1:$E$87,5,FALSE)))</f>
        <v>ETTR/UI/CTT/ctt_icon_heavyLanders</v>
      </c>
      <c r="K113" s="63"/>
      <c r="L113" s="63"/>
      <c r="M113" s="63"/>
      <c r="N113" s="63"/>
      <c r="O113" s="63"/>
      <c r="P113" s="63"/>
      <c r="Q113" s="63"/>
      <c r="R113" s="63"/>
      <c r="S113" s="63"/>
      <c r="T113" s="25" t="str">
        <f>IF(ISNA(VLOOKUP(A113,'Stock Nodes'!$A$1:$C$63,1,FALSE)),"FALSE","TRUE")</f>
        <v>FALSE</v>
      </c>
      <c r="U113" s="25" t="str">
        <f>IF(ISNA(VLOOKUP(A113,'CTT Nodes'!$A$1:$D$83,1,FALSE)),"FALSE","TRUE")</f>
        <v>TRUE</v>
      </c>
      <c r="V113" s="25" t="str">
        <f>IF(OR(T113="TRUE",U113="TRUE"),"FALSE","TRUE")</f>
        <v>FALSE</v>
      </c>
      <c r="W113" s="68">
        <v>111</v>
      </c>
      <c r="X113" s="59">
        <v>6.5</v>
      </c>
      <c r="Y113" s="20"/>
      <c r="Z113" s="20"/>
      <c r="AA113" s="20"/>
      <c r="AB113" s="20"/>
      <c r="AC113" s="20"/>
      <c r="AD113" s="20"/>
      <c r="AE113" s="20"/>
      <c r="AF113" s="20"/>
      <c r="AG113" s="20"/>
      <c r="AH113" s="20"/>
      <c r="AI113" s="20"/>
      <c r="AJ113" s="20"/>
      <c r="AK113" s="20"/>
      <c r="AL113" s="20"/>
      <c r="AM113" s="20"/>
      <c r="AN113" s="20"/>
      <c r="AO113" s="20"/>
      <c r="AP113" s="20"/>
      <c r="AQ113" s="20"/>
      <c r="AR113" s="20"/>
      <c r="AS113" s="20"/>
      <c r="AT113" s="20"/>
      <c r="AU113" s="20"/>
      <c r="AV113" s="20"/>
      <c r="AW113" s="20"/>
      <c r="AX113" s="20"/>
      <c r="AY113" s="20"/>
      <c r="AZ113" s="20"/>
      <c r="BA113" s="20"/>
      <c r="BB113" s="20"/>
      <c r="BC113" s="20"/>
      <c r="BD113" s="20"/>
      <c r="BE113" s="20"/>
      <c r="BF113" s="20"/>
      <c r="BG113" s="20"/>
      <c r="BH113" s="20"/>
    </row>
    <row r="114" spans="1:60" x14ac:dyDescent="0.25">
      <c r="A114" s="63" t="s">
        <v>635</v>
      </c>
      <c r="B114" s="63" t="s">
        <v>449</v>
      </c>
      <c r="C114" s="21" t="str">
        <f>IF(T114="TRUE",VLOOKUP(A114,'Stock Nodes'!$A$1:$D$63,4,FALSE),IF(U114="TRUE",VLOOKUP(A114,'CTT Nodes'!$A$1:$D$83,4,FALSE),VLOOKUP(A114,'ETT Nodes'!$A$1:$D$87,3,FALSE)))</f>
        <v>Specialized Landers</v>
      </c>
      <c r="D114" s="21" t="str">
        <f>"Node"&amp;TEXT(X114,"0")&amp;"_"&amp;A114</f>
        <v>Node7_specializedLanders</v>
      </c>
      <c r="E114" s="22" t="str">
        <f>IF(OR(V114="TRUE",B114&lt;&gt;C114),"#LOC_ETT_"&amp;A114&amp;"_description",IF(T114="TRUE",VLOOKUP(A114,'Stock Nodes'!$A$1:$C$63,2,FALSE),IF(U114="TRUE",VLOOKUP(A114,'CTT Nodes'!$A$1:$D$83,2,FALSE))))</f>
        <v>#LOC_CTT_specializedLanders_description</v>
      </c>
      <c r="F114" s="58">
        <v>375</v>
      </c>
      <c r="G114" s="21">
        <f t="array" ref="G114">INDEX(TNodeCols,MATCH(1,MMULT(--(TTechTree=A114),TRANSPOSE(COLUMN(TTechTree)^0)),0))</f>
        <v>-1562.7000000000007</v>
      </c>
      <c r="H114" s="21">
        <f t="array" ref="H114">INDEX(NodeRows,MATCH(1,MMULT(--(TechTree=A114),TRANSPOSE(COLUMN(TechTree)^0)),0))</f>
        <v>1481</v>
      </c>
      <c r="I114" s="63" t="str">
        <f>TEXT(G114,"0") &amp; ", " &amp; TEXT(H114,"0") &amp;", -2"</f>
        <v>-1563, 1481, -2</v>
      </c>
      <c r="J114" s="63" t="str">
        <f>IF(T114="TRUE",VLOOKUP(A114,'Stock Nodes'!$A$1:$C$63,3,FALSE),IF(U114="TRUE",VLOOKUP(A114,'CTT Nodes'!$A$1:$G$83,7,FALSE),VLOOKUP(A114,'ETT Nodes'!$A$1:$E$87,5,FALSE)))</f>
        <v>ETTR/UI/CTT/ctt_icon_specializedLanders</v>
      </c>
      <c r="K114" s="63"/>
      <c r="L114" s="63"/>
      <c r="M114" s="63"/>
      <c r="N114" s="63"/>
      <c r="O114" s="63"/>
      <c r="P114" s="63"/>
      <c r="Q114" s="63"/>
      <c r="R114" s="63"/>
      <c r="S114" s="63"/>
      <c r="T114" s="25" t="str">
        <f>IF(ISNA(VLOOKUP(A114,'Stock Nodes'!$A$1:$C$63,1,FALSE)),"FALSE","TRUE")</f>
        <v>FALSE</v>
      </c>
      <c r="U114" s="25" t="str">
        <f>IF(ISNA(VLOOKUP(A114,'CTT Nodes'!$A$1:$D$83,1,FALSE)),"FALSE","TRUE")</f>
        <v>TRUE</v>
      </c>
      <c r="V114" s="25" t="str">
        <f>IF(OR(T114="TRUE",U114="TRUE"),"FALSE","TRUE")</f>
        <v>FALSE</v>
      </c>
      <c r="W114" s="68">
        <v>112</v>
      </c>
      <c r="X114" s="59">
        <v>7</v>
      </c>
      <c r="Y114" s="20"/>
      <c r="Z114" s="20"/>
      <c r="AA114" s="20"/>
      <c r="AB114" s="20"/>
      <c r="AC114" s="20"/>
      <c r="AD114" s="20"/>
      <c r="AE114" s="20"/>
      <c r="AF114" s="20"/>
      <c r="AG114" s="20"/>
      <c r="AH114" s="20"/>
      <c r="AI114" s="20"/>
      <c r="AJ114" s="20"/>
      <c r="AK114" s="20"/>
      <c r="AL114" s="20"/>
      <c r="AM114" s="20"/>
      <c r="AN114" s="20"/>
      <c r="AO114" s="20"/>
      <c r="AP114" s="20"/>
      <c r="AQ114" s="20"/>
      <c r="AR114" s="20"/>
      <c r="AS114" s="20"/>
      <c r="AT114" s="20"/>
      <c r="AU114" s="20"/>
      <c r="AV114" s="20"/>
      <c r="AW114" s="20"/>
      <c r="AX114" s="20"/>
      <c r="AY114" s="20"/>
      <c r="AZ114" s="20"/>
      <c r="BA114" s="20"/>
      <c r="BB114" s="20"/>
      <c r="BC114" s="20"/>
      <c r="BD114" s="20"/>
      <c r="BE114" s="20"/>
      <c r="BF114" s="20"/>
      <c r="BG114" s="20"/>
      <c r="BH114" s="20"/>
    </row>
    <row r="115" spans="1:60" x14ac:dyDescent="0.25">
      <c r="A115" s="63" t="s">
        <v>172</v>
      </c>
      <c r="B115" s="63" t="s">
        <v>276</v>
      </c>
      <c r="C115" s="21" t="str">
        <f>IF(T115="TRUE",VLOOKUP(A115,'Stock Nodes'!$A$1:$D$63,4,FALSE),IF(U115="TRUE",VLOOKUP(A115,'CTT Nodes'!$A$1:$D$83,4,FALSE),VLOOKUP(A115,'ETT Nodes'!$A$1:$D$87,3,FALSE)))</f>
        <v>Logistics</v>
      </c>
      <c r="D115" s="21" t="str">
        <f>"Node"&amp;TEXT(X115,"0")&amp;"_"&amp;A115</f>
        <v>Node8_logistics</v>
      </c>
      <c r="E115" s="22" t="str">
        <f>IF(OR(V115="TRUE",B115&lt;&gt;C115),"#LOC_ETT_"&amp;A115&amp;"_description",IF(T115="TRUE",VLOOKUP(A115,'Stock Nodes'!$A$1:$C$63,2,FALSE),IF(U115="TRUE",VLOOKUP(A115,'CTT Nodes'!$A$1:$D$83,2,FALSE))))</f>
        <v>#LOC_ETT_logistics_description</v>
      </c>
      <c r="F115" s="58">
        <v>495</v>
      </c>
      <c r="G115" s="21">
        <f t="array" ref="G115">INDEX(TNodeCols,MATCH(1,MMULT(--(TTechTree=A115),TRANSPOSE(COLUMN(TTechTree)^0)),0))</f>
        <v>-1484.4000000000005</v>
      </c>
      <c r="H115" s="21">
        <f t="array" ref="H115">INDEX(NodeRows,MATCH(1,MMULT(--(TechTree=A115),TRANSPOSE(COLUMN(TechTree)^0)),0))</f>
        <v>1481</v>
      </c>
      <c r="I115" s="63" t="str">
        <f>TEXT(G115,"0") &amp; ", " &amp; TEXT(H115,"0") &amp;", -2"</f>
        <v>-1484, 1481, -2</v>
      </c>
      <c r="J115" s="63" t="str">
        <f>IF(T115="TRUE",VLOOKUP(A115,'Stock Nodes'!$A$1:$C$63,3,FALSE),IF(U115="TRUE",VLOOKUP(A115,'CTT Nodes'!$A$1:$G$83,7,FALSE),VLOOKUP(A115,'ETT Nodes'!$A$1:$E$87,5,FALSE)))</f>
        <v>ETTR/UI/CTT/ctt_icon_logistics</v>
      </c>
      <c r="K115" s="63"/>
      <c r="L115" s="63"/>
      <c r="M115" s="63"/>
      <c r="N115" s="63"/>
      <c r="O115" s="63"/>
      <c r="P115" s="63"/>
      <c r="Q115" s="63"/>
      <c r="R115" s="63"/>
      <c r="S115" s="63"/>
      <c r="T115" s="25" t="str">
        <f>IF(ISNA(VLOOKUP(A115,'Stock Nodes'!$A$1:$C$63,1,FALSE)),"FALSE","TRUE")</f>
        <v>FALSE</v>
      </c>
      <c r="U115" s="25" t="str">
        <f>IF(ISNA(VLOOKUP(A115,'CTT Nodes'!$A$1:$D$83,1,FALSE)),"FALSE","TRUE")</f>
        <v>TRUE</v>
      </c>
      <c r="V115" s="25" t="str">
        <f>IF(OR(T115="TRUE",U115="TRUE"),"FALSE","TRUE")</f>
        <v>FALSE</v>
      </c>
      <c r="W115" s="63">
        <v>113</v>
      </c>
      <c r="X115" s="59">
        <v>8</v>
      </c>
      <c r="Y115" s="20"/>
      <c r="Z115" s="20"/>
      <c r="AA115" s="20"/>
      <c r="AB115" s="20"/>
      <c r="AC115" s="20"/>
      <c r="AD115" s="20"/>
      <c r="AE115" s="20"/>
      <c r="AF115" s="20"/>
      <c r="AG115" s="20"/>
      <c r="AH115" s="20"/>
      <c r="AI115" s="20"/>
      <c r="AJ115" s="20"/>
      <c r="AK115" s="20"/>
      <c r="AL115" s="20"/>
      <c r="AM115" s="20"/>
      <c r="AN115" s="20"/>
      <c r="AO115" s="20"/>
      <c r="AP115" s="20"/>
      <c r="AQ115" s="20"/>
      <c r="AR115" s="20"/>
      <c r="AS115" s="20"/>
      <c r="AT115" s="20"/>
      <c r="AU115" s="20"/>
      <c r="AV115" s="20"/>
      <c r="AW115" s="20"/>
      <c r="AX115" s="20"/>
      <c r="AY115" s="20"/>
      <c r="AZ115" s="20"/>
      <c r="BA115" s="20"/>
      <c r="BB115" s="20"/>
      <c r="BC115" s="20"/>
      <c r="BD115" s="20"/>
      <c r="BE115" s="20"/>
      <c r="BF115" s="20"/>
      <c r="BG115" s="20"/>
      <c r="BH115" s="20"/>
    </row>
    <row r="116" spans="1:60" x14ac:dyDescent="0.25">
      <c r="A116" s="63" t="s">
        <v>170</v>
      </c>
      <c r="B116" s="63" t="s">
        <v>171</v>
      </c>
      <c r="C116" s="21" t="str">
        <f>IF(T116="TRUE",VLOOKUP(A116,'Stock Nodes'!$A$1:$D$63,4,FALSE),IF(U116="TRUE",VLOOKUP(A116,'CTT Nodes'!$A$1:$D$83,4,FALSE),VLOOKUP(A116,'ETT Nodes'!$A$1:$D$87,3,FALSE)))</f>
        <v>Advanced Logistics</v>
      </c>
      <c r="D116" s="21" t="str">
        <f>"Node"&amp;TEXT(X116,"0")&amp;"_"&amp;A116</f>
        <v>Node10_advLogistics</v>
      </c>
      <c r="E116" s="22" t="str">
        <f>IF(OR(V116="TRUE",B116&lt;&gt;C116),"#LOC_ETT_"&amp;A116&amp;"_description",IF(T116="TRUE",VLOOKUP(A116,'Stock Nodes'!$A$1:$C$63,2,FALSE),IF(U116="TRUE",VLOOKUP(A116,'CTT Nodes'!$A$1:$D$83,2,FALSE))))</f>
        <v>#LOC_CTT_advLogistics_description</v>
      </c>
      <c r="F116" s="58">
        <v>1000</v>
      </c>
      <c r="G116" s="21">
        <f t="array" ref="G116">INDEX(TNodeCols,MATCH(1,MMULT(--(TTechTree=A116),TRANSPOSE(COLUMN(TTechTree)^0)),0))</f>
        <v>-1406.1000000000004</v>
      </c>
      <c r="H116" s="21">
        <f t="array" ref="H116">INDEX(NodeRows,MATCH(1,MMULT(--(TechTree=A116),TRANSPOSE(COLUMN(TechTree)^0)),0))</f>
        <v>1481</v>
      </c>
      <c r="I116" s="63" t="str">
        <f>TEXT(G116,"0") &amp; ", " &amp; TEXT(H116,"0") &amp;", -2"</f>
        <v>-1406, 1481, -2</v>
      </c>
      <c r="J116" s="63" t="str">
        <f>IF(T116="TRUE",VLOOKUP(A116,'Stock Nodes'!$A$1:$C$63,3,FALSE),IF(U116="TRUE",VLOOKUP(A116,'CTT Nodes'!$A$1:$G$83,7,FALSE),VLOOKUP(A116,'ETT Nodes'!$A$1:$E$87,5,FALSE)))</f>
        <v>ETTR/UI/CTT/ctt_icon_advancedLogistics</v>
      </c>
      <c r="K116" s="63"/>
      <c r="L116" s="63"/>
      <c r="M116" s="63"/>
      <c r="N116" s="63"/>
      <c r="O116" s="63"/>
      <c r="P116" s="63"/>
      <c r="Q116" s="63"/>
      <c r="R116" s="63"/>
      <c r="S116" s="63"/>
      <c r="T116" s="25" t="str">
        <f>IF(ISNA(VLOOKUP(A116,'Stock Nodes'!$A$1:$C$63,1,FALSE)),"FALSE","TRUE")</f>
        <v>FALSE</v>
      </c>
      <c r="U116" s="25" t="str">
        <f>IF(ISNA(VLOOKUP(A116,'CTT Nodes'!$A$1:$D$83,1,FALSE)),"FALSE","TRUE")</f>
        <v>TRUE</v>
      </c>
      <c r="V116" s="25" t="str">
        <f>IF(OR(T116="TRUE",U116="TRUE"),"FALSE","TRUE")</f>
        <v>FALSE</v>
      </c>
      <c r="W116" s="68">
        <v>114</v>
      </c>
      <c r="X116" s="59">
        <v>10</v>
      </c>
      <c r="Y116" s="20"/>
      <c r="Z116" s="20"/>
      <c r="AA116" s="20"/>
      <c r="AB116" s="20"/>
      <c r="AC116" s="20"/>
      <c r="AD116" s="20"/>
      <c r="AE116" s="20"/>
      <c r="AF116" s="20"/>
      <c r="AG116" s="20"/>
      <c r="AH116" s="20"/>
      <c r="AI116" s="20"/>
      <c r="AJ116" s="20"/>
      <c r="AK116" s="20"/>
      <c r="AL116" s="20"/>
      <c r="AM116" s="20"/>
      <c r="AN116" s="20"/>
      <c r="AO116" s="20"/>
      <c r="AP116" s="20"/>
      <c r="AQ116" s="20"/>
      <c r="AR116" s="20"/>
      <c r="AS116" s="20"/>
      <c r="AT116" s="20"/>
      <c r="AU116" s="20"/>
      <c r="AV116" s="20"/>
      <c r="AW116" s="20"/>
      <c r="AX116" s="20"/>
      <c r="AY116" s="20"/>
      <c r="AZ116" s="20"/>
      <c r="BA116" s="20"/>
      <c r="BB116" s="20"/>
      <c r="BC116" s="20"/>
      <c r="BD116" s="20"/>
      <c r="BE116" s="20"/>
      <c r="BF116" s="20"/>
      <c r="BG116" s="20"/>
      <c r="BH116" s="20"/>
    </row>
    <row r="117" spans="1:60" x14ac:dyDescent="0.25">
      <c r="A117" s="21" t="s">
        <v>493</v>
      </c>
      <c r="B117" s="21" t="s">
        <v>301</v>
      </c>
      <c r="C117" s="21" t="str">
        <f>IF(T117="TRUE",VLOOKUP(A117,'Stock Nodes'!$A$1:$D$63,4,FALSE),IF(U117="TRUE",VLOOKUP(A117,'CTT Nodes'!$A$1:$D$83,4,FALSE),VLOOKUP(A117,'ETT Nodes'!$A$1:$D$87,3,FALSE)))</f>
        <v>Strap-on Boosters</v>
      </c>
      <c r="D117" s="21" t="str">
        <f>"Node"&amp;TEXT(X117,"0")&amp;"_"&amp;A117</f>
        <v>Node3_radialTech</v>
      </c>
      <c r="E117" s="22" t="str">
        <f>IF(OR(V117="TRUE",B117&lt;&gt;C117),"#LOC_ETT_"&amp;A117&amp;"_description",IF(T117="TRUE",VLOOKUP(A117,'Stock Nodes'!$A$1:$C$63,2,FALSE),IF(U117="TRUE",VLOOKUP(A117,'CTT Nodes'!$A$1:$D$83,2,FALSE))))</f>
        <v>#LOC_ETT_radialTech_description</v>
      </c>
      <c r="F117" s="58">
        <v>25</v>
      </c>
      <c r="G117" s="21">
        <f t="array" ref="G117">INDEX(TNodeCols,MATCH(1,MMULT(--(TTechTree=A117),TRANSPOSE(COLUMN(TTechTree)^0)),0))</f>
        <v>-1797.6000000000013</v>
      </c>
      <c r="H117" s="21">
        <f t="array" ref="H117">INDEX(NodeRows,MATCH(1,MMULT(--(TechTree=A117),TRANSPOSE(COLUMN(TechTree)^0)),0))</f>
        <v>1101</v>
      </c>
      <c r="I117" s="63" t="str">
        <f>TEXT(G117,"0") &amp; ", " &amp; TEXT(H117,"0") &amp;", -2"</f>
        <v>-1798, 1101, -2</v>
      </c>
      <c r="J117" s="63">
        <f>IF(T117="TRUE",VLOOKUP(A117,'Stock Nodes'!$A$1:$C$63,3,FALSE),IF(U117="TRUE",VLOOKUP(A117,'CTT Nodes'!$A$1:$G$83,7,FALSE),VLOOKUP(A117,'ETT Nodes'!$A$1:$E$87,5,FALSE)))</f>
        <v>0</v>
      </c>
      <c r="K117" s="63"/>
      <c r="L117" s="63"/>
      <c r="M117" s="63"/>
      <c r="N117" s="6"/>
      <c r="O117" s="63"/>
      <c r="P117" s="63"/>
      <c r="Q117" s="6"/>
      <c r="R117" s="63"/>
      <c r="S117" s="63"/>
      <c r="T117" s="25" t="str">
        <f>IF(ISNA(VLOOKUP(A117,'Stock Nodes'!$A$1:$C$63,1,FALSE)),"FALSE","TRUE")</f>
        <v>FALSE</v>
      </c>
      <c r="U117" s="25" t="str">
        <f>IF(ISNA(VLOOKUP(A117,'CTT Nodes'!$A$1:$D$83,1,FALSE)),"FALSE","TRUE")</f>
        <v>FALSE</v>
      </c>
      <c r="V117" s="25" t="str">
        <f>IF(OR(T117="TRUE",U117="TRUE"),"FALSE","TRUE")</f>
        <v>TRUE</v>
      </c>
      <c r="W117" s="68">
        <v>115</v>
      </c>
      <c r="X117" s="59">
        <v>3</v>
      </c>
      <c r="Y117" s="20"/>
      <c r="Z117" s="20"/>
      <c r="AA117" s="20"/>
      <c r="AB117" s="20"/>
      <c r="AC117" s="20"/>
      <c r="AD117" s="20"/>
      <c r="AE117" s="20"/>
      <c r="AF117" s="20"/>
      <c r="AG117" s="20"/>
      <c r="AH117" s="20"/>
      <c r="AI117" s="20"/>
      <c r="AJ117" s="20"/>
      <c r="AK117" s="20"/>
      <c r="AL117" s="20"/>
      <c r="AM117" s="20"/>
      <c r="AN117" s="20"/>
      <c r="AO117" s="20"/>
      <c r="AP117" s="20"/>
      <c r="AQ117" s="20"/>
      <c r="AR117" s="20"/>
      <c r="AS117" s="20"/>
      <c r="AT117" s="20"/>
      <c r="AU117" s="20"/>
      <c r="AV117" s="20"/>
      <c r="AW117" s="20"/>
      <c r="AX117" s="20"/>
      <c r="AY117" s="20"/>
      <c r="AZ117" s="20"/>
      <c r="BA117" s="20"/>
      <c r="BB117" s="20"/>
      <c r="BC117" s="20"/>
      <c r="BD117" s="20"/>
      <c r="BE117" s="20"/>
      <c r="BF117" s="20"/>
      <c r="BG117" s="20"/>
      <c r="BH117" s="20"/>
    </row>
    <row r="118" spans="1:60" x14ac:dyDescent="0.25">
      <c r="A118" s="63" t="s">
        <v>492</v>
      </c>
      <c r="B118" s="63" t="s">
        <v>281</v>
      </c>
      <c r="C118" s="21" t="str">
        <f>IF(T118="TRUE",VLOOKUP(A118,'Stock Nodes'!$A$1:$D$63,4,FALSE),IF(U118="TRUE",VLOOKUP(A118,'CTT Nodes'!$A$1:$D$83,4,FALSE),VLOOKUP(A118,'ETT Nodes'!$A$1:$D$87,3,FALSE)))</f>
        <v>Advanced Radial Decouplers</v>
      </c>
      <c r="D118" s="21" t="str">
        <f>"Node"&amp;TEXT(X118,"0")&amp;"_"&amp;A118</f>
        <v>Node5_advRadialTech</v>
      </c>
      <c r="E118" s="22" t="str">
        <f>IF(OR(V118="TRUE",B118&lt;&gt;C118),"#LOC_ETT_"&amp;A118&amp;"_description",IF(T118="TRUE",VLOOKUP(A118,'Stock Nodes'!$A$1:$C$63,2,FALSE),IF(U118="TRUE",VLOOKUP(A118,'CTT Nodes'!$A$1:$D$83,2,FALSE))))</f>
        <v>#LOC_ETT_advRadialTech_description</v>
      </c>
      <c r="F118" s="58">
        <v>95</v>
      </c>
      <c r="G118" s="21">
        <f t="array" ref="G118">INDEX(TNodeCols,MATCH(1,MMULT(--(TTechTree=A118),TRANSPOSE(COLUMN(TTechTree)^0)),0))</f>
        <v>-1719.3000000000011</v>
      </c>
      <c r="H118" s="21">
        <f t="array" ref="H118">INDEX(NodeRows,MATCH(1,MMULT(--(TechTree=A118),TRANSPOSE(COLUMN(TechTree)^0)),0))</f>
        <v>1101</v>
      </c>
      <c r="I118" s="63" t="str">
        <f>TEXT(G118,"0") &amp; ", " &amp; TEXT(H118,"0") &amp;", -2"</f>
        <v>-1719, 1101, -2</v>
      </c>
      <c r="J118" s="63">
        <f>IF(T118="TRUE",VLOOKUP(A118,'Stock Nodes'!$A$1:$C$63,3,FALSE),IF(U118="TRUE",VLOOKUP(A118,'CTT Nodes'!$A$1:$G$83,7,FALSE),VLOOKUP(A118,'ETT Nodes'!$A$1:$E$87,5,FALSE)))</f>
        <v>0</v>
      </c>
      <c r="K118" s="63"/>
      <c r="L118" s="63"/>
      <c r="M118" s="63"/>
      <c r="N118" s="63"/>
      <c r="O118" s="63"/>
      <c r="P118" s="63"/>
      <c r="Q118" s="63"/>
      <c r="R118" s="63"/>
      <c r="S118" s="63"/>
      <c r="T118" s="25" t="str">
        <f>IF(ISNA(VLOOKUP(A118,'Stock Nodes'!$A$1:$C$63,1,FALSE)),"FALSE","TRUE")</f>
        <v>FALSE</v>
      </c>
      <c r="U118" s="25" t="str">
        <f>IF(ISNA(VLOOKUP(A118,'CTT Nodes'!$A$1:$D$83,1,FALSE)),"FALSE","TRUE")</f>
        <v>FALSE</v>
      </c>
      <c r="V118" s="25" t="str">
        <f>IF(OR(T118="TRUE",U118="TRUE"),"FALSE","TRUE")</f>
        <v>TRUE</v>
      </c>
      <c r="W118" s="63">
        <v>116</v>
      </c>
      <c r="X118" s="59">
        <v>4.67</v>
      </c>
      <c r="Y118" s="20"/>
      <c r="Z118" s="20"/>
      <c r="AA118" s="20"/>
      <c r="AB118" s="20"/>
      <c r="AC118" s="20"/>
      <c r="AD118" s="20"/>
      <c r="AE118" s="20"/>
      <c r="AF118" s="20"/>
      <c r="AG118" s="20"/>
      <c r="AH118" s="20"/>
      <c r="AI118" s="20"/>
      <c r="AJ118" s="20"/>
      <c r="AK118" s="20"/>
      <c r="AL118" s="20"/>
      <c r="AM118" s="20"/>
      <c r="AN118" s="20"/>
      <c r="AO118" s="20"/>
      <c r="AP118" s="20"/>
      <c r="AQ118" s="20"/>
      <c r="AR118" s="20"/>
      <c r="AS118" s="20"/>
      <c r="AT118" s="20"/>
      <c r="AU118" s="20"/>
      <c r="AV118" s="20"/>
      <c r="AW118" s="20"/>
      <c r="AX118" s="20"/>
      <c r="AY118" s="20"/>
      <c r="AZ118" s="20"/>
      <c r="BA118" s="20"/>
      <c r="BB118" s="20"/>
      <c r="BC118" s="20"/>
      <c r="BD118" s="20"/>
      <c r="BE118" s="20"/>
      <c r="BF118" s="20"/>
      <c r="BG118" s="20"/>
      <c r="BH118" s="20"/>
    </row>
    <row r="119" spans="1:60" x14ac:dyDescent="0.25">
      <c r="A119" s="60" t="s">
        <v>494</v>
      </c>
      <c r="B119" s="63" t="s">
        <v>331</v>
      </c>
      <c r="C119" s="21" t="str">
        <f>IF(T119="TRUE",VLOOKUP(A119,'Stock Nodes'!$A$1:$D$63,4,FALSE),IF(U119="TRUE",VLOOKUP(A119,'CTT Nodes'!$A$1:$D$83,4,FALSE),VLOOKUP(A119,'ETT Nodes'!$A$1:$D$87,3,FALSE)))</f>
        <v>Experimental Radial Decouplers</v>
      </c>
      <c r="D119" s="21" t="str">
        <f>"Node"&amp;TEXT(X119,"0")&amp;"_"&amp;A119</f>
        <v>Node7_experimentalRadialTech</v>
      </c>
      <c r="E119" s="22" t="str">
        <f>IF(OR(V119="TRUE",B119&lt;&gt;C119),"#LOC_ETT_"&amp;A119&amp;"_description",IF(T119="TRUE",VLOOKUP(A119,'Stock Nodes'!$A$1:$C$63,2,FALSE),IF(U119="TRUE",VLOOKUP(A119,'CTT Nodes'!$A$1:$D$83,2,FALSE))))</f>
        <v>#LOC_ETT_experimentalRadialTech_description</v>
      </c>
      <c r="F119" s="58">
        <v>275</v>
      </c>
      <c r="G119" s="46">
        <f t="array" ref="G119">INDEX(TNodeCols,MATCH(1,MMULT(--(TTechTree=A119),TRANSPOSE(COLUMN(TTechTree)^0)),0))</f>
        <v>-1641.0000000000009</v>
      </c>
      <c r="H119" s="21">
        <f t="array" ref="H119">INDEX(NodeRows,MATCH(1,MMULT(--(TechTree=A119),TRANSPOSE(COLUMN(TechTree)^0)),0))</f>
        <v>1101</v>
      </c>
      <c r="I119" s="63" t="str">
        <f>TEXT(G119,"0") &amp; ", " &amp; TEXT(H119,"0") &amp;", -2"</f>
        <v>-1641, 1101, -2</v>
      </c>
      <c r="J119" s="63">
        <f>IF(T119="TRUE",VLOOKUP(A119,'Stock Nodes'!$A$1:$C$63,3,FALSE),IF(U119="TRUE",VLOOKUP(A119,'CTT Nodes'!$A$1:$G$83,7,FALSE),VLOOKUP(A119,'ETT Nodes'!$A$1:$E$87,5,FALSE)))</f>
        <v>0</v>
      </c>
      <c r="K119" s="63"/>
      <c r="L119" s="63"/>
      <c r="M119" s="63"/>
      <c r="N119" s="60"/>
      <c r="O119" s="63"/>
      <c r="P119" s="63"/>
      <c r="Q119" s="60"/>
      <c r="R119" s="63"/>
      <c r="S119" s="63"/>
      <c r="T119" s="25" t="str">
        <f>IF(ISNA(VLOOKUP(A119,'Stock Nodes'!$A$1:$C$63,1,FALSE)),"FALSE","TRUE")</f>
        <v>FALSE</v>
      </c>
      <c r="U119" s="25" t="str">
        <f>IF(ISNA(VLOOKUP(A119,'CTT Nodes'!$A$1:$D$83,1,FALSE)),"FALSE","TRUE")</f>
        <v>FALSE</v>
      </c>
      <c r="V119" s="25" t="str">
        <f>IF(OR(T119="TRUE",U119="TRUE"),"FALSE","TRUE")</f>
        <v>TRUE</v>
      </c>
      <c r="W119" s="68">
        <v>117</v>
      </c>
      <c r="X119" s="59">
        <v>6.5</v>
      </c>
      <c r="Y119" s="20"/>
      <c r="Z119" s="20"/>
      <c r="AA119" s="20"/>
      <c r="AB119" s="20"/>
      <c r="AC119" s="20"/>
      <c r="AD119" s="20"/>
      <c r="AE119" s="20"/>
      <c r="AF119" s="20"/>
      <c r="AG119" s="20"/>
      <c r="AH119" s="20"/>
      <c r="AI119" s="20"/>
      <c r="AJ119" s="20"/>
      <c r="AK119" s="20"/>
      <c r="AL119" s="20"/>
      <c r="AM119" s="20"/>
      <c r="AN119" s="20"/>
      <c r="AO119" s="20"/>
      <c r="AP119" s="20"/>
      <c r="AQ119" s="20"/>
      <c r="AR119" s="20"/>
      <c r="AS119" s="20"/>
      <c r="AT119" s="20"/>
      <c r="AU119" s="20"/>
      <c r="AV119" s="20"/>
      <c r="AW119" s="20"/>
      <c r="AX119" s="20"/>
      <c r="AY119" s="20"/>
      <c r="AZ119" s="20"/>
      <c r="BA119" s="20"/>
      <c r="BB119" s="20"/>
      <c r="BC119" s="20"/>
      <c r="BD119" s="20"/>
      <c r="BE119" s="20"/>
      <c r="BF119" s="20"/>
      <c r="BG119" s="20"/>
      <c r="BH119" s="20"/>
    </row>
    <row r="120" spans="1:60" x14ac:dyDescent="0.25">
      <c r="A120" s="63" t="s">
        <v>106</v>
      </c>
      <c r="B120" s="21" t="s">
        <v>107</v>
      </c>
      <c r="C120" s="21" t="str">
        <f>IF(T120="TRUE",VLOOKUP(A120,'Stock Nodes'!$A$1:$D$63,4,FALSE),IF(U120="TRUE",VLOOKUP(A120,'CTT Nodes'!$A$1:$D$83,4,FALSE),VLOOKUP(A120,'ETT Nodes'!$A$1:$D$87,3,FALSE)))</f>
        <v>Stability</v>
      </c>
      <c r="D120" s="21" t="str">
        <f>"Node"&amp;TEXT(X120,"0")&amp;"_"&amp;A120</f>
        <v>Node2_stability</v>
      </c>
      <c r="E120" s="22" t="str">
        <f>IF(OR(V120="TRUE",B120&lt;&gt;C120),"#LOC_ETT_"&amp;A120&amp;"_description",IF(T120="TRUE",VLOOKUP(A120,'Stock Nodes'!$A$1:$C$63,2,FALSE),IF(U120="TRUE",VLOOKUP(A120,'CTT Nodes'!$A$1:$D$83,2,FALSE))))</f>
        <v>#LOC_ETT_stability_description</v>
      </c>
      <c r="F120" s="58">
        <v>5</v>
      </c>
      <c r="G120" s="46">
        <f t="array" ref="G120">INDEX(TNodeCols,MATCH(1,MMULT(--(TTechTree=A120),TRANSPOSE(COLUMN(TTechTree)^0)),0))</f>
        <v>-2110.800000000002</v>
      </c>
      <c r="H120" s="21">
        <f t="array" ref="H120">INDEX(NodeRows,MATCH(1,MMULT(--(TechTree=A120),TRANSPOSE(COLUMN(TechTree)^0)),0))</f>
        <v>1709</v>
      </c>
      <c r="I120" s="63" t="str">
        <f>TEXT(G120,"0") &amp; ", " &amp; TEXT(H120,"0") &amp;", -2"</f>
        <v>-2111, 1709, -2</v>
      </c>
      <c r="J120" s="63" t="str">
        <f>IF(T120="TRUE",VLOOKUP(A120,'Stock Nodes'!$A$1:$C$63,3,FALSE),IF(U120="TRUE",VLOOKUP(A120,'CTT Nodes'!$A$1:$G$83,7,FALSE),VLOOKUP(A120,'ETT Nodes'!$A$1:$E$87,5,FALSE)))</f>
        <v>RDicon_stability</v>
      </c>
      <c r="K120" s="6" t="s">
        <v>57</v>
      </c>
      <c r="L120" s="63" t="s">
        <v>2067</v>
      </c>
      <c r="M120" s="63" t="s">
        <v>2068</v>
      </c>
      <c r="N120" s="6"/>
      <c r="O120" s="63"/>
      <c r="P120" s="63"/>
      <c r="Q120" s="6"/>
      <c r="R120" s="63"/>
      <c r="S120" s="63"/>
      <c r="T120" s="25" t="str">
        <f>IF(ISNA(VLOOKUP(A120,'Stock Nodes'!$A$1:$C$63,1,FALSE)),"FALSE","TRUE")</f>
        <v>TRUE</v>
      </c>
      <c r="U120" s="25" t="str">
        <f>IF(ISNA(VLOOKUP(A120,'CTT Nodes'!$A$1:$D$83,1,FALSE)),"FALSE","TRUE")</f>
        <v>FALSE</v>
      </c>
      <c r="V120" s="25" t="str">
        <f>IF(OR(T120="TRUE",U120="TRUE"),"FALSE","TRUE")</f>
        <v>FALSE</v>
      </c>
      <c r="W120" s="68">
        <v>118</v>
      </c>
      <c r="X120" s="59">
        <v>1.5</v>
      </c>
      <c r="Y120" s="20"/>
      <c r="Z120" s="20"/>
      <c r="AA120" s="20"/>
      <c r="AB120" s="20"/>
      <c r="AC120" s="20"/>
      <c r="AD120" s="20"/>
      <c r="AE120" s="20"/>
      <c r="AF120" s="20"/>
      <c r="AG120" s="20"/>
      <c r="AH120" s="20"/>
      <c r="AI120" s="20"/>
      <c r="AJ120" s="20"/>
      <c r="AK120" s="20"/>
      <c r="AL120" s="20"/>
      <c r="AM120" s="20"/>
      <c r="AN120" s="20"/>
      <c r="AO120" s="20"/>
      <c r="AP120" s="20"/>
      <c r="AQ120" s="20"/>
      <c r="AR120" s="20"/>
      <c r="AS120" s="20"/>
      <c r="AT120" s="20"/>
      <c r="AU120" s="20"/>
      <c r="AV120" s="20"/>
      <c r="AW120" s="20"/>
      <c r="AX120" s="20"/>
      <c r="AY120" s="20"/>
      <c r="AZ120" s="20"/>
      <c r="BA120" s="20"/>
      <c r="BB120" s="20"/>
      <c r="BC120" s="20"/>
      <c r="BD120" s="20"/>
      <c r="BE120" s="20"/>
      <c r="BF120" s="20"/>
      <c r="BG120" s="20"/>
      <c r="BH120" s="20"/>
    </row>
    <row r="121" spans="1:60" s="20" customFormat="1" x14ac:dyDescent="0.25">
      <c r="A121" s="63" t="s">
        <v>812</v>
      </c>
      <c r="B121" s="21" t="s">
        <v>111</v>
      </c>
      <c r="C121" s="21" t="str">
        <f>IF(T121="TRUE",VLOOKUP(A121,'Stock Nodes'!$A$1:$D$63,4,FALSE),IF(U121="TRUE",VLOOKUP(A121,'CTT Nodes'!$A$1:$D$83,4,FALSE),VLOOKUP(A121,'ETT Nodes'!$A$1:$D$87,3,FALSE)))</f>
        <v>Advanced Stability</v>
      </c>
      <c r="D121" s="21" t="str">
        <f>"Node"&amp;TEXT(X121,"0")&amp;"_"&amp;A121</f>
        <v>Node3_advStability</v>
      </c>
      <c r="E121" s="22" t="str">
        <f>IF(OR(V121="TRUE",B121&lt;&gt;C121),"#LOC_ETT_"&amp;A121&amp;"_description",IF(T121="TRUE",VLOOKUP(A121,'Stock Nodes'!$A$1:$C$63,2,FALSE),IF(U121="TRUE",VLOOKUP(A121,'CTT Nodes'!$A$1:$D$83,2,FALSE))))</f>
        <v>#LOC_ETT_advStability_description</v>
      </c>
      <c r="F121" s="58">
        <v>25</v>
      </c>
      <c r="G121" s="21">
        <f t="array" ref="G121">INDEX(TNodeCols,MATCH(1,MMULT(--(TTechTree=A121),TRANSPOSE(COLUMN(TTechTree)^0)),0))</f>
        <v>-2110.800000000002</v>
      </c>
      <c r="H121" s="21">
        <f t="array" ref="H121">INDEX(NodeRows,MATCH(1,MMULT(--(TechTree=A121),TRANSPOSE(COLUMN(TechTree)^0)),0))</f>
        <v>1785</v>
      </c>
      <c r="I121" s="63" t="str">
        <f>TEXT(G121,"0") &amp; ", " &amp; TEXT(H121,"0") &amp;", -2"</f>
        <v>-2111, 1785, -2</v>
      </c>
      <c r="J121" s="63">
        <f>IF(T121="TRUE",VLOOKUP(A121,'Stock Nodes'!$A$1:$C$63,3,FALSE),IF(U121="TRUE",VLOOKUP(A121,'CTT Nodes'!$A$1:$G$83,7,FALSE),VLOOKUP(A121,'ETT Nodes'!$A$1:$E$87,5,FALSE)))</f>
        <v>0</v>
      </c>
      <c r="K121" s="63"/>
      <c r="L121" s="63"/>
      <c r="M121" s="63"/>
      <c r="N121" s="21"/>
      <c r="O121" s="63"/>
      <c r="P121" s="63"/>
      <c r="Q121" s="21"/>
      <c r="R121" s="63"/>
      <c r="S121" s="63"/>
      <c r="T121" s="25" t="str">
        <f>IF(ISNA(VLOOKUP(A121,'Stock Nodes'!$A$1:$C$63,1,FALSE)),"FALSE","TRUE")</f>
        <v>FALSE</v>
      </c>
      <c r="U121" s="25" t="str">
        <f>IF(ISNA(VLOOKUP(A121,'CTT Nodes'!$A$1:$D$83,1,FALSE)),"FALSE","TRUE")</f>
        <v>FALSE</v>
      </c>
      <c r="V121" s="25" t="str">
        <f>IF(OR(T121="TRUE",U121="TRUE"),"FALSE","TRUE")</f>
        <v>TRUE</v>
      </c>
      <c r="W121" s="63">
        <v>119</v>
      </c>
      <c r="X121" s="59">
        <v>3</v>
      </c>
    </row>
    <row r="122" spans="1:60" x14ac:dyDescent="0.25">
      <c r="A122" s="66" t="s">
        <v>154</v>
      </c>
      <c r="B122" s="21" t="s">
        <v>155</v>
      </c>
      <c r="C122" s="21" t="str">
        <f>IF(T122="TRUE",VLOOKUP(A122,'Stock Nodes'!$A$1:$D$63,4,FALSE),IF(U122="TRUE",VLOOKUP(A122,'CTT Nodes'!$A$1:$D$83,4,FALSE),VLOOKUP(A122,'ETT Nodes'!$A$1:$D$87,3,FALSE)))</f>
        <v>Specialized Control</v>
      </c>
      <c r="D122" s="21" t="str">
        <f>"Node"&amp;TEXT(X122,"0")&amp;"_"&amp;A122</f>
        <v>Node6_specializedControl</v>
      </c>
      <c r="E122" s="22" t="str">
        <f>IF(OR(V122="TRUE",B122&lt;&gt;C122),"#LOC_ETT_"&amp;A122&amp;"_description",IF(T122="TRUE",VLOOKUP(A122,'Stock Nodes'!$A$1:$C$63,2,FALSE),IF(U122="TRUE",VLOOKUP(A122,'CTT Nodes'!$A$1:$D$83,2,FALSE))))</f>
        <v>#autoLOC_501073 //#autoLOC_501073 = A new state-of-the-art in control technology.</v>
      </c>
      <c r="F122" s="58">
        <v>175</v>
      </c>
      <c r="G122" s="21">
        <f t="array" ref="G122">INDEX(TNodeCols,MATCH(1,MMULT(--(TTechTree=A122),TRANSPOSE(COLUMN(TTechTree)^0)),0))</f>
        <v>-2110.800000000002</v>
      </c>
      <c r="H122" s="21">
        <f t="array" ref="H122">INDEX(NodeRows,MATCH(1,MMULT(--(TechTree=A122),TRANSPOSE(COLUMN(TechTree)^0)),0))</f>
        <v>1861</v>
      </c>
      <c r="I122" s="63" t="str">
        <f>TEXT(G122,"0") &amp; ", " &amp; TEXT(H122,"0") &amp;", -2"</f>
        <v>-2111, 1861, -2</v>
      </c>
      <c r="J122" s="63" t="str">
        <f>IF(T122="TRUE",VLOOKUP(A122,'Stock Nodes'!$A$1:$C$63,3,FALSE),IF(U122="TRUE",VLOOKUP(A122,'CTT Nodes'!$A$1:$G$83,7,FALSE),VLOOKUP(A122,'ETT Nodes'!$A$1:$E$87,5,FALSE)))</f>
        <v>RDicon_control-large</v>
      </c>
      <c r="K122" s="21"/>
      <c r="L122" s="63"/>
      <c r="M122" s="63"/>
      <c r="N122" s="6"/>
      <c r="O122" s="63"/>
      <c r="P122" s="63"/>
      <c r="Q122" s="6"/>
      <c r="R122" s="63"/>
      <c r="S122" s="63"/>
      <c r="T122" s="25" t="str">
        <f>IF(ISNA(VLOOKUP(A122,'Stock Nodes'!$A$1:$C$63,1,FALSE)),"FALSE","TRUE")</f>
        <v>TRUE</v>
      </c>
      <c r="U122" s="25" t="str">
        <f>IF(ISNA(VLOOKUP(A122,'CTT Nodes'!$A$1:$D$83,1,FALSE)),"FALSE","TRUE")</f>
        <v>FALSE</v>
      </c>
      <c r="V122" s="25" t="str">
        <f>IF(OR(T122="TRUE",U122="TRUE"),"FALSE","TRUE")</f>
        <v>FALSE</v>
      </c>
      <c r="W122" s="68">
        <v>120</v>
      </c>
      <c r="X122" s="59">
        <v>5.5</v>
      </c>
      <c r="Y122" s="20"/>
      <c r="Z122" s="20"/>
      <c r="AA122" s="20"/>
      <c r="AB122" s="20"/>
      <c r="AC122" s="20"/>
      <c r="AD122" s="20"/>
      <c r="AE122" s="20"/>
      <c r="AF122" s="20"/>
      <c r="AG122" s="20"/>
      <c r="AH122" s="20"/>
      <c r="AI122" s="20"/>
      <c r="AJ122" s="20"/>
      <c r="AK122" s="20"/>
      <c r="AL122" s="20"/>
      <c r="AM122" s="20"/>
      <c r="AN122" s="20"/>
      <c r="AO122" s="20"/>
      <c r="AP122" s="20"/>
      <c r="AQ122" s="20"/>
      <c r="AR122" s="20"/>
      <c r="AS122" s="20"/>
      <c r="AT122" s="20"/>
      <c r="AU122" s="20"/>
      <c r="AV122" s="20"/>
      <c r="AW122" s="20"/>
      <c r="AX122" s="20"/>
      <c r="AY122" s="20"/>
      <c r="AZ122" s="20"/>
      <c r="BA122" s="20"/>
      <c r="BB122" s="20"/>
      <c r="BC122" s="20"/>
      <c r="BD122" s="20"/>
      <c r="BE122" s="20"/>
      <c r="BF122" s="20"/>
      <c r="BG122" s="20"/>
      <c r="BH122" s="20"/>
    </row>
    <row r="123" spans="1:60" x14ac:dyDescent="0.25">
      <c r="A123" s="63" t="s">
        <v>467</v>
      </c>
      <c r="B123" s="21" t="s">
        <v>302</v>
      </c>
      <c r="C123" s="21" t="str">
        <f>IF(T123="TRUE",VLOOKUP(A123,'Stock Nodes'!$A$1:$D$63,4,FALSE),IF(U123="TRUE",VLOOKUP(A123,'CTT Nodes'!$A$1:$D$83,4,FALSE),VLOOKUP(A123,'ETT Nodes'!$A$1:$D$87,3,FALSE)))</f>
        <v>Reaction Control Systems</v>
      </c>
      <c r="D123" s="21" t="str">
        <f>"Node"&amp;TEXT(X123,"0")&amp;"_"&amp;A123</f>
        <v>Node3_reactionControl</v>
      </c>
      <c r="E123" s="22" t="str">
        <f>IF(OR(V123="TRUE",B123&lt;&gt;C123),"#LOC_ETT_"&amp;A123&amp;"_description",IF(T123="TRUE",VLOOKUP(A123,'Stock Nodes'!$A$1:$C$63,2,FALSE),IF(U123="TRUE",VLOOKUP(A123,'CTT Nodes'!$A$1:$D$83,2,FALSE))))</f>
        <v>#LOC_ETT_reactionControl_description</v>
      </c>
      <c r="F123" s="58">
        <v>25</v>
      </c>
      <c r="G123" s="21">
        <f t="array" ref="G123">INDEX(TNodeCols,MATCH(1,MMULT(--(TTechTree=A123),TRANSPOSE(COLUMN(TTechTree)^0)),0))</f>
        <v>-2189.1000000000022</v>
      </c>
      <c r="H123" s="21">
        <f t="array" ref="H123">INDEX(NodeRows,MATCH(1,MMULT(--(TechTree=A123),TRANSPOSE(COLUMN(TechTree)^0)),0))</f>
        <v>1785</v>
      </c>
      <c r="I123" s="63" t="str">
        <f>TEXT(G123,"0") &amp; ", " &amp; TEXT(H123,"0") &amp;", -2"</f>
        <v>-2189, 1785, -2</v>
      </c>
      <c r="J123" s="63">
        <f>IF(T123="TRUE",VLOOKUP(A123,'Stock Nodes'!$A$1:$C$63,3,FALSE),IF(U123="TRUE",VLOOKUP(A123,'CTT Nodes'!$A$1:$G$83,7,FALSE),VLOOKUP(A123,'ETT Nodes'!$A$1:$E$87,5,FALSE)))</f>
        <v>0</v>
      </c>
      <c r="K123" s="6"/>
      <c r="L123" s="63"/>
      <c r="M123" s="63"/>
      <c r="N123" s="6"/>
      <c r="O123" s="63"/>
      <c r="P123" s="63"/>
      <c r="Q123" s="6"/>
      <c r="R123" s="63"/>
      <c r="S123" s="63"/>
      <c r="T123" s="25" t="str">
        <f>IF(ISNA(VLOOKUP(A123,'Stock Nodes'!$A$1:$C$63,1,FALSE)),"FALSE","TRUE")</f>
        <v>FALSE</v>
      </c>
      <c r="U123" s="25" t="str">
        <f>IF(ISNA(VLOOKUP(A123,'CTT Nodes'!$A$1:$D$83,1,FALSE)),"FALSE","TRUE")</f>
        <v>FALSE</v>
      </c>
      <c r="V123" s="25" t="str">
        <f>IF(OR(T123="TRUE",U123="TRUE"),"FALSE","TRUE")</f>
        <v>TRUE</v>
      </c>
      <c r="W123" s="68">
        <v>121</v>
      </c>
      <c r="X123" s="59">
        <v>3</v>
      </c>
      <c r="Y123" s="20"/>
      <c r="Z123" s="20"/>
      <c r="AA123" s="20"/>
      <c r="AB123" s="20"/>
      <c r="AC123" s="20"/>
      <c r="AD123" s="20"/>
      <c r="AE123" s="20"/>
      <c r="AF123" s="20"/>
      <c r="AG123" s="20"/>
      <c r="AH123" s="20"/>
      <c r="AI123" s="20"/>
      <c r="AJ123" s="20"/>
      <c r="AK123" s="20"/>
      <c r="AL123" s="20"/>
      <c r="AM123" s="20"/>
      <c r="AN123" s="20"/>
      <c r="AO123" s="20"/>
      <c r="AP123" s="20"/>
      <c r="AQ123" s="20"/>
      <c r="AR123" s="20"/>
      <c r="AS123" s="20"/>
      <c r="AT123" s="20"/>
      <c r="AU123" s="20"/>
      <c r="AV123" s="20"/>
      <c r="AW123" s="20"/>
      <c r="AX123" s="20"/>
      <c r="AY123" s="20"/>
      <c r="AZ123" s="20"/>
      <c r="BA123" s="20"/>
      <c r="BB123" s="20"/>
      <c r="BC123" s="20"/>
      <c r="BD123" s="20"/>
      <c r="BE123" s="20"/>
      <c r="BF123" s="20"/>
      <c r="BG123" s="20"/>
      <c r="BH123" s="20"/>
    </row>
    <row r="124" spans="1:60" x14ac:dyDescent="0.25">
      <c r="A124" s="14" t="s">
        <v>468</v>
      </c>
      <c r="B124" s="21" t="s">
        <v>303</v>
      </c>
      <c r="C124" s="21" t="str">
        <f>IF(T124="TRUE",VLOOKUP(A124,'Stock Nodes'!$A$1:$D$63,4,FALSE),IF(U124="TRUE",VLOOKUP(A124,'CTT Nodes'!$A$1:$D$83,4,FALSE),VLOOKUP(A124,'ETT Nodes'!$A$1:$D$87,3,FALSE)))</f>
        <v>Advanced RCS</v>
      </c>
      <c r="D124" s="21" t="str">
        <f>"Node"&amp;TEXT(X124,"0")&amp;"_"&amp;A124</f>
        <v>Node4_advReactionControl</v>
      </c>
      <c r="E124" s="22" t="str">
        <f>IF(OR(V124="TRUE",B124&lt;&gt;C124),"#LOC_ETT_"&amp;A124&amp;"_description",IF(T124="TRUE",VLOOKUP(A124,'Stock Nodes'!$A$1:$C$63,2,FALSE),IF(U124="TRUE",VLOOKUP(A124,'CTT Nodes'!$A$1:$D$83,2,FALSE))))</f>
        <v>#LOC_ETT_advReactionControl_description</v>
      </c>
      <c r="F124" s="58">
        <v>50</v>
      </c>
      <c r="G124" s="21">
        <f t="array" ref="G124">INDEX(TNodeCols,MATCH(1,MMULT(--(TTechTree=A124),TRANSPOSE(COLUMN(TTechTree)^0)),0))</f>
        <v>-2189.1000000000022</v>
      </c>
      <c r="H124" s="21">
        <f t="array" ref="H124">INDEX(NodeRows,MATCH(1,MMULT(--(TechTree=A124),TRANSPOSE(COLUMN(TechTree)^0)),0))</f>
        <v>1861</v>
      </c>
      <c r="I124" s="63" t="str">
        <f>TEXT(G124,"0") &amp; ", " &amp; TEXT(H124,"0") &amp;", -2"</f>
        <v>-2189, 1861, -2</v>
      </c>
      <c r="J124" s="63">
        <f>IF(T124="TRUE",VLOOKUP(A124,'Stock Nodes'!$A$1:$C$63,3,FALSE),IF(U124="TRUE",VLOOKUP(A124,'CTT Nodes'!$A$1:$G$83,7,FALSE),VLOOKUP(A124,'ETT Nodes'!$A$1:$E$87,5,FALSE)))</f>
        <v>0</v>
      </c>
      <c r="K124" s="6"/>
      <c r="L124" s="63"/>
      <c r="M124" s="63"/>
      <c r="N124" s="6"/>
      <c r="O124" s="63"/>
      <c r="P124" s="63"/>
      <c r="Q124" s="6"/>
      <c r="R124" s="63"/>
      <c r="S124" s="63"/>
      <c r="T124" s="25" t="str">
        <f>IF(ISNA(VLOOKUP(A124,'Stock Nodes'!$A$1:$C$63,1,FALSE)),"FALSE","TRUE")</f>
        <v>FALSE</v>
      </c>
      <c r="U124" s="25" t="str">
        <f>IF(ISNA(VLOOKUP(A124,'CTT Nodes'!$A$1:$D$83,1,FALSE)),"FALSE","TRUE")</f>
        <v>FALSE</v>
      </c>
      <c r="V124" s="25" t="str">
        <f>IF(OR(T124="TRUE",U124="TRUE"),"FALSE","TRUE")</f>
        <v>TRUE</v>
      </c>
      <c r="W124" s="63">
        <v>122</v>
      </c>
      <c r="X124" s="59">
        <v>3.67</v>
      </c>
      <c r="Y124" s="20"/>
      <c r="Z124" s="20"/>
      <c r="AA124" s="20"/>
      <c r="AB124" s="20"/>
      <c r="AC124" s="20"/>
      <c r="AD124" s="20"/>
      <c r="AE124" s="20"/>
      <c r="AF124" s="20"/>
      <c r="AG124" s="20"/>
      <c r="AH124" s="20"/>
      <c r="AI124" s="20"/>
      <c r="AJ124" s="20"/>
      <c r="AK124" s="20"/>
      <c r="AL124" s="20"/>
      <c r="AM124" s="20"/>
      <c r="AN124" s="20"/>
      <c r="AO124" s="20"/>
      <c r="AP124" s="20"/>
      <c r="AQ124" s="20"/>
      <c r="AR124" s="20"/>
      <c r="AS124" s="20"/>
      <c r="AT124" s="20"/>
      <c r="AU124" s="20"/>
      <c r="AV124" s="20"/>
      <c r="AW124" s="20"/>
      <c r="AX124" s="20"/>
      <c r="AY124" s="20"/>
      <c r="AZ124" s="20"/>
      <c r="BA124" s="20"/>
      <c r="BB124" s="20"/>
      <c r="BC124" s="20"/>
      <c r="BD124" s="20"/>
      <c r="BE124" s="20"/>
      <c r="BF124" s="20"/>
      <c r="BG124" s="20"/>
      <c r="BH124" s="20"/>
    </row>
    <row r="125" spans="1:60" x14ac:dyDescent="0.25">
      <c r="A125" s="21" t="s">
        <v>99</v>
      </c>
      <c r="B125" s="21" t="s">
        <v>231</v>
      </c>
      <c r="C125" s="21" t="str">
        <f>IF(T125="TRUE",VLOOKUP(A125,'Stock Nodes'!$A$1:$D$63,4,FALSE),IF(U125="TRUE",VLOOKUP(A125,'CTT Nodes'!$A$1:$D$83,4,FALSE),VLOOKUP(A125,'ETT Nodes'!$A$1:$D$87,3,FALSE)))</f>
        <v>Miniaturization</v>
      </c>
      <c r="D125" s="21" t="str">
        <f>"Node"&amp;TEXT(X125,"0")&amp;"_"&amp;A125</f>
        <v>Node3_miniaturization</v>
      </c>
      <c r="E125" s="22" t="str">
        <f>IF(OR(V125="TRUE",B125&lt;&gt;C125),"#LOC_ETT_"&amp;A125&amp;"_description",IF(T125="TRUE",VLOOKUP(A125,'Stock Nodes'!$A$1:$C$63,2,FALSE),IF(U125="TRUE",VLOOKUP(A125,'CTT Nodes'!$A$1:$D$83,2,FALSE))))</f>
        <v>#LOC_ETT_miniaturization_description</v>
      </c>
      <c r="F125" s="58">
        <v>15</v>
      </c>
      <c r="G125" s="21">
        <f t="array" ref="G125">INDEX(TNodeCols,MATCH(1,MMULT(--(TTechTree=A125),TRANSPOSE(COLUMN(TTechTree)^0)),0))</f>
        <v>-2502.3000000000029</v>
      </c>
      <c r="H125" s="21">
        <f t="array" ref="H125">INDEX(NodeRows,MATCH(1,MMULT(--(TechTree=A125),TRANSPOSE(COLUMN(TechTree)^0)),0))</f>
        <v>1177</v>
      </c>
      <c r="I125" s="63" t="str">
        <f>TEXT(G125,"0") &amp; ", " &amp; TEXT(H125,"0") &amp;", -2"</f>
        <v>-2502, 1177, -2</v>
      </c>
      <c r="J125" s="63" t="str">
        <f>IF(T125="TRUE",VLOOKUP(A125,'Stock Nodes'!$A$1:$C$63,3,FALSE),IF(U125="TRUE",VLOOKUP(A125,'CTT Nodes'!$A$1:$G$83,7,FALSE),VLOOKUP(A125,'ETT Nodes'!$A$1:$E$87,5,FALSE)))</f>
        <v>RDicon_miniaturization</v>
      </c>
      <c r="K125" s="21" t="s">
        <v>63</v>
      </c>
      <c r="L125" s="63" t="s">
        <v>2067</v>
      </c>
      <c r="M125" s="63" t="s">
        <v>2068</v>
      </c>
      <c r="N125" s="21"/>
      <c r="O125" s="63"/>
      <c r="P125" s="63"/>
      <c r="Q125" s="21"/>
      <c r="R125" s="63"/>
      <c r="S125" s="63"/>
      <c r="T125" s="25" t="str">
        <f>IF(ISNA(VLOOKUP(A125,'Stock Nodes'!$A$1:$C$63,1,FALSE)),"FALSE","TRUE")</f>
        <v>TRUE</v>
      </c>
      <c r="U125" s="25" t="str">
        <f>IF(ISNA(VLOOKUP(A125,'CTT Nodes'!$A$1:$D$83,1,FALSE)),"FALSE","TRUE")</f>
        <v>FALSE</v>
      </c>
      <c r="V125" s="25" t="str">
        <f>IF(OR(T125="TRUE",U125="TRUE"),"FALSE","TRUE")</f>
        <v>FALSE</v>
      </c>
      <c r="W125" s="68">
        <v>123</v>
      </c>
      <c r="X125" s="59">
        <v>2.5</v>
      </c>
      <c r="Y125" s="20"/>
      <c r="Z125" s="20"/>
      <c r="AA125" s="20"/>
      <c r="AB125" s="20"/>
      <c r="AC125" s="20"/>
      <c r="AD125" s="20"/>
      <c r="AE125" s="20"/>
      <c r="AF125" s="20"/>
      <c r="AG125" s="20"/>
      <c r="AH125" s="20"/>
      <c r="AI125" s="20"/>
      <c r="AJ125" s="20"/>
      <c r="AK125" s="20"/>
      <c r="AL125" s="20"/>
      <c r="AM125" s="20"/>
      <c r="AN125" s="20"/>
      <c r="AO125" s="20"/>
      <c r="AP125" s="20"/>
      <c r="AQ125" s="20"/>
      <c r="AR125" s="20"/>
      <c r="AS125" s="20"/>
      <c r="AT125" s="20"/>
      <c r="AU125" s="20"/>
      <c r="AV125" s="20"/>
      <c r="AW125" s="20"/>
      <c r="AX125" s="20"/>
      <c r="AY125" s="20"/>
      <c r="AZ125" s="20"/>
      <c r="BA125" s="20"/>
      <c r="BB125" s="20"/>
      <c r="BC125" s="20"/>
      <c r="BD125" s="20"/>
      <c r="BE125" s="20"/>
      <c r="BF125" s="20"/>
      <c r="BG125" s="20"/>
      <c r="BH125" s="20"/>
    </row>
    <row r="126" spans="1:60" x14ac:dyDescent="0.25">
      <c r="A126" s="21" t="s">
        <v>127</v>
      </c>
      <c r="B126" s="21" t="s">
        <v>226</v>
      </c>
      <c r="C126" s="21" t="str">
        <f>IF(T126="TRUE",VLOOKUP(A126,'Stock Nodes'!$A$1:$D$63,4,FALSE),IF(U126="TRUE",VLOOKUP(A126,'CTT Nodes'!$A$1:$D$83,4,FALSE),VLOOKUP(A126,'ETT Nodes'!$A$1:$D$87,3,FALSE)))</f>
        <v>General Rocketry</v>
      </c>
      <c r="D126" s="21" t="str">
        <f>"Node"&amp;TEXT(X126,"0")&amp;"_"&amp;A126</f>
        <v>Node3_generalRocketry</v>
      </c>
      <c r="E126" s="22" t="str">
        <f>IF(OR(V126="TRUE",B126&lt;&gt;C126),"#LOC_ETT_"&amp;A126&amp;"_description",IF(T126="TRUE",VLOOKUP(A126,'Stock Nodes'!$A$1:$C$63,2,FALSE),IF(U126="TRUE",VLOOKUP(A126,'CTT Nodes'!$A$1:$D$83,2,FALSE))))</f>
        <v>#LOC_ETT_generalRocketry_description</v>
      </c>
      <c r="F126" s="58">
        <v>25</v>
      </c>
      <c r="G126" s="21">
        <f t="array" ref="G126">INDEX(TNodeCols,MATCH(1,MMULT(--(TTechTree=A126),TRANSPOSE(COLUMN(TTechTree)^0)),0))</f>
        <v>-2580.6000000000031</v>
      </c>
      <c r="H126" s="21">
        <f t="array" ref="H126">INDEX(NodeRows,MATCH(1,MMULT(--(TechTree=A126),TRANSPOSE(COLUMN(TechTree)^0)),0))</f>
        <v>1253</v>
      </c>
      <c r="I126" s="63" t="str">
        <f>TEXT(G126,"0") &amp; ", " &amp; TEXT(H126,"0") &amp;", -2"</f>
        <v>-2581, 1253, -2</v>
      </c>
      <c r="J126" s="63" t="str">
        <f>IF(T126="TRUE",VLOOKUP(A126,'Stock Nodes'!$A$1:$C$63,3,FALSE),IF(U126="TRUE",VLOOKUP(A126,'CTT Nodes'!$A$1:$G$83,7,FALSE),VLOOKUP(A126,'ETT Nodes'!$A$1:$E$87,5,FALSE)))</f>
        <v>RDicon_rocketry-general</v>
      </c>
      <c r="K126" s="21" t="s">
        <v>99</v>
      </c>
      <c r="L126" s="63" t="s">
        <v>2067</v>
      </c>
      <c r="M126" s="63" t="s">
        <v>2068</v>
      </c>
      <c r="N126" s="21"/>
      <c r="O126" s="63"/>
      <c r="P126" s="63"/>
      <c r="Q126" s="21"/>
      <c r="R126" s="63"/>
      <c r="S126" s="63"/>
      <c r="T126" s="25" t="str">
        <f>IF(ISNA(VLOOKUP(A126,'Stock Nodes'!$A$1:$C$63,1,FALSE)),"FALSE","TRUE")</f>
        <v>TRUE</v>
      </c>
      <c r="U126" s="25" t="str">
        <f>IF(ISNA(VLOOKUP(A126,'CTT Nodes'!$A$1:$D$83,1,FALSE)),"FALSE","TRUE")</f>
        <v>FALSE</v>
      </c>
      <c r="V126" s="25" t="str">
        <f>IF(OR(T126="TRUE",U126="TRUE"),"FALSE","TRUE")</f>
        <v>FALSE</v>
      </c>
      <c r="W126" s="68">
        <v>124</v>
      </c>
      <c r="X126" s="59">
        <v>3</v>
      </c>
      <c r="Y126" s="20"/>
      <c r="Z126" s="20"/>
      <c r="AA126" s="20"/>
      <c r="AB126" s="20"/>
      <c r="AC126" s="20"/>
      <c r="AD126" s="20"/>
      <c r="AE126" s="20"/>
      <c r="AF126" s="20"/>
      <c r="AG126" s="20"/>
      <c r="AH126" s="20"/>
      <c r="AI126" s="20"/>
      <c r="AJ126" s="20"/>
      <c r="AK126" s="20"/>
      <c r="AL126" s="20"/>
      <c r="AM126" s="20"/>
      <c r="AN126" s="20"/>
      <c r="AO126" s="20"/>
      <c r="AP126" s="20"/>
      <c r="AQ126" s="20"/>
      <c r="AR126" s="20"/>
      <c r="AS126" s="20"/>
      <c r="AT126" s="20"/>
      <c r="AU126" s="20"/>
      <c r="AV126" s="20"/>
      <c r="AW126" s="20"/>
      <c r="AX126" s="20"/>
      <c r="AY126" s="20"/>
      <c r="AZ126" s="20"/>
      <c r="BA126" s="20"/>
      <c r="BB126" s="20"/>
      <c r="BC126" s="20"/>
      <c r="BD126" s="20"/>
      <c r="BE126" s="20"/>
      <c r="BF126" s="20"/>
      <c r="BG126" s="20"/>
      <c r="BH126" s="20"/>
    </row>
    <row r="127" spans="1:60" x14ac:dyDescent="0.25">
      <c r="A127" s="14" t="s">
        <v>489</v>
      </c>
      <c r="B127" s="21" t="s">
        <v>233</v>
      </c>
      <c r="C127" s="21" t="str">
        <f>IF(T127="TRUE",VLOOKUP(A127,'Stock Nodes'!$A$1:$D$63,4,FALSE),IF(U127="TRUE",VLOOKUP(A127,'CTT Nodes'!$A$1:$D$83,4,FALSE),VLOOKUP(A127,'ETT Nodes'!$A$1:$D$87,3,FALSE)))</f>
        <v>1.875m Rocketry</v>
      </c>
      <c r="D127" s="21" t="str">
        <f>"Node"&amp;TEXT(X127,"0")&amp;"_"&amp;A127</f>
        <v>Node4_intermediateRocketry</v>
      </c>
      <c r="E127" s="22" t="str">
        <f>IF(OR(V127="TRUE",B127&lt;&gt;C127),"#LOC_ETT_"&amp;A127&amp;"_description",IF(T127="TRUE",VLOOKUP(A127,'Stock Nodes'!$A$1:$C$63,2,FALSE),IF(U127="TRUE",VLOOKUP(A127,'CTT Nodes'!$A$1:$D$83,2,FALSE))))</f>
        <v>#LOC_ETT_intermediateRocketry_description</v>
      </c>
      <c r="F127" s="58">
        <v>50</v>
      </c>
      <c r="G127" s="21">
        <f t="array" ref="G127">INDEX(TNodeCols,MATCH(1,MMULT(--(TTechTree=A127),TRANSPOSE(COLUMN(TTechTree)^0)),0))</f>
        <v>-2658.9000000000033</v>
      </c>
      <c r="H127" s="21">
        <f t="array" ref="H127">INDEX(NodeRows,MATCH(1,MMULT(--(TechTree=A127),TRANSPOSE(COLUMN(TechTree)^0)),0))</f>
        <v>1329</v>
      </c>
      <c r="I127" s="63" t="str">
        <f>TEXT(G127,"0") &amp; ", " &amp; TEXT(H127,"0") &amp;", -2"</f>
        <v>-2659, 1329, -2</v>
      </c>
      <c r="J127" s="63">
        <f>IF(T127="TRUE",VLOOKUP(A127,'Stock Nodes'!$A$1:$C$63,3,FALSE),IF(U127="TRUE",VLOOKUP(A127,'CTT Nodes'!$A$1:$G$83,7,FALSE),VLOOKUP(A127,'ETT Nodes'!$A$1:$E$87,5,FALSE)))</f>
        <v>0</v>
      </c>
      <c r="K127" s="63" t="s">
        <v>127</v>
      </c>
      <c r="L127" s="63" t="s">
        <v>2067</v>
      </c>
      <c r="M127" s="63" t="s">
        <v>2068</v>
      </c>
      <c r="N127" s="6" t="s">
        <v>89</v>
      </c>
      <c r="O127" s="63" t="s">
        <v>2068</v>
      </c>
      <c r="P127" s="63" t="s">
        <v>2068</v>
      </c>
      <c r="Q127" s="6"/>
      <c r="R127" s="63"/>
      <c r="S127" s="63"/>
      <c r="T127" s="25" t="str">
        <f>IF(ISNA(VLOOKUP(A127,'Stock Nodes'!$A$1:$C$63,1,FALSE)),"FALSE","TRUE")</f>
        <v>FALSE</v>
      </c>
      <c r="U127" s="25" t="str">
        <f>IF(ISNA(VLOOKUP(A127,'CTT Nodes'!$A$1:$D$83,1,FALSE)),"FALSE","TRUE")</f>
        <v>FALSE</v>
      </c>
      <c r="V127" s="25" t="str">
        <f>IF(OR(T127="TRUE",U127="TRUE"),"FALSE","TRUE")</f>
        <v>TRUE</v>
      </c>
      <c r="W127" s="63">
        <v>125</v>
      </c>
      <c r="X127" s="59">
        <v>3.67</v>
      </c>
      <c r="Y127" s="20"/>
      <c r="Z127" s="20"/>
      <c r="AA127" s="20"/>
      <c r="AB127" s="20"/>
      <c r="AC127" s="20"/>
      <c r="AD127" s="20"/>
      <c r="AE127" s="20"/>
      <c r="AF127" s="20"/>
      <c r="AG127" s="20"/>
      <c r="AH127" s="20"/>
      <c r="AI127" s="20"/>
      <c r="AJ127" s="20"/>
      <c r="AK127" s="20"/>
      <c r="AL127" s="20"/>
      <c r="AM127" s="20"/>
      <c r="AN127" s="20"/>
      <c r="AO127" s="20"/>
      <c r="AP127" s="20"/>
      <c r="AQ127" s="20"/>
      <c r="AR127" s="20"/>
      <c r="AS127" s="20"/>
      <c r="AT127" s="20"/>
      <c r="AU127" s="20"/>
      <c r="AV127" s="20"/>
      <c r="AW127" s="20"/>
      <c r="AX127" s="20"/>
      <c r="AY127" s="20"/>
      <c r="AZ127" s="20"/>
      <c r="BA127" s="20"/>
      <c r="BB127" s="20"/>
      <c r="BC127" s="20"/>
      <c r="BD127" s="20"/>
      <c r="BE127" s="20"/>
      <c r="BF127" s="20"/>
      <c r="BG127" s="20"/>
      <c r="BH127" s="20"/>
    </row>
    <row r="128" spans="1:60" x14ac:dyDescent="0.25">
      <c r="A128" s="14" t="s">
        <v>156</v>
      </c>
      <c r="B128" s="21" t="s">
        <v>235</v>
      </c>
      <c r="C128" s="21" t="str">
        <f>IF(T128="TRUE",VLOOKUP(A128,'Stock Nodes'!$A$1:$D$63,4,FALSE),IF(U128="TRUE",VLOOKUP(A128,'CTT Nodes'!$A$1:$D$83,4,FALSE),VLOOKUP(A128,'ETT Nodes'!$A$1:$D$87,3,FALSE)))</f>
        <v>Advanced Rocketry</v>
      </c>
      <c r="D128" s="21" t="str">
        <f>"Node"&amp;TEXT(X128,"0")&amp;"_"&amp;A128</f>
        <v>Node4_advRocketry</v>
      </c>
      <c r="E128" s="22" t="str">
        <f>IF(OR(V128="TRUE",B128&lt;&gt;C128),"#LOC_ETT_"&amp;A128&amp;"_description",IF(T128="TRUE",VLOOKUP(A128,'Stock Nodes'!$A$1:$C$63,2,FALSE),IF(U128="TRUE",VLOOKUP(A128,'CTT Nodes'!$A$1:$D$83,2,FALSE))))</f>
        <v>#LOC_ETT_advRocketry_description</v>
      </c>
      <c r="F128" s="58">
        <v>80</v>
      </c>
      <c r="G128" s="21">
        <f t="array" ref="G128">INDEX(TNodeCols,MATCH(1,MMULT(--(TTechTree=A128),TRANSPOSE(COLUMN(TTechTree)^0)),0))</f>
        <v>-2737.2000000000035</v>
      </c>
      <c r="H128" s="21">
        <f t="array" ref="H128">INDEX(NodeRows,MATCH(1,MMULT(--(TechTree=A128),TRANSPOSE(COLUMN(TechTree)^0)),0))</f>
        <v>1405</v>
      </c>
      <c r="I128" s="63" t="str">
        <f>TEXT(G128,"0") &amp; ", " &amp; TEXT(H128,"0") &amp;", -2"</f>
        <v>-2737, 1405, -2</v>
      </c>
      <c r="J128" s="63" t="str">
        <f>IF(T128="TRUE",VLOOKUP(A128,'Stock Nodes'!$A$1:$C$63,3,FALSE),IF(U128="TRUE",VLOOKUP(A128,'CTT Nodes'!$A$1:$G$83,7,FALSE),VLOOKUP(A128,'ETT Nodes'!$A$1:$E$87,5,FALSE)))</f>
        <v>RDicon_rocketry-advanced</v>
      </c>
      <c r="K128" s="63" t="s">
        <v>489</v>
      </c>
      <c r="L128" s="63" t="s">
        <v>2067</v>
      </c>
      <c r="M128" s="63" t="s">
        <v>2068</v>
      </c>
      <c r="N128" s="6"/>
      <c r="O128" s="63"/>
      <c r="P128" s="63"/>
      <c r="Q128" s="6"/>
      <c r="R128" s="63"/>
      <c r="S128" s="63"/>
      <c r="T128" s="25" t="str">
        <f>IF(ISNA(VLOOKUP(A128,'Stock Nodes'!$A$1:$C$63,1,FALSE)),"FALSE","TRUE")</f>
        <v>TRUE</v>
      </c>
      <c r="U128" s="25" t="str">
        <f>IF(ISNA(VLOOKUP(A128,'CTT Nodes'!$A$1:$D$83,1,FALSE)),"FALSE","TRUE")</f>
        <v>FALSE</v>
      </c>
      <c r="V128" s="25" t="str">
        <f>IF(OR(T128="TRUE",U128="TRUE"),"FALSE","TRUE")</f>
        <v>FALSE</v>
      </c>
      <c r="W128" s="68">
        <v>126</v>
      </c>
      <c r="X128" s="59">
        <v>4.33</v>
      </c>
      <c r="Y128" s="20"/>
      <c r="Z128" s="20"/>
      <c r="AA128" s="20"/>
      <c r="AB128" s="20"/>
      <c r="AC128" s="20"/>
      <c r="AD128" s="20"/>
      <c r="AE128" s="20"/>
      <c r="AF128" s="20"/>
      <c r="AG128" s="20"/>
      <c r="AH128" s="20"/>
      <c r="AI128" s="20"/>
      <c r="AJ128" s="20"/>
      <c r="AK128" s="20"/>
      <c r="AL128" s="20"/>
      <c r="AM128" s="20"/>
      <c r="AN128" s="20"/>
      <c r="AO128" s="20"/>
      <c r="AP128" s="20"/>
      <c r="AQ128" s="20"/>
      <c r="AR128" s="20"/>
      <c r="AS128" s="20"/>
      <c r="AT128" s="20"/>
      <c r="AU128" s="20"/>
      <c r="AV128" s="20"/>
      <c r="AW128" s="20"/>
      <c r="AX128" s="20"/>
      <c r="AY128" s="20"/>
      <c r="AZ128" s="20"/>
      <c r="BA128" s="20"/>
      <c r="BB128" s="20"/>
      <c r="BC128" s="20"/>
      <c r="BD128" s="20"/>
      <c r="BE128" s="20"/>
      <c r="BF128" s="20"/>
      <c r="BG128" s="20"/>
      <c r="BH128" s="20"/>
    </row>
    <row r="129" spans="1:60" s="10" customFormat="1" x14ac:dyDescent="0.25">
      <c r="A129" s="14" t="s">
        <v>193</v>
      </c>
      <c r="B129" s="21" t="s">
        <v>236</v>
      </c>
      <c r="C129" s="21" t="str">
        <f>IF(T129="TRUE",VLOOKUP(A129,'Stock Nodes'!$A$1:$D$63,4,FALSE),IF(U129="TRUE",VLOOKUP(A129,'CTT Nodes'!$A$1:$D$83,4,FALSE),VLOOKUP(A129,'ETT Nodes'!$A$1:$D$87,3,FALSE)))</f>
        <v>Heavy Rocketry</v>
      </c>
      <c r="D129" s="21" t="str">
        <f>"Node"&amp;TEXT(X129,"0")&amp;"_"&amp;A129</f>
        <v>Node6_heavyRocketry</v>
      </c>
      <c r="E129" s="22" t="str">
        <f>IF(OR(V129="TRUE",B129&lt;&gt;C129),"#LOC_ETT_"&amp;A129&amp;"_description",IF(T129="TRUE",VLOOKUP(A129,'Stock Nodes'!$A$1:$C$63,2,FALSE),IF(U129="TRUE",VLOOKUP(A129,'CTT Nodes'!$A$1:$D$83,2,FALSE))))</f>
        <v>#LOC_ETT_heavyRocketry_description</v>
      </c>
      <c r="F129" s="58">
        <v>175</v>
      </c>
      <c r="G129" s="21">
        <f t="array" ref="G129">INDEX(TNodeCols,MATCH(1,MMULT(--(TTechTree=A129),TRANSPOSE(COLUMN(TTechTree)^0)),0))</f>
        <v>-2815.5000000000036</v>
      </c>
      <c r="H129" s="21">
        <f t="array" ref="H129">INDEX(NodeRows,MATCH(1,MMULT(--(TechTree=A129),TRANSPOSE(COLUMN(TechTree)^0)),0))</f>
        <v>1481</v>
      </c>
      <c r="I129" s="63" t="str">
        <f>TEXT(G129,"0") &amp; ", " &amp; TEXT(H129,"0") &amp;", -2"</f>
        <v>-2816, 1481, -2</v>
      </c>
      <c r="J129" s="63" t="str">
        <f>IF(T129="TRUE",VLOOKUP(A129,'Stock Nodes'!$A$1:$C$63,3,FALSE),IF(U129="TRUE",VLOOKUP(A129,'CTT Nodes'!$A$1:$G$83,7,FALSE),VLOOKUP(A129,'ETT Nodes'!$A$1:$E$87,5,FALSE)))</f>
        <v>RDicon_rocketry-heavy</v>
      </c>
      <c r="K129" s="21" t="s">
        <v>156</v>
      </c>
      <c r="L129" s="63" t="s">
        <v>2067</v>
      </c>
      <c r="M129" s="63" t="s">
        <v>2068</v>
      </c>
      <c r="N129" s="9"/>
      <c r="O129" s="63"/>
      <c r="P129" s="63"/>
      <c r="Q129" s="9"/>
      <c r="R129" s="63"/>
      <c r="S129" s="63"/>
      <c r="T129" s="25" t="str">
        <f>IF(ISNA(VLOOKUP(A129,'Stock Nodes'!$A$1:$C$63,1,FALSE)),"FALSE","TRUE")</f>
        <v>TRUE</v>
      </c>
      <c r="U129" s="25" t="str">
        <f>IF(ISNA(VLOOKUP(A129,'CTT Nodes'!$A$1:$D$83,1,FALSE)),"FALSE","TRUE")</f>
        <v>FALSE</v>
      </c>
      <c r="V129" s="25" t="str">
        <f>IF(OR(T129="TRUE",U129="TRUE"),"FALSE","TRUE")</f>
        <v>FALSE</v>
      </c>
      <c r="W129" s="68">
        <v>127</v>
      </c>
      <c r="X129" s="59">
        <v>5.5</v>
      </c>
      <c r="Y129" s="20"/>
      <c r="Z129" s="20"/>
      <c r="AA129" s="20"/>
      <c r="AB129" s="20"/>
      <c r="AC129" s="20"/>
      <c r="AD129" s="20"/>
      <c r="AE129" s="20"/>
      <c r="AF129" s="20"/>
      <c r="AG129" s="20"/>
      <c r="AH129" s="20"/>
      <c r="AI129" s="20"/>
      <c r="AJ129" s="20"/>
      <c r="AK129" s="20"/>
      <c r="AL129" s="20"/>
      <c r="AM129" s="20"/>
      <c r="AN129" s="20"/>
      <c r="AO129" s="20"/>
      <c r="AP129" s="20"/>
      <c r="AQ129" s="20"/>
      <c r="AR129" s="20"/>
      <c r="AS129" s="20"/>
      <c r="AT129" s="20"/>
      <c r="AU129" s="20"/>
      <c r="AV129" s="20"/>
      <c r="AW129" s="20"/>
      <c r="AX129" s="20"/>
      <c r="AY129" s="20"/>
      <c r="AZ129" s="20"/>
      <c r="BA129" s="20"/>
      <c r="BB129" s="20"/>
      <c r="BC129" s="20"/>
      <c r="BD129" s="20"/>
      <c r="BE129" s="20"/>
      <c r="BF129" s="20"/>
      <c r="BG129" s="20"/>
      <c r="BH129" s="20"/>
    </row>
    <row r="130" spans="1:60" x14ac:dyDescent="0.25">
      <c r="A130" s="14" t="s">
        <v>198</v>
      </c>
      <c r="B130" s="21" t="s">
        <v>238</v>
      </c>
      <c r="C130" s="21" t="str">
        <f>IF(T130="TRUE",VLOOKUP(A130,'Stock Nodes'!$A$1:$D$63,4,FALSE),IF(U130="TRUE",VLOOKUP(A130,'CTT Nodes'!$A$1:$D$83,4,FALSE),VLOOKUP(A130,'ETT Nodes'!$A$1:$D$87,3,FALSE)))</f>
        <v>Heavier Rocketry</v>
      </c>
      <c r="D130" s="21" t="str">
        <f>"Node"&amp;TEXT(X130,"0")&amp;"_"&amp;A130</f>
        <v>Node7_heavierRocketry</v>
      </c>
      <c r="E130" s="22" t="str">
        <f>IF(OR(V130="TRUE",B130&lt;&gt;C130),"#LOC_ETT_"&amp;A130&amp;"_description",IF(T130="TRUE",VLOOKUP(A130,'Stock Nodes'!$A$1:$C$63,2,FALSE),IF(U130="TRUE",VLOOKUP(A130,'CTT Nodes'!$A$1:$D$83,2,FALSE))))</f>
        <v>#LOC_ETT_heavierRocketry_description</v>
      </c>
      <c r="F130" s="58">
        <v>375</v>
      </c>
      <c r="G130" s="21">
        <f t="array" ref="G130">INDEX(TNodeCols,MATCH(1,MMULT(--(TTechTree=A130),TRANSPOSE(COLUMN(TTechTree)^0)),0))</f>
        <v>-2893.8000000000038</v>
      </c>
      <c r="H130" s="21">
        <f t="array" ref="H130">INDEX(NodeRows,MATCH(1,MMULT(--(TechTree=A130),TRANSPOSE(COLUMN(TechTree)^0)),0))</f>
        <v>1557</v>
      </c>
      <c r="I130" s="63" t="str">
        <f>TEXT(G130,"0") &amp; ", " &amp; TEXT(H130,"0") &amp;", -2"</f>
        <v>-2894, 1557, -2</v>
      </c>
      <c r="J130" s="63" t="str">
        <f>IF(T130="TRUE",VLOOKUP(A130,'Stock Nodes'!$A$1:$C$63,3,FALSE),IF(U130="TRUE",VLOOKUP(A130,'CTT Nodes'!$A$1:$G$83,7,FALSE),VLOOKUP(A130,'ETT Nodes'!$A$1:$E$87,5,FALSE)))</f>
        <v>RDicon_rocketry-heavier</v>
      </c>
      <c r="K130" s="63" t="s">
        <v>193</v>
      </c>
      <c r="L130" s="63" t="s">
        <v>2067</v>
      </c>
      <c r="M130" s="63" t="s">
        <v>2068</v>
      </c>
      <c r="N130" s="6"/>
      <c r="O130" s="63"/>
      <c r="P130" s="63"/>
      <c r="Q130" s="6"/>
      <c r="R130" s="63"/>
      <c r="S130" s="63"/>
      <c r="T130" s="25" t="str">
        <f>IF(ISNA(VLOOKUP(A130,'Stock Nodes'!$A$1:$C$63,1,FALSE)),"FALSE","TRUE")</f>
        <v>TRUE</v>
      </c>
      <c r="U130" s="25" t="str">
        <f>IF(ISNA(VLOOKUP(A130,'CTT Nodes'!$A$1:$D$83,1,FALSE)),"FALSE","TRUE")</f>
        <v>FALSE</v>
      </c>
      <c r="V130" s="25" t="str">
        <f>IF(OR(T130="TRUE",U130="TRUE"),"FALSE","TRUE")</f>
        <v>FALSE</v>
      </c>
      <c r="W130" s="63">
        <v>128</v>
      </c>
      <c r="X130" s="59">
        <v>7</v>
      </c>
      <c r="Y130" s="20"/>
      <c r="Z130" s="20"/>
      <c r="AA130" s="20"/>
      <c r="AB130" s="20"/>
      <c r="AC130" s="20"/>
      <c r="AD130" s="20"/>
      <c r="AE130" s="20"/>
      <c r="AF130" s="20"/>
      <c r="AG130" s="20"/>
      <c r="AH130" s="20"/>
      <c r="AI130" s="20"/>
      <c r="AJ130" s="20"/>
      <c r="AK130" s="20"/>
      <c r="AL130" s="20"/>
      <c r="AM130" s="20"/>
      <c r="AN130" s="20"/>
      <c r="AO130" s="20"/>
      <c r="AP130" s="20"/>
      <c r="AQ130" s="20"/>
      <c r="AR130" s="20"/>
      <c r="AS130" s="20"/>
      <c r="AT130" s="20"/>
      <c r="AU130" s="20"/>
      <c r="AV130" s="20"/>
      <c r="AW130" s="20"/>
      <c r="AX130" s="20"/>
      <c r="AY130" s="20"/>
      <c r="AZ130" s="20"/>
      <c r="BA130" s="20"/>
      <c r="BB130" s="20"/>
      <c r="BC130" s="20"/>
      <c r="BD130" s="20"/>
      <c r="BE130" s="20"/>
      <c r="BF130" s="20"/>
      <c r="BG130" s="20"/>
      <c r="BH130" s="20"/>
    </row>
    <row r="131" spans="1:60" x14ac:dyDescent="0.25">
      <c r="A131" s="14" t="s">
        <v>22</v>
      </c>
      <c r="B131" s="63" t="s">
        <v>241</v>
      </c>
      <c r="C131" s="21" t="str">
        <f>IF(T131="TRUE",VLOOKUP(A131,'Stock Nodes'!$A$1:$D$63,4,FALSE),IF(U131="TRUE",VLOOKUP(A131,'CTT Nodes'!$A$1:$D$83,4,FALSE),VLOOKUP(A131,'ETT Nodes'!$A$1:$D$87,3,FALSE)))</f>
        <v>Very Heavy Rocketry</v>
      </c>
      <c r="D131" s="21" t="str">
        <f>"Node"&amp;TEXT(X131,"0")&amp;"_"&amp;A131</f>
        <v>Node10_veryHeavyRocketry</v>
      </c>
      <c r="E131" s="22" t="str">
        <f>IF(OR(V131="TRUE",B131&lt;&gt;C131),"#LOC_ETT_"&amp;A131&amp;"_description",IF(T131="TRUE",VLOOKUP(A131,'Stock Nodes'!$A$1:$C$63,2,FALSE),IF(U131="TRUE",VLOOKUP(A131,'CTT Nodes'!$A$1:$D$83,2,FALSE))))</f>
        <v>#LOC_ETT_veryHeavyRocketry_description</v>
      </c>
      <c r="F131" s="58">
        <v>1000</v>
      </c>
      <c r="G131" s="21">
        <f t="array" ref="G131">INDEX(TNodeCols,MATCH(1,MMULT(--(TTechTree=A131),TRANSPOSE(COLUMN(TTechTree)^0)),0))</f>
        <v>-2972.100000000004</v>
      </c>
      <c r="H131" s="21">
        <f t="array" ref="H131">INDEX(NodeRows,MATCH(1,MMULT(--(TechTree=A131),TRANSPOSE(COLUMN(TechTree)^0)),0))</f>
        <v>1633</v>
      </c>
      <c r="I131" s="63" t="str">
        <f>TEXT(G131,"0") &amp; ", " &amp; TEXT(H131,"0") &amp;", -2"</f>
        <v>-2972, 1633, -2</v>
      </c>
      <c r="J131" s="63" t="str">
        <f>IF(T131="TRUE",VLOOKUP(A131,'Stock Nodes'!$A$1:$C$63,3,FALSE),IF(U131="TRUE",VLOOKUP(A131,'CTT Nodes'!$A$1:$G$83,7,FALSE),VLOOKUP(A131,'ETT Nodes'!$A$1:$E$87,5,FALSE)))</f>
        <v>RDicon_rocketry-veryHeavy</v>
      </c>
      <c r="K131" s="21" t="s">
        <v>198</v>
      </c>
      <c r="L131" s="63" t="s">
        <v>2067</v>
      </c>
      <c r="M131" s="63" t="s">
        <v>2068</v>
      </c>
      <c r="N131" s="6"/>
      <c r="O131" s="63"/>
      <c r="P131" s="63"/>
      <c r="Q131" s="6"/>
      <c r="R131" s="63"/>
      <c r="S131" s="63"/>
      <c r="T131" s="25" t="str">
        <f>IF(ISNA(VLOOKUP(A131,'Stock Nodes'!$A$1:$C$63,1,FALSE)),"FALSE","TRUE")</f>
        <v>TRUE</v>
      </c>
      <c r="U131" s="25" t="str">
        <f>IF(ISNA(VLOOKUP(A131,'CTT Nodes'!$A$1:$D$83,1,FALSE)),"FALSE","TRUE")</f>
        <v>FALSE</v>
      </c>
      <c r="V131" s="25" t="str">
        <f>IF(OR(T131="TRUE",U131="TRUE"),"FALSE","TRUE")</f>
        <v>FALSE</v>
      </c>
      <c r="W131" s="68">
        <v>129</v>
      </c>
      <c r="X131" s="59">
        <v>10</v>
      </c>
      <c r="Y131" s="20"/>
      <c r="Z131" s="20"/>
      <c r="AA131" s="20"/>
      <c r="AB131" s="20"/>
      <c r="AC131" s="20"/>
      <c r="AD131" s="20"/>
      <c r="AE131" s="20"/>
      <c r="AF131" s="20"/>
      <c r="AG131" s="20"/>
      <c r="AH131" s="20"/>
      <c r="AI131" s="20"/>
      <c r="AJ131" s="20"/>
      <c r="AK131" s="20"/>
      <c r="AL131" s="20"/>
      <c r="AM131" s="20"/>
      <c r="AN131" s="20"/>
      <c r="AO131" s="20"/>
      <c r="AP131" s="20"/>
      <c r="AQ131" s="20"/>
      <c r="AR131" s="20"/>
      <c r="AS131" s="20"/>
      <c r="AT131" s="20"/>
      <c r="AU131" s="20"/>
      <c r="AV131" s="20"/>
      <c r="AW131" s="20"/>
      <c r="AX131" s="20"/>
      <c r="AY131" s="20"/>
      <c r="AZ131" s="20"/>
      <c r="BA131" s="20"/>
      <c r="BB131" s="20"/>
      <c r="BC131" s="20"/>
      <c r="BD131" s="20"/>
      <c r="BE131" s="20"/>
      <c r="BF131" s="20"/>
      <c r="BG131" s="20"/>
      <c r="BH131" s="20"/>
    </row>
    <row r="132" spans="1:60" x14ac:dyDescent="0.25">
      <c r="A132" s="21" t="s">
        <v>199</v>
      </c>
      <c r="B132" s="21" t="s">
        <v>243</v>
      </c>
      <c r="C132" s="21" t="str">
        <f>IF(T132="TRUE",VLOOKUP(A132,'Stock Nodes'!$A$1:$D$63,4,FALSE),IF(U132="TRUE",VLOOKUP(A132,'CTT Nodes'!$A$1:$D$83,4,FALSE),VLOOKUP(A132,'ETT Nodes'!$A$1:$D$87,3,FALSE)))</f>
        <v>Gigantic Rocketry</v>
      </c>
      <c r="D132" s="21" t="str">
        <f>"Node"&amp;TEXT(X132,"0")&amp;"_"&amp;A132</f>
        <v>Node12_giganticRocketry</v>
      </c>
      <c r="E132" s="22" t="str">
        <f>IF(OR(V132="TRUE",B132&lt;&gt;C132),"#LOC_ETT_"&amp;A132&amp;"_description",IF(T132="TRUE",VLOOKUP(A132,'Stock Nodes'!$A$1:$C$63,2,FALSE),IF(U132="TRUE",VLOOKUP(A132,'CTT Nodes'!$A$1:$D$83,2,FALSE))))</f>
        <v>#LOC_ETT_giganticRocketry_description</v>
      </c>
      <c r="F132" s="58">
        <v>1750</v>
      </c>
      <c r="G132" s="21">
        <f t="array" ref="G132">INDEX(TNodeCols,MATCH(1,MMULT(--(TTechTree=A132),TRANSPOSE(COLUMN(TTechTree)^0)),0))</f>
        <v>-3050.4000000000042</v>
      </c>
      <c r="H132" s="21">
        <f t="array" ref="H132">INDEX(NodeRows,MATCH(1,MMULT(--(TechTree=A132),TRANSPOSE(COLUMN(TechTree)^0)),0))</f>
        <v>1709</v>
      </c>
      <c r="I132" s="63" t="str">
        <f>TEXT(G132,"0") &amp; ", " &amp; TEXT(H132,"0") &amp;", -2"</f>
        <v>-3050, 1709, -2</v>
      </c>
      <c r="J132" s="63" t="str">
        <f>IF(T132="TRUE",VLOOKUP(A132,'Stock Nodes'!$A$1:$C$63,3,FALSE),IF(U132="TRUE",VLOOKUP(A132,'CTT Nodes'!$A$1:$G$83,7,FALSE),VLOOKUP(A132,'ETT Nodes'!$A$1:$E$87,5,FALSE)))</f>
        <v>ETTR/UI/CTT/ctt_icon_giganticRocketry</v>
      </c>
      <c r="K132" s="21" t="s">
        <v>22</v>
      </c>
      <c r="L132" s="63" t="s">
        <v>2067</v>
      </c>
      <c r="M132" s="63" t="s">
        <v>2068</v>
      </c>
      <c r="N132" s="6"/>
      <c r="O132" s="63"/>
      <c r="P132" s="63"/>
      <c r="Q132" s="6"/>
      <c r="R132" s="63"/>
      <c r="S132" s="63"/>
      <c r="T132" s="25" t="str">
        <f>IF(ISNA(VLOOKUP(A132,'Stock Nodes'!$A$1:$C$63,1,FALSE)),"FALSE","TRUE")</f>
        <v>FALSE</v>
      </c>
      <c r="U132" s="25" t="str">
        <f>IF(ISNA(VLOOKUP(A132,'CTT Nodes'!$A$1:$D$83,1,FALSE)),"FALSE","TRUE")</f>
        <v>TRUE</v>
      </c>
      <c r="V132" s="25" t="str">
        <f>IF(OR(T132="TRUE",U132="TRUE"),"FALSE","TRUE")</f>
        <v>FALSE</v>
      </c>
      <c r="W132" s="68">
        <v>130</v>
      </c>
      <c r="X132" s="59">
        <v>12</v>
      </c>
      <c r="Y132" s="20"/>
      <c r="Z132" s="20"/>
      <c r="AA132" s="20"/>
      <c r="AB132" s="20"/>
      <c r="AC132" s="20"/>
      <c r="AD132" s="20"/>
      <c r="AE132" s="20"/>
      <c r="AF132" s="20"/>
      <c r="AG132" s="20"/>
      <c r="AH132" s="20"/>
      <c r="AI132" s="20"/>
      <c r="AJ132" s="20"/>
      <c r="AK132" s="20"/>
      <c r="AL132" s="20"/>
      <c r="AM132" s="20"/>
      <c r="AN132" s="20"/>
      <c r="AO132" s="20"/>
      <c r="AP132" s="20"/>
      <c r="AQ132" s="20"/>
      <c r="AR132" s="20"/>
      <c r="AS132" s="20"/>
      <c r="AT132" s="20"/>
      <c r="AU132" s="20"/>
      <c r="AV132" s="20"/>
      <c r="AW132" s="20"/>
      <c r="AX132" s="20"/>
      <c r="AY132" s="20"/>
      <c r="AZ132" s="20"/>
      <c r="BA132" s="20"/>
      <c r="BB132" s="20"/>
      <c r="BC132" s="20"/>
      <c r="BD132" s="20"/>
      <c r="BE132" s="20"/>
      <c r="BF132" s="20"/>
      <c r="BG132" s="20"/>
      <c r="BH132" s="20"/>
    </row>
    <row r="133" spans="1:60" x14ac:dyDescent="0.25">
      <c r="A133" s="14" t="s">
        <v>200</v>
      </c>
      <c r="B133" s="21" t="s">
        <v>262</v>
      </c>
      <c r="C133" s="21" t="str">
        <f>IF(T133="TRUE",VLOOKUP(A133,'Stock Nodes'!$A$1:$D$63,4,FALSE),IF(U133="TRUE",VLOOKUP(A133,'CTT Nodes'!$A$1:$D$83,4,FALSE),VLOOKUP(A133,'ETT Nodes'!$A$1:$D$87,3,FALSE)))</f>
        <v>Colossal Rocketry</v>
      </c>
      <c r="D133" s="21" t="str">
        <f>"Node"&amp;TEXT(X133,"0")&amp;"_"&amp;A133</f>
        <v>Node14_colossalRocketry</v>
      </c>
      <c r="E133" s="22" t="str">
        <f>IF(OR(V133="TRUE",B133&lt;&gt;C133),"#LOC_ETT_"&amp;A133&amp;"_description",IF(T133="TRUE",VLOOKUP(A133,'Stock Nodes'!$A$1:$C$63,2,FALSE),IF(U133="TRUE",VLOOKUP(A133,'CTT Nodes'!$A$1:$D$83,2,FALSE))))</f>
        <v>#LOC_CTT_colossalRocketry_description</v>
      </c>
      <c r="F133" s="58">
        <v>2750</v>
      </c>
      <c r="G133" s="21">
        <f t="array" ref="G133">INDEX(TNodeCols,MATCH(1,MMULT(--(TTechTree=A133),TRANSPOSE(COLUMN(TTechTree)^0)),0))</f>
        <v>-3128.7000000000044</v>
      </c>
      <c r="H133" s="21">
        <f t="array" ref="H133">INDEX(NodeRows,MATCH(1,MMULT(--(TechTree=A133),TRANSPOSE(COLUMN(TechTree)^0)),0))</f>
        <v>1785</v>
      </c>
      <c r="I133" s="63" t="str">
        <f>TEXT(G133,"0") &amp; ", " &amp; TEXT(H133,"0") &amp;", -2"</f>
        <v>-3129, 1785, -2</v>
      </c>
      <c r="J133" s="63" t="str">
        <f>IF(T133="TRUE",VLOOKUP(A133,'Stock Nodes'!$A$1:$C$63,3,FALSE),IF(U133="TRUE",VLOOKUP(A133,'CTT Nodes'!$A$1:$G$83,7,FALSE),VLOOKUP(A133,'ETT Nodes'!$A$1:$E$87,5,FALSE)))</f>
        <v>ETTR/UI/CTT/ctt_icon_colossalRocketry</v>
      </c>
      <c r="K133" s="63" t="s">
        <v>199</v>
      </c>
      <c r="L133" s="63" t="s">
        <v>2067</v>
      </c>
      <c r="M133" s="63" t="s">
        <v>2068</v>
      </c>
      <c r="N133" s="6"/>
      <c r="O133" s="63"/>
      <c r="P133" s="63"/>
      <c r="Q133" s="6"/>
      <c r="R133" s="63"/>
      <c r="S133" s="63"/>
      <c r="T133" s="25" t="str">
        <f>IF(ISNA(VLOOKUP(A133,'Stock Nodes'!$A$1:$C$63,1,FALSE)),"FALSE","TRUE")</f>
        <v>FALSE</v>
      </c>
      <c r="U133" s="25" t="str">
        <f>IF(ISNA(VLOOKUP(A133,'CTT Nodes'!$A$1:$D$83,1,FALSE)),"FALSE","TRUE")</f>
        <v>TRUE</v>
      </c>
      <c r="V133" s="25" t="str">
        <f>IF(OR(T133="TRUE",U133="TRUE"),"FALSE","TRUE")</f>
        <v>FALSE</v>
      </c>
      <c r="W133" s="63">
        <v>131</v>
      </c>
      <c r="X133" s="59">
        <v>14</v>
      </c>
      <c r="Y133" s="20"/>
      <c r="Z133" s="20"/>
      <c r="AA133" s="20"/>
      <c r="AB133" s="20"/>
      <c r="AC133" s="20"/>
      <c r="AD133" s="20"/>
      <c r="AE133" s="20"/>
      <c r="AF133" s="20"/>
      <c r="AG133" s="20"/>
      <c r="AH133" s="20"/>
      <c r="AI133" s="20"/>
      <c r="AJ133" s="20"/>
      <c r="AK133" s="20"/>
      <c r="AL133" s="20"/>
      <c r="AM133" s="20"/>
      <c r="AN133" s="20"/>
      <c r="AO133" s="20"/>
      <c r="AP133" s="20"/>
      <c r="AQ133" s="20"/>
      <c r="AR133" s="20"/>
      <c r="AS133" s="20"/>
      <c r="AT133" s="20"/>
      <c r="AU133" s="20"/>
      <c r="AV133" s="20"/>
      <c r="AW133" s="20"/>
      <c r="AX133" s="20"/>
      <c r="AY133" s="20"/>
      <c r="AZ133" s="20"/>
      <c r="BA133" s="20"/>
      <c r="BB133" s="20"/>
      <c r="BC133" s="20"/>
      <c r="BD133" s="20"/>
      <c r="BE133" s="20"/>
      <c r="BF133" s="20"/>
      <c r="BG133" s="20"/>
      <c r="BH133" s="20"/>
    </row>
    <row r="134" spans="1:60" x14ac:dyDescent="0.25">
      <c r="A134" s="14" t="s">
        <v>165</v>
      </c>
      <c r="B134" s="21" t="s">
        <v>304</v>
      </c>
      <c r="C134" s="21" t="str">
        <f>IF(T134="TRUE",VLOOKUP(A134,'Stock Nodes'!$A$1:$D$63,4,FALSE),IF(U134="TRUE",VLOOKUP(A134,'CTT Nodes'!$A$1:$D$83,4,FALSE),VLOOKUP(A134,'ETT Nodes'!$A$1:$D$87,3,FALSE)))</f>
        <v>Precision Engineering</v>
      </c>
      <c r="D134" s="21" t="str">
        <f>"Node"&amp;TEXT(X134,"0")&amp;"_"&amp;A134</f>
        <v>Node3_precisionEngineering</v>
      </c>
      <c r="E134" s="22" t="str">
        <f>IF(OR(V134="TRUE",B134&lt;&gt;C134),"#LOC_ETT_"&amp;A134&amp;"_description",IF(T134="TRUE",VLOOKUP(A134,'Stock Nodes'!$A$1:$C$63,2,FALSE),IF(U134="TRUE",VLOOKUP(A134,'CTT Nodes'!$A$1:$D$83,2,FALSE))))</f>
        <v>#LOC_ETT_precisionEngineering_description</v>
      </c>
      <c r="F134" s="58">
        <v>25</v>
      </c>
      <c r="G134" s="21">
        <f t="array" ref="G134">INDEX(TNodeCols,MATCH(1,MMULT(--(TTechTree=A134),TRANSPOSE(COLUMN(TTechTree)^0)),0))</f>
        <v>-2580.6000000000031</v>
      </c>
      <c r="H134" s="21">
        <f t="array" ref="H134">INDEX(NodeRows,MATCH(1,MMULT(--(TechTree=A134),TRANSPOSE(COLUMN(TechTree)^0)),0))</f>
        <v>1177</v>
      </c>
      <c r="I134" s="63" t="str">
        <f>TEXT(G134,"0") &amp; ", " &amp; TEXT(H134,"0") &amp;", -2"</f>
        <v>-2581, 1177, -2</v>
      </c>
      <c r="J134" s="63" t="str">
        <f>IF(T134="TRUE",VLOOKUP(A134,'Stock Nodes'!$A$1:$C$63,3,FALSE),IF(U134="TRUE",VLOOKUP(A134,'CTT Nodes'!$A$1:$G$83,7,FALSE),VLOOKUP(A134,'ETT Nodes'!$A$1:$E$87,5,FALSE)))</f>
        <v>RDicon_engineering-precision</v>
      </c>
      <c r="K134" s="21" t="s">
        <v>99</v>
      </c>
      <c r="L134" s="63" t="s">
        <v>2069</v>
      </c>
      <c r="M134" s="63" t="s">
        <v>2068</v>
      </c>
      <c r="N134" s="6"/>
      <c r="O134" s="63"/>
      <c r="P134" s="63"/>
      <c r="Q134" s="6"/>
      <c r="R134" s="63"/>
      <c r="S134" s="63"/>
      <c r="T134" s="25" t="str">
        <f>IF(ISNA(VLOOKUP(A134,'Stock Nodes'!$A$1:$C$63,1,FALSE)),"FALSE","TRUE")</f>
        <v>TRUE</v>
      </c>
      <c r="U134" s="25" t="str">
        <f>IF(ISNA(VLOOKUP(A134,'CTT Nodes'!$A$1:$D$83,1,FALSE)),"FALSE","TRUE")</f>
        <v>FALSE</v>
      </c>
      <c r="V134" s="25" t="str">
        <f>IF(OR(T134="TRUE",U134="TRUE"),"FALSE","TRUE")</f>
        <v>FALSE</v>
      </c>
      <c r="W134" s="68">
        <v>132</v>
      </c>
      <c r="X134" s="59">
        <v>3</v>
      </c>
      <c r="Y134" s="20"/>
      <c r="Z134" s="20"/>
      <c r="AA134" s="20"/>
      <c r="AB134" s="20"/>
      <c r="AC134" s="20"/>
      <c r="AD134" s="20"/>
      <c r="AE134" s="20"/>
      <c r="AF134" s="20"/>
      <c r="AG134" s="20"/>
      <c r="AH134" s="20"/>
      <c r="AI134" s="20"/>
      <c r="AJ134" s="20"/>
      <c r="AK134" s="20"/>
      <c r="AL134" s="20"/>
      <c r="AM134" s="20"/>
      <c r="AN134" s="20"/>
      <c r="AO134" s="20"/>
      <c r="AP134" s="20"/>
      <c r="AQ134" s="20"/>
      <c r="AR134" s="20"/>
      <c r="AS134" s="20"/>
      <c r="AT134" s="20"/>
      <c r="AU134" s="20"/>
      <c r="AV134" s="20"/>
      <c r="AW134" s="20"/>
      <c r="AX134" s="20"/>
      <c r="AY134" s="20"/>
      <c r="AZ134" s="20"/>
      <c r="BA134" s="20"/>
      <c r="BB134" s="20"/>
      <c r="BC134" s="20"/>
      <c r="BD134" s="20"/>
      <c r="BE134" s="20"/>
      <c r="BF134" s="20"/>
      <c r="BG134" s="20"/>
      <c r="BH134" s="20"/>
    </row>
    <row r="135" spans="1:60" x14ac:dyDescent="0.25">
      <c r="A135" s="21" t="s">
        <v>486</v>
      </c>
      <c r="B135" s="21" t="s">
        <v>305</v>
      </c>
      <c r="C135" s="21" t="str">
        <f>IF(T135="TRUE",VLOOKUP(A135,'Stock Nodes'!$A$1:$D$63,4,FALSE),IF(U135="TRUE",VLOOKUP(A135,'CTT Nodes'!$A$1:$D$83,4,FALSE),VLOOKUP(A135,'ETT Nodes'!$A$1:$D$87,3,FALSE)))</f>
        <v>Advanced 1.25m Rocketry</v>
      </c>
      <c r="D135" s="21" t="str">
        <f>"Node"&amp;TEXT(X135,"0")&amp;"_"&amp;A135</f>
        <v>Node4_advGeneralRocketry</v>
      </c>
      <c r="E135" s="22" t="str">
        <f>IF(OR(V135="TRUE",B135&lt;&gt;C135),"#LOC_ETT_"&amp;A135&amp;"_description",IF(T135="TRUE",VLOOKUP(A135,'Stock Nodes'!$A$1:$C$63,2,FALSE),IF(U135="TRUE",VLOOKUP(A135,'CTT Nodes'!$A$1:$D$83,2,FALSE))))</f>
        <v>#LOC_ETT_advGeneralRocketry_description</v>
      </c>
      <c r="F135" s="58">
        <v>50</v>
      </c>
      <c r="G135" s="21">
        <f t="array" ref="G135">INDEX(TNodeCols,MATCH(1,MMULT(--(TTechTree=A135),TRANSPOSE(COLUMN(TTechTree)^0)),0))</f>
        <v>-2658.9000000000033</v>
      </c>
      <c r="H135" s="21">
        <f t="array" ref="H135">INDEX(NodeRows,MATCH(1,MMULT(--(TechTree=A135),TRANSPOSE(COLUMN(TechTree)^0)),0))</f>
        <v>1253</v>
      </c>
      <c r="I135" s="63" t="str">
        <f>TEXT(G135,"0") &amp; ", " &amp; TEXT(H135,"0") &amp;", -2"</f>
        <v>-2659, 1253, -2</v>
      </c>
      <c r="J135" s="63">
        <f>IF(T135="TRUE",VLOOKUP(A135,'Stock Nodes'!$A$1:$C$63,3,FALSE),IF(U135="TRUE",VLOOKUP(A135,'CTT Nodes'!$A$1:$G$83,7,FALSE),VLOOKUP(A135,'ETT Nodes'!$A$1:$E$87,5,FALSE)))</f>
        <v>0</v>
      </c>
      <c r="K135" s="21" t="s">
        <v>127</v>
      </c>
      <c r="L135" s="63" t="s">
        <v>2069</v>
      </c>
      <c r="M135" s="63" t="s">
        <v>2068</v>
      </c>
      <c r="N135" s="63"/>
      <c r="O135" s="63"/>
      <c r="P135" s="63"/>
      <c r="Q135" s="21"/>
      <c r="R135" s="63"/>
      <c r="S135" s="63"/>
      <c r="T135" s="25" t="str">
        <f>IF(ISNA(VLOOKUP(A135,'Stock Nodes'!$A$1:$C$63,1,FALSE)),"FALSE","TRUE")</f>
        <v>FALSE</v>
      </c>
      <c r="U135" s="25" t="str">
        <f>IF(ISNA(VLOOKUP(A135,'CTT Nodes'!$A$1:$D$83,1,FALSE)),"FALSE","TRUE")</f>
        <v>FALSE</v>
      </c>
      <c r="V135" s="25" t="str">
        <f>IF(OR(T135="TRUE",U135="TRUE"),"FALSE","TRUE")</f>
        <v>TRUE</v>
      </c>
      <c r="W135" s="68">
        <v>133</v>
      </c>
      <c r="X135" s="59">
        <v>3.67</v>
      </c>
      <c r="Y135" s="20"/>
      <c r="Z135" s="20" t="str">
        <f>IF(AND(V135="FALSE",LEFT(E135,9)="#LOC_ETT_"),"#LOC_ETT_"&amp;A135&amp;"_title","")</f>
        <v/>
      </c>
      <c r="AA135" s="20" t="str">
        <f>IF(AND(V135="FALSE",LEFT(E135,9)="#LOC_ETT_"),E135,"")</f>
        <v/>
      </c>
      <c r="AB135" s="20"/>
      <c r="AC135" s="20"/>
      <c r="AD135" s="20"/>
      <c r="AE135" s="20"/>
      <c r="AF135" s="20"/>
      <c r="AG135" s="20"/>
      <c r="AH135" s="20"/>
      <c r="AI135" s="20"/>
      <c r="AJ135" s="20"/>
      <c r="AK135" s="20"/>
      <c r="AL135" s="20"/>
      <c r="AM135" s="20"/>
      <c r="AN135" s="20"/>
      <c r="AO135" s="20"/>
      <c r="AP135" s="20"/>
      <c r="AQ135" s="20"/>
      <c r="AR135" s="20"/>
      <c r="AS135" s="20"/>
      <c r="AT135" s="20"/>
      <c r="AU135" s="20"/>
      <c r="AV135" s="20"/>
      <c r="AW135" s="20"/>
      <c r="AX135" s="20"/>
      <c r="AY135" s="20"/>
      <c r="AZ135" s="20"/>
      <c r="BA135" s="20"/>
      <c r="BB135" s="20"/>
      <c r="BC135" s="20"/>
      <c r="BD135" s="20"/>
      <c r="BE135" s="20"/>
      <c r="BF135" s="20"/>
      <c r="BG135" s="20"/>
      <c r="BH135" s="20"/>
    </row>
    <row r="136" spans="1:60" x14ac:dyDescent="0.25">
      <c r="A136" s="14" t="s">
        <v>490</v>
      </c>
      <c r="B136" s="21" t="s">
        <v>357</v>
      </c>
      <c r="C136" s="21" t="str">
        <f>IF(T136="TRUE",VLOOKUP(A136,'Stock Nodes'!$A$1:$D$63,4,FALSE),IF(U136="TRUE",VLOOKUP(A136,'CTT Nodes'!$A$1:$D$83,4,FALSE),VLOOKUP(A136,'ETT Nodes'!$A$1:$D$87,3,FALSE)))</f>
        <v>Advanced 1.875m Rocketry</v>
      </c>
      <c r="D136" s="21" t="str">
        <f>"Node"&amp;TEXT(X136,"0")&amp;"_"&amp;A136</f>
        <v>Node4_advIntermediateRocketry</v>
      </c>
      <c r="E136" s="22" t="str">
        <f>IF(OR(V136="TRUE",B136&lt;&gt;C136),"#LOC_ETT_"&amp;A136&amp;"_description",IF(T136="TRUE",VLOOKUP(A136,'Stock Nodes'!$A$1:$C$63,2,FALSE),IF(U136="TRUE",VLOOKUP(A136,'CTT Nodes'!$A$1:$D$83,2,FALSE))))</f>
        <v>#LOC_ETT_advIntermediateRocketry_description</v>
      </c>
      <c r="F136" s="58">
        <v>70</v>
      </c>
      <c r="G136" s="21">
        <f t="array" ref="G136">INDEX(TNodeCols,MATCH(1,MMULT(--(TTechTree=A136),TRANSPOSE(COLUMN(TTechTree)^0)),0))</f>
        <v>-2737.2000000000035</v>
      </c>
      <c r="H136" s="21">
        <f t="array" ref="H136">INDEX(NodeRows,MATCH(1,MMULT(--(TechTree=A136),TRANSPOSE(COLUMN(TechTree)^0)),0))</f>
        <v>1329</v>
      </c>
      <c r="I136" s="63" t="str">
        <f>TEXT(G136,"0") &amp; ", " &amp; TEXT(H136,"0") &amp;", -2"</f>
        <v>-2737, 1329, -2</v>
      </c>
      <c r="J136" s="63">
        <f>IF(T136="TRUE",VLOOKUP(A136,'Stock Nodes'!$A$1:$C$63,3,FALSE),IF(U136="TRUE",VLOOKUP(A136,'CTT Nodes'!$A$1:$G$83,7,FALSE),VLOOKUP(A136,'ETT Nodes'!$A$1:$E$87,5,FALSE)))</f>
        <v>0</v>
      </c>
      <c r="K136" s="21" t="s">
        <v>489</v>
      </c>
      <c r="L136" s="63" t="s">
        <v>2069</v>
      </c>
      <c r="M136" s="63" t="s">
        <v>2068</v>
      </c>
      <c r="N136" s="63"/>
      <c r="O136" s="63"/>
      <c r="P136" s="63"/>
      <c r="Q136" s="6"/>
      <c r="R136" s="63"/>
      <c r="S136" s="63"/>
      <c r="T136" s="25" t="str">
        <f>IF(ISNA(VLOOKUP(A136,'Stock Nodes'!$A$1:$C$63,1,FALSE)),"FALSE","TRUE")</f>
        <v>FALSE</v>
      </c>
      <c r="U136" s="25" t="str">
        <f>IF(ISNA(VLOOKUP(A136,'CTT Nodes'!$A$1:$D$83,1,FALSE)),"FALSE","TRUE")</f>
        <v>FALSE</v>
      </c>
      <c r="V136" s="25" t="str">
        <f>IF(OR(T136="TRUE",U136="TRUE"),"FALSE","TRUE")</f>
        <v>TRUE</v>
      </c>
      <c r="W136" s="63">
        <v>134</v>
      </c>
      <c r="X136" s="59">
        <v>4</v>
      </c>
      <c r="Y136" s="20"/>
      <c r="Z136" s="20" t="str">
        <f>IF(AND(V136="FALSE",LEFT(E136,9)="#LOC_ETT_"),"#LOC_ETT_"&amp;A136&amp;"_title","")</f>
        <v/>
      </c>
      <c r="AA136" s="20" t="str">
        <f>IF(AND(V136="FALSE",LEFT(E136,9)="#LOC_ETT_"),E136,"")</f>
        <v/>
      </c>
      <c r="AB136" s="20"/>
      <c r="AC136" s="20"/>
      <c r="AD136" s="20"/>
      <c r="AE136" s="20"/>
      <c r="AF136" s="20"/>
      <c r="AG136" s="20"/>
      <c r="AH136" s="20"/>
      <c r="AI136" s="20"/>
      <c r="AJ136" s="20"/>
      <c r="AK136" s="20"/>
      <c r="AL136" s="20"/>
      <c r="AM136" s="20"/>
      <c r="AN136" s="20"/>
      <c r="AO136" s="20"/>
      <c r="AP136" s="20"/>
      <c r="AQ136" s="20"/>
      <c r="AR136" s="20"/>
      <c r="AS136" s="20"/>
      <c r="AT136" s="20"/>
      <c r="AU136" s="20"/>
      <c r="AV136" s="20"/>
      <c r="AW136" s="20"/>
      <c r="AX136" s="20"/>
      <c r="AY136" s="20"/>
      <c r="AZ136" s="20"/>
      <c r="BA136" s="20"/>
      <c r="BB136" s="20"/>
      <c r="BC136" s="20"/>
      <c r="BD136" s="20"/>
      <c r="BE136" s="20"/>
      <c r="BF136" s="20"/>
      <c r="BG136" s="20"/>
      <c r="BH136" s="20"/>
    </row>
    <row r="137" spans="1:60" x14ac:dyDescent="0.25">
      <c r="A137" s="14" t="s">
        <v>484</v>
      </c>
      <c r="B137" s="21" t="s">
        <v>309</v>
      </c>
      <c r="C137" s="21" t="str">
        <f>IF(T137="TRUE",VLOOKUP(A137,'Stock Nodes'!$A$1:$D$63,4,FALSE),IF(U137="TRUE",VLOOKUP(A137,'CTT Nodes'!$A$1:$D$83,4,FALSE),VLOOKUP(A137,'ETT Nodes'!$A$1:$D$87,3,FALSE)))</f>
        <v>Advanced 2.5m Rocketry</v>
      </c>
      <c r="D137" s="21" t="str">
        <f>"Node"&amp;TEXT(X137,"0")&amp;"_"&amp;A137</f>
        <v>Node5_advAdvancedRocketry</v>
      </c>
      <c r="E137" s="22" t="str">
        <f>IF(OR(V137="TRUE",B137&lt;&gt;C137),"#LOC_ETT_"&amp;A137&amp;"_description",IF(T137="TRUE",VLOOKUP(A137,'Stock Nodes'!$A$1:$C$63,2,FALSE),IF(U137="TRUE",VLOOKUP(A137,'CTT Nodes'!$A$1:$D$83,2,FALSE))))</f>
        <v>#LOC_ETT_advAdvancedRocketry_description</v>
      </c>
      <c r="F137" s="58">
        <v>95</v>
      </c>
      <c r="G137" s="21">
        <f t="array" ref="G137">INDEX(TNodeCols,MATCH(1,MMULT(--(TTechTree=A137),TRANSPOSE(COLUMN(TTechTree)^0)),0))</f>
        <v>-2815.5000000000036</v>
      </c>
      <c r="H137" s="21">
        <f t="array" ref="H137">INDEX(NodeRows,MATCH(1,MMULT(--(TechTree=A137),TRANSPOSE(COLUMN(TechTree)^0)),0))</f>
        <v>1405</v>
      </c>
      <c r="I137" s="63" t="str">
        <f>TEXT(G137,"0") &amp; ", " &amp; TEXT(H137,"0") &amp;", -2"</f>
        <v>-2816, 1405, -2</v>
      </c>
      <c r="J137" s="63">
        <f>IF(T137="TRUE",VLOOKUP(A137,'Stock Nodes'!$A$1:$C$63,3,FALSE),IF(U137="TRUE",VLOOKUP(A137,'CTT Nodes'!$A$1:$G$83,7,FALSE),VLOOKUP(A137,'ETT Nodes'!$A$1:$E$87,5,FALSE)))</f>
        <v>0</v>
      </c>
      <c r="K137" s="63" t="s">
        <v>156</v>
      </c>
      <c r="L137" s="63" t="s">
        <v>2069</v>
      </c>
      <c r="M137" s="63" t="s">
        <v>2068</v>
      </c>
      <c r="N137" s="63"/>
      <c r="O137" s="63"/>
      <c r="P137" s="63"/>
      <c r="Q137" s="14"/>
      <c r="R137" s="63"/>
      <c r="S137" s="63"/>
      <c r="T137" s="25" t="str">
        <f>IF(ISNA(VLOOKUP(A137,'Stock Nodes'!$A$1:$C$63,1,FALSE)),"FALSE","TRUE")</f>
        <v>FALSE</v>
      </c>
      <c r="U137" s="25" t="str">
        <f>IF(ISNA(VLOOKUP(A137,'CTT Nodes'!$A$1:$D$83,1,FALSE)),"FALSE","TRUE")</f>
        <v>FALSE</v>
      </c>
      <c r="V137" s="25" t="str">
        <f>IF(OR(T137="TRUE",U137="TRUE"),"FALSE","TRUE")</f>
        <v>TRUE</v>
      </c>
      <c r="W137" s="68">
        <v>135</v>
      </c>
      <c r="X137" s="59">
        <v>4.67</v>
      </c>
      <c r="Y137" s="20"/>
      <c r="Z137" s="20" t="str">
        <f>IF(AND(V137="FALSE",LEFT(E137,9)="#LOC_ETT_"),"#LOC_ETT_"&amp;A137&amp;"_title","")</f>
        <v/>
      </c>
      <c r="AA137" s="20" t="str">
        <f>IF(AND(V137="FALSE",LEFT(E137,9)="#LOC_ETT_"),E137,"")</f>
        <v/>
      </c>
      <c r="AB137" s="20"/>
      <c r="AC137" s="20"/>
      <c r="AD137" s="20"/>
      <c r="AE137" s="20"/>
      <c r="AF137" s="20"/>
      <c r="AG137" s="20"/>
      <c r="AH137" s="20"/>
      <c r="AI137" s="20"/>
      <c r="AJ137" s="20"/>
      <c r="AK137" s="20"/>
      <c r="AL137" s="20"/>
      <c r="AM137" s="20"/>
      <c r="AN137" s="20"/>
      <c r="AO137" s="20"/>
      <c r="AP137" s="20"/>
      <c r="AQ137" s="20"/>
      <c r="AR137" s="20"/>
      <c r="AS137" s="20"/>
      <c r="AT137" s="20"/>
      <c r="AU137" s="20"/>
      <c r="AV137" s="20"/>
      <c r="AW137" s="20"/>
      <c r="AX137" s="20"/>
      <c r="AY137" s="20"/>
      <c r="AZ137" s="20"/>
      <c r="BA137" s="20"/>
      <c r="BB137" s="20"/>
      <c r="BC137" s="20"/>
      <c r="BD137" s="20"/>
      <c r="BE137" s="20"/>
      <c r="BF137" s="20"/>
      <c r="BG137" s="20"/>
      <c r="BH137" s="20"/>
    </row>
    <row r="138" spans="1:60" x14ac:dyDescent="0.25">
      <c r="A138" s="14" t="s">
        <v>482</v>
      </c>
      <c r="B138" s="63" t="s">
        <v>334</v>
      </c>
      <c r="C138" s="21" t="str">
        <f>IF(T138="TRUE",VLOOKUP(A138,'Stock Nodes'!$A$1:$D$63,4,FALSE),IF(U138="TRUE",VLOOKUP(A138,'CTT Nodes'!$A$1:$D$83,4,FALSE),VLOOKUP(A138,'ETT Nodes'!$A$1:$D$87,3,FALSE)))</f>
        <v>Advanced 3.75m Rocketry</v>
      </c>
      <c r="D138" s="21" t="str">
        <f>"Node"&amp;TEXT(X138,"0")&amp;"_"&amp;A138</f>
        <v>Node7_advHeavyRocketry</v>
      </c>
      <c r="E138" s="22" t="str">
        <f>IF(OR(V138="TRUE",B138&lt;&gt;C138),"#LOC_ETT_"&amp;A138&amp;"_description",IF(T138="TRUE",VLOOKUP(A138,'Stock Nodes'!$A$1:$C$63,2,FALSE),IF(U138="TRUE",VLOOKUP(A138,'CTT Nodes'!$A$1:$D$83,2,FALSE))))</f>
        <v>#LOC_ETT_advHeavyRocketry_description</v>
      </c>
      <c r="F138" s="58">
        <v>275</v>
      </c>
      <c r="G138" s="21">
        <f t="array" ref="G138">INDEX(TNodeCols,MATCH(1,MMULT(--(TTechTree=A138),TRANSPOSE(COLUMN(TTechTree)^0)),0))</f>
        <v>-2893.8000000000038</v>
      </c>
      <c r="H138" s="21">
        <f t="array" ref="H138">INDEX(NodeRows,MATCH(1,MMULT(--(TechTree=A138),TRANSPOSE(COLUMN(TechTree)^0)),0))</f>
        <v>1481</v>
      </c>
      <c r="I138" s="63" t="str">
        <f>TEXT(G138,"0") &amp; ", " &amp; TEXT(H138,"0") &amp;", -2"</f>
        <v>-2894, 1481, -2</v>
      </c>
      <c r="J138" s="63">
        <f>IF(T138="TRUE",VLOOKUP(A138,'Stock Nodes'!$A$1:$C$63,3,FALSE),IF(U138="TRUE",VLOOKUP(A138,'CTT Nodes'!$A$1:$G$83,7,FALSE),VLOOKUP(A138,'ETT Nodes'!$A$1:$E$87,5,FALSE)))</f>
        <v>0</v>
      </c>
      <c r="K138" s="21" t="s">
        <v>193</v>
      </c>
      <c r="L138" s="63" t="s">
        <v>2069</v>
      </c>
      <c r="M138" s="63" t="s">
        <v>2068</v>
      </c>
      <c r="N138" s="12"/>
      <c r="O138" s="63"/>
      <c r="P138" s="63"/>
      <c r="Q138" s="12"/>
      <c r="R138" s="63"/>
      <c r="S138" s="63"/>
      <c r="T138" s="25" t="str">
        <f>IF(ISNA(VLOOKUP(A138,'Stock Nodes'!$A$1:$C$63,1,FALSE)),"FALSE","TRUE")</f>
        <v>FALSE</v>
      </c>
      <c r="U138" s="25" t="str">
        <f>IF(ISNA(VLOOKUP(A138,'CTT Nodes'!$A$1:$D$83,1,FALSE)),"FALSE","TRUE")</f>
        <v>FALSE</v>
      </c>
      <c r="V138" s="25" t="str">
        <f>IF(OR(T138="TRUE",U138="TRUE"),"FALSE","TRUE")</f>
        <v>TRUE</v>
      </c>
      <c r="W138" s="68">
        <v>136</v>
      </c>
      <c r="X138" s="59">
        <v>6.5</v>
      </c>
      <c r="Y138" s="20"/>
      <c r="Z138" s="20" t="str">
        <f>IF(AND(V138="FALSE",LEFT(E138,9)="#LOC_ETT_"),"#LOC_ETT_"&amp;A138&amp;"_title","")</f>
        <v/>
      </c>
      <c r="AA138" s="20" t="str">
        <f>IF(AND(V138="FALSE",LEFT(E138,9)="#LOC_ETT_"),E138,"")</f>
        <v/>
      </c>
      <c r="AB138" s="20"/>
      <c r="AC138" s="20"/>
      <c r="AD138" s="20"/>
      <c r="AE138" s="20"/>
      <c r="AF138" s="20"/>
      <c r="AG138" s="20"/>
      <c r="AH138" s="20"/>
      <c r="AI138" s="20"/>
      <c r="AJ138" s="20"/>
      <c r="AK138" s="20"/>
      <c r="AL138" s="20"/>
      <c r="AM138" s="20"/>
      <c r="AN138" s="20"/>
      <c r="AO138" s="20"/>
      <c r="AP138" s="20"/>
      <c r="AQ138" s="20"/>
      <c r="AR138" s="20"/>
      <c r="AS138" s="20"/>
      <c r="AT138" s="20"/>
      <c r="AU138" s="20"/>
      <c r="AV138" s="20"/>
      <c r="AW138" s="20"/>
      <c r="AX138" s="20"/>
      <c r="AY138" s="20"/>
      <c r="AZ138" s="20"/>
      <c r="BA138" s="20"/>
      <c r="BB138" s="20"/>
      <c r="BC138" s="20"/>
      <c r="BD138" s="20"/>
      <c r="BE138" s="20"/>
      <c r="BF138" s="20"/>
      <c r="BG138" s="20"/>
      <c r="BH138" s="20"/>
    </row>
    <row r="139" spans="1:60" x14ac:dyDescent="0.25">
      <c r="A139" s="21" t="s">
        <v>481</v>
      </c>
      <c r="B139" s="21" t="s">
        <v>336</v>
      </c>
      <c r="C139" s="21" t="str">
        <f>IF(T139="TRUE",VLOOKUP(A139,'Stock Nodes'!$A$1:$D$63,4,FALSE),IF(U139="TRUE",VLOOKUP(A139,'CTT Nodes'!$A$1:$D$83,4,FALSE),VLOOKUP(A139,'ETT Nodes'!$A$1:$D$87,3,FALSE)))</f>
        <v>Advanced 5m Rocketry</v>
      </c>
      <c r="D139" s="21" t="str">
        <f>"Node"&amp;TEXT(X139,"0")&amp;"_"&amp;A139</f>
        <v>Node9_advHeavierRocketry</v>
      </c>
      <c r="E139" s="22" t="str">
        <f>IF(OR(V139="TRUE",B139&lt;&gt;C139),"#LOC_ETT_"&amp;A139&amp;"_description",IF(T139="TRUE",VLOOKUP(A139,'Stock Nodes'!$A$1:$C$63,2,FALSE),IF(U139="TRUE",VLOOKUP(A139,'CTT Nodes'!$A$1:$D$83,2,FALSE))))</f>
        <v>#LOC_ETT_advHeavierRocketry_description</v>
      </c>
      <c r="F139" s="58">
        <v>750</v>
      </c>
      <c r="G139" s="21">
        <f t="array" ref="G139">INDEX(TNodeCols,MATCH(1,MMULT(--(TTechTree=A139),TRANSPOSE(COLUMN(TTechTree)^0)),0))</f>
        <v>-2972.100000000004</v>
      </c>
      <c r="H139" s="21">
        <f t="array" ref="H139">INDEX(NodeRows,MATCH(1,MMULT(--(TechTree=A139),TRANSPOSE(COLUMN(TechTree)^0)),0))</f>
        <v>1557</v>
      </c>
      <c r="I139" s="63" t="str">
        <f>TEXT(G139,"0") &amp; ", " &amp; TEXT(H139,"0") &amp;", -2"</f>
        <v>-2972, 1557, -2</v>
      </c>
      <c r="J139" s="63">
        <f>IF(T139="TRUE",VLOOKUP(A139,'Stock Nodes'!$A$1:$C$63,3,FALSE),IF(U139="TRUE",VLOOKUP(A139,'CTT Nodes'!$A$1:$G$83,7,FALSE),VLOOKUP(A139,'ETT Nodes'!$A$1:$E$87,5,FALSE)))</f>
        <v>0</v>
      </c>
      <c r="K139" s="63" t="s">
        <v>198</v>
      </c>
      <c r="L139" s="63" t="s">
        <v>2069</v>
      </c>
      <c r="M139" s="63" t="s">
        <v>2068</v>
      </c>
      <c r="N139" s="6"/>
      <c r="O139" s="63"/>
      <c r="P139" s="63"/>
      <c r="Q139" s="6"/>
      <c r="R139" s="63"/>
      <c r="S139" s="63"/>
      <c r="T139" s="25" t="str">
        <f>IF(ISNA(VLOOKUP(A139,'Stock Nodes'!$A$1:$C$63,1,FALSE)),"FALSE","TRUE")</f>
        <v>FALSE</v>
      </c>
      <c r="U139" s="25" t="str">
        <f>IF(ISNA(VLOOKUP(A139,'CTT Nodes'!$A$1:$D$83,1,FALSE)),"FALSE","TRUE")</f>
        <v>FALSE</v>
      </c>
      <c r="V139" s="25" t="str">
        <f>IF(OR(T139="TRUE",U139="TRUE"),"FALSE","TRUE")</f>
        <v>TRUE</v>
      </c>
      <c r="W139" s="63">
        <v>137</v>
      </c>
      <c r="X139" s="59">
        <v>9</v>
      </c>
      <c r="Y139" s="20"/>
      <c r="Z139" s="20"/>
      <c r="AA139" s="20"/>
      <c r="AB139" s="20"/>
      <c r="AC139" s="20"/>
      <c r="AD139" s="20"/>
      <c r="AE139" s="20"/>
      <c r="AF139" s="20"/>
      <c r="AG139" s="20"/>
      <c r="AH139" s="20"/>
      <c r="AI139" s="20"/>
      <c r="AJ139" s="20"/>
      <c r="AK139" s="20"/>
      <c r="AL139" s="20"/>
      <c r="AM139" s="20"/>
      <c r="AN139" s="20"/>
      <c r="AO139" s="20"/>
      <c r="AP139" s="20"/>
      <c r="AQ139" s="20"/>
      <c r="AR139" s="20"/>
      <c r="AS139" s="20"/>
      <c r="AT139" s="20"/>
      <c r="AU139" s="20"/>
      <c r="AV139" s="20"/>
      <c r="AW139" s="20"/>
      <c r="AX139" s="20"/>
      <c r="AY139" s="20"/>
      <c r="AZ139" s="20"/>
      <c r="BA139" s="20"/>
      <c r="BB139" s="20"/>
      <c r="BC139" s="20"/>
      <c r="BD139" s="20"/>
      <c r="BE139" s="20"/>
      <c r="BF139" s="20"/>
      <c r="BG139" s="20"/>
      <c r="BH139" s="20"/>
    </row>
    <row r="140" spans="1:60" x14ac:dyDescent="0.25">
      <c r="A140" s="14" t="s">
        <v>825</v>
      </c>
      <c r="B140" s="21" t="s">
        <v>338</v>
      </c>
      <c r="C140" s="21" t="str">
        <f>IF(T140="TRUE",VLOOKUP(A140,'Stock Nodes'!$A$1:$D$63,4,FALSE),IF(U140="TRUE",VLOOKUP(A140,'CTT Nodes'!$A$1:$D$83,4,FALSE),VLOOKUP(A140,'ETT Nodes'!$A$1:$D$87,3,FALSE)))</f>
        <v>Advanced 7.75m Rocketry</v>
      </c>
      <c r="D140" s="21" t="str">
        <f>"Node"&amp;TEXT(X140,"0")&amp;"_"&amp;A140</f>
        <v>Node12_advVeryHeavyRocketry</v>
      </c>
      <c r="E140" s="22" t="str">
        <f>IF(OR(V140="TRUE",B140&lt;&gt;C140),"#LOC_ETT_"&amp;A140&amp;"_description",IF(T140="TRUE",VLOOKUP(A140,'Stock Nodes'!$A$1:$C$63,2,FALSE),IF(U140="TRUE",VLOOKUP(A140,'CTT Nodes'!$A$1:$D$83,2,FALSE))))</f>
        <v>#LOC_ETT_advVeryHeavyRocketry_description</v>
      </c>
      <c r="F140" s="58">
        <v>1750</v>
      </c>
      <c r="G140" s="21">
        <f t="array" ref="G140">INDEX(TNodeCols,MATCH(1,MMULT(--(TTechTree=A140),TRANSPOSE(COLUMN(TTechTree)^0)),0))</f>
        <v>-3050.4000000000042</v>
      </c>
      <c r="H140" s="21">
        <f t="array" ref="H140">INDEX(NodeRows,MATCH(1,MMULT(--(TechTree=A140),TRANSPOSE(COLUMN(TechTree)^0)),0))</f>
        <v>1633</v>
      </c>
      <c r="I140" s="63" t="str">
        <f>TEXT(G140,"0") &amp; ", " &amp; TEXT(H140,"0") &amp;", -2"</f>
        <v>-3050, 1633, -2</v>
      </c>
      <c r="J140" s="63">
        <f>IF(T140="TRUE",VLOOKUP(A140,'Stock Nodes'!$A$1:$C$63,3,FALSE),IF(U140="TRUE",VLOOKUP(A140,'CTT Nodes'!$A$1:$G$83,7,FALSE),VLOOKUP(A140,'ETT Nodes'!$A$1:$E$87,5,FALSE)))</f>
        <v>0</v>
      </c>
      <c r="K140" s="21" t="s">
        <v>22</v>
      </c>
      <c r="L140" s="63" t="s">
        <v>2069</v>
      </c>
      <c r="M140" s="63" t="s">
        <v>2068</v>
      </c>
      <c r="N140" s="6"/>
      <c r="O140" s="63"/>
      <c r="P140" s="63"/>
      <c r="Q140" s="6"/>
      <c r="R140" s="63"/>
      <c r="S140" s="63"/>
      <c r="T140" s="25" t="str">
        <f>IF(ISNA(VLOOKUP(A140,'Stock Nodes'!$A$1:$C$63,1,FALSE)),"FALSE","TRUE")</f>
        <v>FALSE</v>
      </c>
      <c r="U140" s="25" t="str">
        <f>IF(ISNA(VLOOKUP(A140,'CTT Nodes'!$A$1:$D$83,1,FALSE)),"FALSE","TRUE")</f>
        <v>FALSE</v>
      </c>
      <c r="V140" s="25" t="str">
        <f>IF(OR(T140="TRUE",U140="TRUE"),"FALSE","TRUE")</f>
        <v>TRUE</v>
      </c>
      <c r="W140" s="68">
        <v>138</v>
      </c>
      <c r="X140" s="59">
        <v>12</v>
      </c>
      <c r="Y140" s="20"/>
      <c r="Z140" s="20"/>
      <c r="AA140" s="20"/>
      <c r="AB140" s="20"/>
      <c r="AC140" s="20"/>
      <c r="AD140" s="20"/>
      <c r="AE140" s="20"/>
      <c r="AF140" s="20"/>
      <c r="AG140" s="20"/>
      <c r="AH140" s="20"/>
      <c r="AI140" s="20"/>
      <c r="AJ140" s="20"/>
      <c r="AK140" s="20"/>
      <c r="AL140" s="20"/>
      <c r="AM140" s="20"/>
      <c r="AN140" s="20"/>
      <c r="AO140" s="20"/>
      <c r="AP140" s="20"/>
      <c r="AQ140" s="20"/>
      <c r="AR140" s="20"/>
      <c r="AS140" s="20"/>
      <c r="AT140" s="20"/>
      <c r="AU140" s="20"/>
      <c r="AV140" s="20"/>
      <c r="AW140" s="20"/>
      <c r="AX140" s="20"/>
      <c r="AY140" s="20"/>
      <c r="AZ140" s="20"/>
      <c r="BA140" s="20"/>
      <c r="BB140" s="20"/>
      <c r="BC140" s="20"/>
      <c r="BD140" s="20"/>
      <c r="BE140" s="20"/>
      <c r="BF140" s="20"/>
      <c r="BG140" s="20"/>
      <c r="BH140" s="20"/>
    </row>
    <row r="141" spans="1:60" x14ac:dyDescent="0.25">
      <c r="A141" s="14" t="s">
        <v>487</v>
      </c>
      <c r="B141" s="21" t="s">
        <v>306</v>
      </c>
      <c r="C141" s="21" t="str">
        <f>IF(T141="TRUE",VLOOKUP(A141,'Stock Nodes'!$A$1:$D$63,4,FALSE),IF(U141="TRUE",VLOOKUP(A141,'CTT Nodes'!$A$1:$D$83,4,FALSE),VLOOKUP(A141,'ETT Nodes'!$A$1:$D$87,3,FALSE)))</f>
        <v>Experimental 0.625m Rocketry</v>
      </c>
      <c r="D141" s="21" t="str">
        <f>"Node"&amp;TEXT(X141,"0")&amp;"_"&amp;A141</f>
        <v>Node4_experimentalPrecisionEngineering</v>
      </c>
      <c r="E141" s="22" t="str">
        <f>IF(OR(V141="TRUE",B141&lt;&gt;C141),"#LOC_ETT_"&amp;A141&amp;"_description",IF(T141="TRUE",VLOOKUP(A141,'Stock Nodes'!$A$1:$C$63,2,FALSE),IF(U141="TRUE",VLOOKUP(A141,'CTT Nodes'!$A$1:$D$83,2,FALSE))))</f>
        <v>#LOC_ETT_experimentalPrecisionEngineering_description</v>
      </c>
      <c r="F141" s="58">
        <v>50</v>
      </c>
      <c r="G141" s="21">
        <f t="array" ref="G141">INDEX(TNodeCols,MATCH(1,MMULT(--(TTechTree=A141),TRANSPOSE(COLUMN(TTechTree)^0)),0))</f>
        <v>-2658.9000000000033</v>
      </c>
      <c r="H141" s="21">
        <f t="array" ref="H141">INDEX(NodeRows,MATCH(1,MMULT(--(TechTree=A141),TRANSPOSE(COLUMN(TechTree)^0)),0))</f>
        <v>1177</v>
      </c>
      <c r="I141" s="63" t="str">
        <f>TEXT(G141,"0") &amp; ", " &amp; TEXT(H141,"0") &amp;", -2"</f>
        <v>-2659, 1177, -2</v>
      </c>
      <c r="J141" s="63">
        <f>IF(T141="TRUE",VLOOKUP(A141,'Stock Nodes'!$A$1:$C$63,3,FALSE),IF(U141="TRUE",VLOOKUP(A141,'CTT Nodes'!$A$1:$G$83,7,FALSE),VLOOKUP(A141,'ETT Nodes'!$A$1:$E$87,5,FALSE)))</f>
        <v>0</v>
      </c>
      <c r="K141" s="63" t="s">
        <v>165</v>
      </c>
      <c r="L141" s="63" t="s">
        <v>2069</v>
      </c>
      <c r="M141" s="63" t="s">
        <v>2068</v>
      </c>
      <c r="N141" s="6"/>
      <c r="O141" s="63"/>
      <c r="P141" s="63"/>
      <c r="Q141" s="6"/>
      <c r="R141" s="63"/>
      <c r="S141" s="63"/>
      <c r="T141" s="25" t="str">
        <f>IF(ISNA(VLOOKUP(A141,'Stock Nodes'!$A$1:$C$63,1,FALSE)),"FALSE","TRUE")</f>
        <v>FALSE</v>
      </c>
      <c r="U141" s="25" t="str">
        <f>IF(ISNA(VLOOKUP(A141,'CTT Nodes'!$A$1:$D$83,1,FALSE)),"FALSE","TRUE")</f>
        <v>FALSE</v>
      </c>
      <c r="V141" s="25" t="str">
        <f>IF(OR(T141="TRUE",U141="TRUE"),"FALSE","TRUE")</f>
        <v>TRUE</v>
      </c>
      <c r="W141" s="68">
        <v>139</v>
      </c>
      <c r="X141" s="59">
        <v>3.67</v>
      </c>
      <c r="Y141" s="20"/>
      <c r="Z141" s="20"/>
      <c r="AA141" s="20"/>
      <c r="AB141" s="20"/>
      <c r="AC141" s="20"/>
      <c r="AD141" s="20"/>
      <c r="AE141" s="20"/>
      <c r="AF141" s="20"/>
      <c r="AG141" s="20"/>
      <c r="AH141" s="20"/>
      <c r="AI141" s="20"/>
      <c r="AJ141" s="20"/>
      <c r="AK141" s="20"/>
      <c r="AL141" s="20"/>
      <c r="AM141" s="20"/>
      <c r="AN141" s="20"/>
      <c r="AO141" s="20"/>
      <c r="AP141" s="20"/>
      <c r="AQ141" s="20"/>
      <c r="AR141" s="20"/>
      <c r="AS141" s="20"/>
      <c r="AT141" s="20"/>
      <c r="AU141" s="20"/>
      <c r="AV141" s="20"/>
      <c r="AW141" s="20"/>
      <c r="AX141" s="20"/>
      <c r="AY141" s="20"/>
      <c r="AZ141" s="20"/>
      <c r="BA141" s="20"/>
      <c r="BB141" s="20"/>
      <c r="BC141" s="20"/>
      <c r="BD141" s="20"/>
      <c r="BE141" s="20"/>
      <c r="BF141" s="20"/>
      <c r="BG141" s="20"/>
      <c r="BH141" s="20"/>
    </row>
    <row r="142" spans="1:60" x14ac:dyDescent="0.25">
      <c r="A142" s="14" t="s">
        <v>488</v>
      </c>
      <c r="B142" s="21" t="s">
        <v>308</v>
      </c>
      <c r="C142" s="21" t="str">
        <f>IF(T142="TRUE",VLOOKUP(A142,'Stock Nodes'!$A$1:$D$63,4,FALSE),IF(U142="TRUE",VLOOKUP(A142,'CTT Nodes'!$A$1:$D$83,4,FALSE),VLOOKUP(A142,'ETT Nodes'!$A$1:$D$87,3,FALSE)))</f>
        <v>Experimental 1.25m Rocketry</v>
      </c>
      <c r="D142" s="21" t="str">
        <f>"Node"&amp;TEXT(X142,"0")&amp;"_"&amp;A142</f>
        <v>Node4_experimentalGeneralRocketry</v>
      </c>
      <c r="E142" s="22" t="str">
        <f>IF(OR(V142="TRUE",B142&lt;&gt;C142),"#LOC_ETT_"&amp;A142&amp;"_description",IF(T142="TRUE",VLOOKUP(A142,'Stock Nodes'!$A$1:$C$63,2,FALSE),IF(U142="TRUE",VLOOKUP(A142,'CTT Nodes'!$A$1:$D$83,2,FALSE))))</f>
        <v>#LOC_ETT_experimentalGeneralRocketry_description</v>
      </c>
      <c r="F142" s="58">
        <v>80</v>
      </c>
      <c r="G142" s="21">
        <f t="array" ref="G142">INDEX(TNodeCols,MATCH(1,MMULT(--(TTechTree=A142),TRANSPOSE(COLUMN(TTechTree)^0)),0))</f>
        <v>-2737.2000000000035</v>
      </c>
      <c r="H142" s="21">
        <f t="array" ref="H142">INDEX(NodeRows,MATCH(1,MMULT(--(TechTree=A142),TRANSPOSE(COLUMN(TechTree)^0)),0))</f>
        <v>1253</v>
      </c>
      <c r="I142" s="63" t="str">
        <f>TEXT(G142,"0") &amp; ", " &amp; TEXT(H142,"0") &amp;", -2"</f>
        <v>-2737, 1253, -2</v>
      </c>
      <c r="J142" s="63">
        <f>IF(T142="TRUE",VLOOKUP(A142,'Stock Nodes'!$A$1:$C$63,3,FALSE),IF(U142="TRUE",VLOOKUP(A142,'CTT Nodes'!$A$1:$G$83,7,FALSE),VLOOKUP(A142,'ETT Nodes'!$A$1:$E$87,5,FALSE)))</f>
        <v>0</v>
      </c>
      <c r="K142" s="21" t="s">
        <v>486</v>
      </c>
      <c r="L142" s="63" t="s">
        <v>2069</v>
      </c>
      <c r="M142" s="63" t="s">
        <v>2068</v>
      </c>
      <c r="N142" s="6"/>
      <c r="O142" s="63"/>
      <c r="P142" s="63"/>
      <c r="Q142" s="6"/>
      <c r="R142" s="63"/>
      <c r="S142" s="63"/>
      <c r="T142" s="25" t="str">
        <f>IF(ISNA(VLOOKUP(A142,'Stock Nodes'!$A$1:$C$63,1,FALSE)),"FALSE","TRUE")</f>
        <v>FALSE</v>
      </c>
      <c r="U142" s="25" t="str">
        <f>IF(ISNA(VLOOKUP(A142,'CTT Nodes'!$A$1:$D$83,1,FALSE)),"FALSE","TRUE")</f>
        <v>FALSE</v>
      </c>
      <c r="V142" s="25" t="str">
        <f>IF(OR(T142="TRUE",U142="TRUE"),"FALSE","TRUE")</f>
        <v>TRUE</v>
      </c>
      <c r="W142" s="63">
        <v>140</v>
      </c>
      <c r="X142" s="59">
        <v>4.33</v>
      </c>
      <c r="Y142" s="20"/>
      <c r="Z142" s="20"/>
      <c r="AA142" s="20"/>
      <c r="AB142" s="20"/>
      <c r="AC142" s="20"/>
      <c r="AD142" s="20"/>
      <c r="AE142" s="20"/>
      <c r="AF142" s="20"/>
      <c r="AG142" s="20"/>
      <c r="AH142" s="20"/>
      <c r="AI142" s="20"/>
      <c r="AJ142" s="20"/>
      <c r="AK142" s="20"/>
      <c r="AL142" s="20"/>
      <c r="AM142" s="20"/>
      <c r="AN142" s="20"/>
      <c r="AO142" s="20"/>
      <c r="AP142" s="20"/>
      <c r="AQ142" s="20"/>
      <c r="AR142" s="20"/>
      <c r="AS142" s="20"/>
      <c r="AT142" s="20"/>
      <c r="AU142" s="20"/>
      <c r="AV142" s="20"/>
      <c r="AW142" s="20"/>
      <c r="AX142" s="20"/>
      <c r="AY142" s="20"/>
      <c r="AZ142" s="20"/>
      <c r="BA142" s="20"/>
      <c r="BB142" s="20"/>
      <c r="BC142" s="20"/>
      <c r="BD142" s="20"/>
      <c r="BE142" s="20"/>
      <c r="BF142" s="20"/>
      <c r="BG142" s="20"/>
      <c r="BH142" s="20"/>
    </row>
    <row r="143" spans="1:60" x14ac:dyDescent="0.25">
      <c r="A143" s="63" t="s">
        <v>491</v>
      </c>
      <c r="B143" s="21" t="s">
        <v>548</v>
      </c>
      <c r="C143" s="21" t="str">
        <f>IF(T143="TRUE",VLOOKUP(A143,'Stock Nodes'!$A$1:$D$63,4,FALSE),IF(U143="TRUE",VLOOKUP(A143,'CTT Nodes'!$A$1:$D$83,4,FALSE),VLOOKUP(A143,'ETT Nodes'!$A$1:$D$87,3,FALSE)))</f>
        <v>Experimental 1.875m rocketry</v>
      </c>
      <c r="D143" s="21" t="str">
        <f>"Node"&amp;TEXT(X143,"0")&amp;"_"&amp;A143</f>
        <v>Node5_experimentalIntermediateRocketry</v>
      </c>
      <c r="E143" s="22" t="str">
        <f>IF(OR(V143="TRUE",B143&lt;&gt;C143),"#LOC_ETT_"&amp;A143&amp;"_description",IF(T143="TRUE",VLOOKUP(A143,'Stock Nodes'!$A$1:$C$63,2,FALSE),IF(U143="TRUE",VLOOKUP(A143,'CTT Nodes'!$A$1:$D$83,2,FALSE))))</f>
        <v>#LOC_ETT_experimentalIntermediateRocketry_description</v>
      </c>
      <c r="F143" s="58">
        <v>125</v>
      </c>
      <c r="G143" s="21">
        <f t="array" ref="G143">INDEX(TNodeCols,MATCH(1,MMULT(--(TTechTree=A143),TRANSPOSE(COLUMN(TTechTree)^0)),0))</f>
        <v>-2815.5000000000036</v>
      </c>
      <c r="H143" s="21">
        <f t="array" ref="H143">INDEX(NodeRows,MATCH(1,MMULT(--(TechTree=A143),TRANSPOSE(COLUMN(TechTree)^0)),0))</f>
        <v>1329</v>
      </c>
      <c r="I143" s="63" t="str">
        <f>TEXT(G143,"0") &amp; ", " &amp; TEXT(H143,"0") &amp;", -2"</f>
        <v>-2816, 1329, -2</v>
      </c>
      <c r="J143" s="63">
        <f>IF(T143="TRUE",VLOOKUP(A143,'Stock Nodes'!$A$1:$C$63,3,FALSE),IF(U143="TRUE",VLOOKUP(A143,'CTT Nodes'!$A$1:$G$83,7,FALSE),VLOOKUP(A143,'ETT Nodes'!$A$1:$E$87,5,FALSE)))</f>
        <v>0</v>
      </c>
      <c r="K143" s="21" t="s">
        <v>490</v>
      </c>
      <c r="L143" s="63" t="s">
        <v>2069</v>
      </c>
      <c r="M143" s="63" t="s">
        <v>2068</v>
      </c>
      <c r="N143" s="6"/>
      <c r="O143" s="63"/>
      <c r="P143" s="63"/>
      <c r="Q143" s="6"/>
      <c r="R143" s="63"/>
      <c r="S143" s="63"/>
      <c r="T143" s="25" t="str">
        <f>IF(ISNA(VLOOKUP(A143,'Stock Nodes'!$A$1:$C$63,1,FALSE)),"FALSE","TRUE")</f>
        <v>FALSE</v>
      </c>
      <c r="U143" s="25" t="str">
        <f>IF(ISNA(VLOOKUP(A143,'CTT Nodes'!$A$1:$D$83,1,FALSE)),"FALSE","TRUE")</f>
        <v>FALSE</v>
      </c>
      <c r="V143" s="25" t="str">
        <f>IF(OR(T143="TRUE",U143="TRUE"),"FALSE","TRUE")</f>
        <v>TRUE</v>
      </c>
      <c r="W143" s="68">
        <v>141</v>
      </c>
      <c r="X143" s="59">
        <v>5</v>
      </c>
      <c r="Y143" s="20"/>
      <c r="Z143" s="20"/>
      <c r="AA143" s="20"/>
      <c r="AB143" s="20"/>
      <c r="AC143" s="20"/>
      <c r="AD143" s="20"/>
      <c r="AE143" s="20"/>
      <c r="AF143" s="20"/>
      <c r="AG143" s="20"/>
      <c r="AH143" s="20"/>
      <c r="AI143" s="20"/>
      <c r="AJ143" s="20"/>
      <c r="AK143" s="20"/>
      <c r="AL143" s="20"/>
      <c r="AM143" s="20"/>
      <c r="AN143" s="20"/>
      <c r="AO143" s="20"/>
      <c r="AP143" s="20"/>
      <c r="AQ143" s="20"/>
      <c r="AR143" s="20"/>
      <c r="AS143" s="20"/>
      <c r="AT143" s="20"/>
      <c r="AU143" s="20"/>
      <c r="AV143" s="20"/>
      <c r="AW143" s="20"/>
      <c r="AX143" s="20"/>
      <c r="AY143" s="20"/>
      <c r="AZ143" s="20"/>
      <c r="BA143" s="20"/>
      <c r="BB143" s="20"/>
      <c r="BC143" s="20"/>
      <c r="BD143" s="20"/>
      <c r="BE143" s="20"/>
      <c r="BF143" s="20"/>
      <c r="BG143" s="20"/>
      <c r="BH143" s="20"/>
    </row>
    <row r="144" spans="1:60" x14ac:dyDescent="0.25">
      <c r="A144" s="14" t="s">
        <v>485</v>
      </c>
      <c r="B144" s="21" t="s">
        <v>333</v>
      </c>
      <c r="C144" s="21" t="str">
        <f>IF(T144="TRUE",VLOOKUP(A144,'Stock Nodes'!$A$1:$D$63,4,FALSE),IF(U144="TRUE",VLOOKUP(A144,'CTT Nodes'!$A$1:$D$83,4,FALSE),VLOOKUP(A144,'ETT Nodes'!$A$1:$D$87,3,FALSE)))</f>
        <v>Experimental 2.5m Rocketry</v>
      </c>
      <c r="D144" s="21" t="str">
        <f>"Node"&amp;TEXT(X144,"0")&amp;"_"&amp;A144</f>
        <v>Node6_experimentalAdvancedRocketry</v>
      </c>
      <c r="E144" s="22" t="str">
        <f>IF(OR(V144="TRUE",B144&lt;&gt;C144),"#LOC_ETT_"&amp;A144&amp;"_description",IF(T144="TRUE",VLOOKUP(A144,'Stock Nodes'!$A$1:$C$63,2,FALSE),IF(U144="TRUE",VLOOKUP(A144,'CTT Nodes'!$A$1:$D$83,2,FALSE))))</f>
        <v>#LOC_ETT_experimentalAdvancedRocketry_description</v>
      </c>
      <c r="F144" s="58">
        <v>175</v>
      </c>
      <c r="G144" s="21">
        <f t="array" ref="G144">INDEX(TNodeCols,MATCH(1,MMULT(--(TTechTree=A144),TRANSPOSE(COLUMN(TTechTree)^0)),0))</f>
        <v>-2893.8000000000038</v>
      </c>
      <c r="H144" s="21">
        <f t="array" ref="H144">INDEX(NodeRows,MATCH(1,MMULT(--(TechTree=A144),TRANSPOSE(COLUMN(TechTree)^0)),0))</f>
        <v>1405</v>
      </c>
      <c r="I144" s="63" t="str">
        <f>TEXT(G144,"0") &amp; ", " &amp; TEXT(H144,"0") &amp;", -2"</f>
        <v>-2894, 1405, -2</v>
      </c>
      <c r="J144" s="63">
        <f>IF(T144="TRUE",VLOOKUP(A144,'Stock Nodes'!$A$1:$C$63,3,FALSE),IF(U144="TRUE",VLOOKUP(A144,'CTT Nodes'!$A$1:$G$83,7,FALSE),VLOOKUP(A144,'ETT Nodes'!$A$1:$E$87,5,FALSE)))</f>
        <v>0</v>
      </c>
      <c r="K144" s="21" t="s">
        <v>484</v>
      </c>
      <c r="L144" s="63" t="s">
        <v>2069</v>
      </c>
      <c r="M144" s="63" t="s">
        <v>2068</v>
      </c>
      <c r="N144" s="6"/>
      <c r="O144" s="63"/>
      <c r="P144" s="63"/>
      <c r="Q144" s="6"/>
      <c r="R144" s="63"/>
      <c r="S144" s="63"/>
      <c r="T144" s="25" t="str">
        <f>IF(ISNA(VLOOKUP(A144,'Stock Nodes'!$A$1:$C$63,1,FALSE)),"FALSE","TRUE")</f>
        <v>FALSE</v>
      </c>
      <c r="U144" s="25" t="str">
        <f>IF(ISNA(VLOOKUP(A144,'CTT Nodes'!$A$1:$D$83,1,FALSE)),"FALSE","TRUE")</f>
        <v>FALSE</v>
      </c>
      <c r="V144" s="25" t="str">
        <f>IF(OR(T144="TRUE",U144="TRUE"),"FALSE","TRUE")</f>
        <v>TRUE</v>
      </c>
      <c r="W144" s="68">
        <v>142</v>
      </c>
      <c r="X144" s="59">
        <v>5.5</v>
      </c>
      <c r="Y144" s="20"/>
      <c r="Z144" s="20"/>
      <c r="AA144" s="20"/>
      <c r="AB144" s="20"/>
      <c r="AC144" s="20"/>
      <c r="AD144" s="20"/>
      <c r="AE144" s="20"/>
      <c r="AF144" s="20"/>
      <c r="AG144" s="20"/>
      <c r="AH144" s="20"/>
      <c r="AI144" s="20"/>
      <c r="AJ144" s="20"/>
      <c r="AK144" s="20"/>
      <c r="AL144" s="20"/>
      <c r="AM144" s="20"/>
      <c r="AN144" s="20"/>
      <c r="AO144" s="20"/>
      <c r="AP144" s="20"/>
      <c r="AQ144" s="20"/>
      <c r="AR144" s="20"/>
      <c r="AS144" s="20"/>
      <c r="AT144" s="20"/>
      <c r="AU144" s="20"/>
      <c r="AV144" s="20"/>
      <c r="AW144" s="20"/>
      <c r="AX144" s="20"/>
      <c r="AY144" s="20"/>
      <c r="AZ144" s="20"/>
      <c r="BA144" s="20"/>
      <c r="BB144" s="20"/>
      <c r="BC144" s="20"/>
      <c r="BD144" s="20"/>
      <c r="BE144" s="20"/>
      <c r="BF144" s="20"/>
      <c r="BG144" s="20"/>
      <c r="BH144" s="20"/>
    </row>
    <row r="145" spans="1:60" x14ac:dyDescent="0.25">
      <c r="A145" s="21" t="s">
        <v>483</v>
      </c>
      <c r="B145" s="21" t="s">
        <v>335</v>
      </c>
      <c r="C145" s="21" t="str">
        <f>IF(T145="TRUE",VLOOKUP(A145,'Stock Nodes'!$A$1:$D$63,4,FALSE),IF(U145="TRUE",VLOOKUP(A145,'CTT Nodes'!$A$1:$D$83,4,FALSE),VLOOKUP(A145,'ETT Nodes'!$A$1:$D$87,3,FALSE)))</f>
        <v>Experimental 3.75m Rocketry</v>
      </c>
      <c r="D145" s="21" t="str">
        <f>"Node"&amp;TEXT(X145,"0")&amp;"_"&amp;A145</f>
        <v>Node11_experimentalHeavyRocketry</v>
      </c>
      <c r="E145" s="22" t="str">
        <f>IF(OR(V145="TRUE",B145&lt;&gt;C145),"#LOC_ETT_"&amp;A145&amp;"_description",IF(T145="TRUE",VLOOKUP(A145,'Stock Nodes'!$A$1:$C$63,2,FALSE),IF(U145="TRUE",VLOOKUP(A145,'CTT Nodes'!$A$1:$D$83,2,FALSE))))</f>
        <v>#LOC_ETT_experimentalHeavyRocketry_description</v>
      </c>
      <c r="F145" s="58">
        <v>1500</v>
      </c>
      <c r="G145" s="21">
        <f t="array" ref="G145">INDEX(TNodeCols,MATCH(1,MMULT(--(TTechTree=A145),TRANSPOSE(COLUMN(TTechTree)^0)),0))</f>
        <v>-2972.100000000004</v>
      </c>
      <c r="H145" s="21">
        <f t="array" ref="H145">INDEX(NodeRows,MATCH(1,MMULT(--(TechTree=A145),TRANSPOSE(COLUMN(TechTree)^0)),0))</f>
        <v>1481</v>
      </c>
      <c r="I145" s="63" t="str">
        <f>TEXT(G145,"0") &amp; ", " &amp; TEXT(H145,"0") &amp;", -2"</f>
        <v>-2972, 1481, -2</v>
      </c>
      <c r="J145" s="63">
        <f>IF(T145="TRUE",VLOOKUP(A145,'Stock Nodes'!$A$1:$C$63,3,FALSE),IF(U145="TRUE",VLOOKUP(A145,'CTT Nodes'!$A$1:$G$83,7,FALSE),VLOOKUP(A145,'ETT Nodes'!$A$1:$E$87,5,FALSE)))</f>
        <v>0</v>
      </c>
      <c r="K145" s="63" t="s">
        <v>482</v>
      </c>
      <c r="L145" s="63" t="s">
        <v>2069</v>
      </c>
      <c r="M145" s="63" t="s">
        <v>2068</v>
      </c>
      <c r="N145" s="63"/>
      <c r="O145" s="63"/>
      <c r="P145" s="63"/>
      <c r="Q145" s="6"/>
      <c r="R145" s="63"/>
      <c r="S145" s="63"/>
      <c r="T145" s="25" t="str">
        <f>IF(ISNA(VLOOKUP(A145,'Stock Nodes'!$A$1:$C$63,1,FALSE)),"FALSE","TRUE")</f>
        <v>FALSE</v>
      </c>
      <c r="U145" s="25" t="str">
        <f>IF(ISNA(VLOOKUP(A145,'CTT Nodes'!$A$1:$D$83,1,FALSE)),"FALSE","TRUE")</f>
        <v>FALSE</v>
      </c>
      <c r="V145" s="25" t="str">
        <f>IF(OR(T145="TRUE",U145="TRUE"),"FALSE","TRUE")</f>
        <v>TRUE</v>
      </c>
      <c r="W145" s="63">
        <v>143</v>
      </c>
      <c r="X145" s="59">
        <v>11</v>
      </c>
      <c r="Y145" s="20"/>
      <c r="Z145" s="20"/>
      <c r="AA145" s="20"/>
      <c r="AB145" s="20"/>
      <c r="AC145" s="20"/>
      <c r="AD145" s="20"/>
      <c r="AE145" s="20"/>
      <c r="AF145" s="20"/>
      <c r="AG145" s="20"/>
      <c r="AH145" s="20"/>
      <c r="AI145" s="20"/>
      <c r="AJ145" s="20"/>
      <c r="AK145" s="20"/>
      <c r="AL145" s="20"/>
      <c r="AM145" s="20"/>
      <c r="AN145" s="20"/>
      <c r="AO145" s="20"/>
      <c r="AP145" s="20"/>
      <c r="AQ145" s="20"/>
      <c r="AR145" s="20"/>
      <c r="AS145" s="20"/>
      <c r="AT145" s="20"/>
      <c r="AU145" s="20"/>
      <c r="AV145" s="20"/>
      <c r="AW145" s="20"/>
      <c r="AX145" s="20"/>
      <c r="AY145" s="20"/>
      <c r="AZ145" s="20"/>
      <c r="BA145" s="20"/>
      <c r="BB145" s="20"/>
      <c r="BC145" s="20"/>
      <c r="BD145" s="20"/>
      <c r="BE145" s="20"/>
      <c r="BF145" s="20"/>
      <c r="BG145" s="20"/>
      <c r="BH145" s="20"/>
    </row>
    <row r="146" spans="1:60" x14ac:dyDescent="0.25">
      <c r="A146" s="14" t="s">
        <v>480</v>
      </c>
      <c r="B146" s="21" t="s">
        <v>337</v>
      </c>
      <c r="C146" s="21" t="str">
        <f>IF(T146="TRUE",VLOOKUP(A146,'Stock Nodes'!$A$1:$D$63,4,FALSE),IF(U146="TRUE",VLOOKUP(A146,'CTT Nodes'!$A$1:$D$83,4,FALSE),VLOOKUP(A146,'ETT Nodes'!$A$1:$D$87,3,FALSE)))</f>
        <v>Experimental 5m Rocketry</v>
      </c>
      <c r="D146" s="21" t="str">
        <f>"Node"&amp;TEXT(X146,"0")&amp;"_"&amp;A146</f>
        <v>Node11_experimentalHeavierRocketry</v>
      </c>
      <c r="E146" s="22" t="str">
        <f>IF(OR(V146="TRUE",B146&lt;&gt;C146),"#LOC_ETT_"&amp;A146&amp;"_description",IF(T146="TRUE",VLOOKUP(A146,'Stock Nodes'!$A$1:$C$63,2,FALSE),IF(U146="TRUE",VLOOKUP(A146,'CTT Nodes'!$A$1:$D$83,2,FALSE))))</f>
        <v>#LOC_ETT_experimentalHeavierRocketry_description</v>
      </c>
      <c r="F146" s="58">
        <v>1500</v>
      </c>
      <c r="G146" s="21">
        <f t="array" ref="G146">INDEX(TNodeCols,MATCH(1,MMULT(--(TTechTree=A146),TRANSPOSE(COLUMN(TTechTree)^0)),0))</f>
        <v>-3050.4000000000042</v>
      </c>
      <c r="H146" s="21">
        <f t="array" ref="H146">INDEX(NodeRows,MATCH(1,MMULT(--(TechTree=A146),TRANSPOSE(COLUMN(TechTree)^0)),0))</f>
        <v>1557</v>
      </c>
      <c r="I146" s="63" t="str">
        <f>TEXT(G146,"0") &amp; ", " &amp; TEXT(H146,"0") &amp;", -2"</f>
        <v>-3050, 1557, -2</v>
      </c>
      <c r="J146" s="63">
        <f>IF(T146="TRUE",VLOOKUP(A146,'Stock Nodes'!$A$1:$C$63,3,FALSE),IF(U146="TRUE",VLOOKUP(A146,'CTT Nodes'!$A$1:$G$83,7,FALSE),VLOOKUP(A146,'ETT Nodes'!$A$1:$E$87,5,FALSE)))</f>
        <v>0</v>
      </c>
      <c r="K146" s="63" t="s">
        <v>481</v>
      </c>
      <c r="L146" s="63" t="s">
        <v>2069</v>
      </c>
      <c r="M146" s="63" t="s">
        <v>2068</v>
      </c>
      <c r="N146" s="63"/>
      <c r="O146" s="63"/>
      <c r="P146" s="63"/>
      <c r="Q146" s="6"/>
      <c r="R146" s="63"/>
      <c r="S146" s="63"/>
      <c r="T146" s="25" t="str">
        <f>IF(ISNA(VLOOKUP(A146,'Stock Nodes'!$A$1:$C$63,1,FALSE)),"FALSE","TRUE")</f>
        <v>FALSE</v>
      </c>
      <c r="U146" s="25" t="str">
        <f>IF(ISNA(VLOOKUP(A146,'CTT Nodes'!$A$1:$D$83,1,FALSE)),"FALSE","TRUE")</f>
        <v>FALSE</v>
      </c>
      <c r="V146" s="25" t="str">
        <f>IF(OR(T146="TRUE",U146="TRUE"),"FALSE","TRUE")</f>
        <v>TRUE</v>
      </c>
      <c r="W146" s="68">
        <v>144</v>
      </c>
      <c r="X146" s="59">
        <v>11</v>
      </c>
      <c r="Y146" s="20"/>
      <c r="Z146" s="20"/>
      <c r="AA146" s="20"/>
      <c r="AB146" s="20"/>
      <c r="AC146" s="20"/>
      <c r="AD146" s="20"/>
      <c r="AE146" s="20"/>
      <c r="AF146" s="20"/>
      <c r="AG146" s="20"/>
      <c r="AH146" s="20"/>
      <c r="AI146" s="20"/>
      <c r="AJ146" s="20"/>
      <c r="AK146" s="20"/>
      <c r="AL146" s="20"/>
      <c r="AM146" s="20"/>
      <c r="AN146" s="20"/>
      <c r="AO146" s="20"/>
      <c r="AP146" s="20"/>
      <c r="AQ146" s="20"/>
      <c r="AR146" s="20"/>
      <c r="AS146" s="20"/>
      <c r="AT146" s="20"/>
      <c r="AU146" s="20"/>
      <c r="AV146" s="20"/>
      <c r="AW146" s="20"/>
      <c r="AX146" s="20"/>
      <c r="AY146" s="20"/>
      <c r="AZ146" s="20"/>
      <c r="BA146" s="20"/>
      <c r="BB146" s="20"/>
      <c r="BC146" s="20"/>
      <c r="BD146" s="20"/>
      <c r="BE146" s="20"/>
      <c r="BF146" s="20"/>
      <c r="BG146" s="20"/>
      <c r="BH146" s="20"/>
    </row>
    <row r="147" spans="1:60" x14ac:dyDescent="0.25">
      <c r="A147" s="63" t="s">
        <v>50</v>
      </c>
      <c r="B147" s="21" t="s">
        <v>257</v>
      </c>
      <c r="C147" s="21" t="str">
        <f>IF(T147="TRUE",VLOOKUP(A147,'Stock Nodes'!$A$1:$D$63,4,FALSE),IF(U147="TRUE",VLOOKUP(A147,'CTT Nodes'!$A$1:$D$83,4,FALSE),VLOOKUP(A147,'ETT Nodes'!$A$1:$D$87,3,FALSE)))</f>
        <v>Start</v>
      </c>
      <c r="D147" s="21" t="str">
        <f>"Node"&amp;TEXT(X147,"0")&amp;"_"&amp;A147</f>
        <v>Node0_start</v>
      </c>
      <c r="E147" s="22" t="str">
        <f>IF(OR(V147="TRUE",B147&lt;&gt;C147),"#LOC_ETT_"&amp;A147&amp;"_description",IF(T147="TRUE",VLOOKUP(A147,'Stock Nodes'!$A$1:$C$63,2,FALSE),IF(U147="TRUE",VLOOKUP(A147,'CTT Nodes'!$A$1:$D$83,2,FALSE))))</f>
        <v>#LOC_ETT_start_description</v>
      </c>
      <c r="F147" s="58">
        <v>0</v>
      </c>
      <c r="G147" s="21">
        <f t="array" ref="G147">INDEX(TNodeCols,MATCH(1,MMULT(--(TTechTree=A147),TRANSPOSE(COLUMN(TTechTree)^0)),0))</f>
        <v>-2110.800000000002</v>
      </c>
      <c r="H147" s="63">
        <f t="array" ref="H147">INDEX(NodeRows,MATCH(1,MMULT(--(TechTree=A147),TRANSPOSE(COLUMN(TechTree)^0)),0))</f>
        <v>1025</v>
      </c>
      <c r="I147" s="63" t="str">
        <f>TEXT(G147,"0") &amp; ", " &amp; TEXT(H147,"0") &amp;", -2"</f>
        <v>-2111, 1025, -2</v>
      </c>
      <c r="J147" s="63" t="str">
        <f>IF(T147="TRUE",VLOOKUP(A147,'Stock Nodes'!$A$1:$C$63,3,FALSE),IF(U147="TRUE",VLOOKUP(A147,'CTT Nodes'!$A$1:$G$83,7,FALSE),VLOOKUP(A147,'ETT Nodes'!$A$1:$E$87,5,FALSE)))</f>
        <v>RDicon_start</v>
      </c>
      <c r="K147" s="6"/>
      <c r="L147" s="63"/>
      <c r="M147" s="63"/>
      <c r="N147" s="21"/>
      <c r="O147" s="63"/>
      <c r="P147" s="63"/>
      <c r="Q147" s="6"/>
      <c r="R147" s="63"/>
      <c r="S147" s="63"/>
      <c r="T147" s="25" t="str">
        <f>IF(ISNA(VLOOKUP(A147,'Stock Nodes'!$A$1:$C$63,1,FALSE)),"FALSE","TRUE")</f>
        <v>TRUE</v>
      </c>
      <c r="U147" s="25" t="str">
        <f>IF(ISNA(VLOOKUP(A147,'CTT Nodes'!$A$1:$D$83,1,FALSE)),"FALSE","TRUE")</f>
        <v>FALSE</v>
      </c>
      <c r="V147" s="25" t="str">
        <f>IF(OR(T147="TRUE",U147="TRUE"),"FALSE","TRUE")</f>
        <v>FALSE</v>
      </c>
      <c r="W147" s="68">
        <v>145</v>
      </c>
      <c r="X147" s="59">
        <v>0</v>
      </c>
      <c r="Y147" s="20"/>
      <c r="Z147" s="20"/>
      <c r="AA147" s="20"/>
      <c r="AB147" s="20"/>
      <c r="AC147" s="20"/>
      <c r="AD147" s="20"/>
      <c r="AE147" s="20"/>
      <c r="AF147" s="20"/>
      <c r="AG147" s="20"/>
      <c r="AH147" s="20"/>
      <c r="AI147" s="20"/>
      <c r="AJ147" s="20"/>
      <c r="AK147" s="20"/>
      <c r="AL147" s="20"/>
      <c r="AM147" s="20"/>
      <c r="AN147" s="20"/>
      <c r="AO147" s="20"/>
      <c r="AP147" s="20"/>
      <c r="AQ147" s="20"/>
      <c r="AR147" s="20"/>
      <c r="AS147" s="20"/>
      <c r="AT147" s="20"/>
      <c r="AU147" s="20"/>
      <c r="AV147" s="20"/>
      <c r="AW147" s="20"/>
      <c r="AX147" s="20"/>
      <c r="AY147" s="20"/>
      <c r="AZ147" s="20"/>
      <c r="BA147" s="20"/>
      <c r="BB147" s="20"/>
      <c r="BC147" s="20"/>
      <c r="BD147" s="20"/>
      <c r="BE147" s="20"/>
      <c r="BF147" s="20"/>
      <c r="BG147" s="20"/>
      <c r="BH147" s="20"/>
    </row>
    <row r="148" spans="1:60" x14ac:dyDescent="0.25">
      <c r="A148" s="14" t="s">
        <v>63</v>
      </c>
      <c r="B148" s="21" t="s">
        <v>254</v>
      </c>
      <c r="C148" s="21" t="str">
        <f>IF(T148="TRUE",VLOOKUP(A148,'Stock Nodes'!$A$1:$D$63,4,FALSE),IF(U148="TRUE",VLOOKUP(A148,'CTT Nodes'!$A$1:$D$83,4,FALSE),VLOOKUP(A148,'ETT Nodes'!$A$1:$D$87,3,FALSE)))</f>
        <v>Basic Rocketry</v>
      </c>
      <c r="D148" s="21" t="str">
        <f>"Node"&amp;TEXT(X148,"0")&amp;"_"&amp;A148</f>
        <v>Node1_basicRocketry</v>
      </c>
      <c r="E148" s="22" t="str">
        <f>IF(OR(V148="TRUE",B148&lt;&gt;C148),"#LOC_ETT_"&amp;A148&amp;"_description",IF(T148="TRUE",VLOOKUP(A148,'Stock Nodes'!$A$1:$C$63,2,FALSE),IF(U148="TRUE",VLOOKUP(A148,'CTT Nodes'!$A$1:$D$83,2,FALSE))))</f>
        <v>#LOC_ETT_basicRocketry_description</v>
      </c>
      <c r="F148" s="58">
        <v>1</v>
      </c>
      <c r="G148" s="21">
        <f t="array" ref="G148">INDEX(TNodeCols,MATCH(1,MMULT(--(TTechTree=A148),TRANSPOSE(COLUMN(TTechTree)^0)),0))</f>
        <v>-2424.0000000000027</v>
      </c>
      <c r="H148" s="21">
        <f t="array" ref="H148">INDEX(NodeRows,MATCH(1,MMULT(--(TechTree=A148),TRANSPOSE(COLUMN(TechTree)^0)),0))</f>
        <v>1025</v>
      </c>
      <c r="I148" s="63" t="str">
        <f>TEXT(G148,"0") &amp; ", " &amp; TEXT(H148,"0") &amp;", -2"</f>
        <v>-2424, 1025, -2</v>
      </c>
      <c r="J148" s="63" t="str">
        <f>IF(T148="TRUE",VLOOKUP(A148,'Stock Nodes'!$A$1:$C$63,3,FALSE),IF(U148="TRUE",VLOOKUP(A148,'CTT Nodes'!$A$1:$G$83,7,FALSE),VLOOKUP(A148,'ETT Nodes'!$A$1:$E$87,5,FALSE)))</f>
        <v>RDicon_rocketry-basic</v>
      </c>
      <c r="K148" s="21" t="s">
        <v>50</v>
      </c>
      <c r="L148" s="63" t="s">
        <v>2069</v>
      </c>
      <c r="M148" s="63" t="s">
        <v>2068</v>
      </c>
      <c r="N148" s="6"/>
      <c r="O148" s="63"/>
      <c r="P148" s="63"/>
      <c r="Q148" s="6"/>
      <c r="R148" s="63"/>
      <c r="S148" s="63"/>
      <c r="T148" s="25" t="str">
        <f>IF(ISNA(VLOOKUP(A148,'Stock Nodes'!$A$1:$C$63,1,FALSE)),"FALSE","TRUE")</f>
        <v>TRUE</v>
      </c>
      <c r="U148" s="25" t="str">
        <f>IF(ISNA(VLOOKUP(A148,'CTT Nodes'!$A$1:$D$83,1,FALSE)),"FALSE","TRUE")</f>
        <v>FALSE</v>
      </c>
      <c r="V148" s="25" t="str">
        <f>IF(OR(T148="TRUE",U148="TRUE"),"FALSE","TRUE")</f>
        <v>FALSE</v>
      </c>
      <c r="W148" s="63">
        <v>146</v>
      </c>
      <c r="X148" s="59">
        <v>1</v>
      </c>
      <c r="Y148" s="20"/>
      <c r="Z148" s="20"/>
      <c r="AA148" s="20"/>
      <c r="AB148" s="20"/>
      <c r="AC148" s="20"/>
      <c r="AD148" s="20"/>
      <c r="AE148" s="20"/>
      <c r="AF148" s="20"/>
      <c r="AG148" s="20"/>
      <c r="AH148" s="20"/>
      <c r="AI148" s="20"/>
      <c r="AJ148" s="20"/>
      <c r="AK148" s="20"/>
      <c r="AL148" s="20"/>
      <c r="AM148" s="20"/>
      <c r="AN148" s="20"/>
      <c r="AO148" s="20"/>
      <c r="AP148" s="20"/>
      <c r="AQ148" s="20"/>
      <c r="AR148" s="20"/>
      <c r="AS148" s="20"/>
      <c r="AT148" s="20"/>
      <c r="AU148" s="20"/>
      <c r="AV148" s="20"/>
      <c r="AW148" s="20"/>
      <c r="AX148" s="20"/>
      <c r="AY148" s="20"/>
      <c r="AZ148" s="20"/>
      <c r="BA148" s="20"/>
      <c r="BB148" s="20"/>
      <c r="BC148" s="20"/>
      <c r="BD148" s="20"/>
      <c r="BE148" s="20"/>
      <c r="BF148" s="20"/>
      <c r="BG148" s="20"/>
      <c r="BH148" s="20"/>
    </row>
    <row r="149" spans="1:60" x14ac:dyDescent="0.25">
      <c r="A149" s="14" t="s">
        <v>60</v>
      </c>
      <c r="B149" s="21" t="s">
        <v>61</v>
      </c>
      <c r="C149" s="21" t="str">
        <f>IF(T149="TRUE",VLOOKUP(A149,'Stock Nodes'!$A$1:$D$63,4,FALSE),IF(U149="TRUE",VLOOKUP(A149,'CTT Nodes'!$A$1:$D$83,4,FALSE),VLOOKUP(A149,'ETT Nodes'!$A$1:$D$87,3,FALSE)))</f>
        <v>Propulsion Systems</v>
      </c>
      <c r="D149" s="21" t="str">
        <f>"Node"&amp;TEXT(X149,"0")&amp;"_"&amp;A149</f>
        <v>Node3_propulsionSystems</v>
      </c>
      <c r="E149" s="22" t="str">
        <f>IF(OR(V149="TRUE",B149&lt;&gt;C149),"#LOC_ETT_"&amp;A149&amp;"_description",IF(T149="TRUE",VLOOKUP(A149,'Stock Nodes'!$A$1:$C$63,2,FALSE),IF(U149="TRUE",VLOOKUP(A149,'CTT Nodes'!$A$1:$D$83,2,FALSE))))</f>
        <v>#LOC_ETT_propulsionSystems_description</v>
      </c>
      <c r="F149" s="58">
        <v>15</v>
      </c>
      <c r="G149" s="21">
        <f t="array" ref="G149">INDEX(TNodeCols,MATCH(1,MMULT(--(TTechTree=A149),TRANSPOSE(COLUMN(TTechTree)^0)),0))</f>
        <v>-2502.3000000000029</v>
      </c>
      <c r="H149" s="21">
        <f t="array" ref="H149">INDEX(NodeRows,MATCH(1,MMULT(--(TechTree=A149),TRANSPOSE(COLUMN(TechTree)^0)),0))</f>
        <v>873</v>
      </c>
      <c r="I149" s="63" t="str">
        <f>TEXT(G149,"0") &amp; ", " &amp; TEXT(H149,"0") &amp;", -2"</f>
        <v>-2502, 873, -2</v>
      </c>
      <c r="J149" s="63" t="str">
        <f>IF(T149="TRUE",VLOOKUP(A149,'Stock Nodes'!$A$1:$C$63,3,FALSE),IF(U149="TRUE",VLOOKUP(A149,'CTT Nodes'!$A$1:$G$83,7,FALSE),VLOOKUP(A149,'ETT Nodes'!$A$1:$E$87,5,FALSE)))</f>
        <v>RDicon_propulsionSystems</v>
      </c>
      <c r="K149" s="21" t="s">
        <v>64</v>
      </c>
      <c r="L149" s="63" t="s">
        <v>2070</v>
      </c>
      <c r="M149" s="63" t="s">
        <v>2067</v>
      </c>
      <c r="N149" s="6"/>
      <c r="O149" s="63"/>
      <c r="P149" s="63"/>
      <c r="Q149" s="6"/>
      <c r="R149" s="63"/>
      <c r="S149" s="63"/>
      <c r="T149" s="25" t="str">
        <f>IF(ISNA(VLOOKUP(A149,'Stock Nodes'!$A$1:$C$63,1,FALSE)),"FALSE","TRUE")</f>
        <v>TRUE</v>
      </c>
      <c r="U149" s="25" t="str">
        <f>IF(ISNA(VLOOKUP(A149,'CTT Nodes'!$A$1:$D$83,1,FALSE)),"FALSE","TRUE")</f>
        <v>FALSE</v>
      </c>
      <c r="V149" s="25" t="str">
        <f>IF(OR(T149="TRUE",U149="TRUE"),"FALSE","TRUE")</f>
        <v>FALSE</v>
      </c>
      <c r="W149" s="68">
        <v>147</v>
      </c>
      <c r="X149" s="59">
        <v>2.5</v>
      </c>
      <c r="Y149" s="20"/>
      <c r="Z149" s="20"/>
      <c r="AA149" s="20"/>
      <c r="AB149" s="20"/>
      <c r="AC149" s="20"/>
      <c r="AD149" s="20"/>
      <c r="AE149" s="20"/>
      <c r="AF149" s="20"/>
      <c r="AG149" s="20"/>
      <c r="AH149" s="20"/>
      <c r="AI149" s="20"/>
      <c r="AJ149" s="20"/>
      <c r="AK149" s="20"/>
      <c r="AL149" s="20"/>
      <c r="AM149" s="20"/>
      <c r="AN149" s="20"/>
      <c r="AO149" s="20"/>
      <c r="AP149" s="20"/>
      <c r="AQ149" s="20"/>
      <c r="AR149" s="20"/>
      <c r="AS149" s="20"/>
      <c r="AT149" s="20"/>
      <c r="AU149" s="20"/>
      <c r="AV149" s="20"/>
      <c r="AW149" s="20"/>
      <c r="AX149" s="20"/>
      <c r="AY149" s="20"/>
      <c r="AZ149" s="20"/>
      <c r="BA149" s="20"/>
      <c r="BB149" s="20"/>
      <c r="BC149" s="20"/>
      <c r="BD149" s="20"/>
      <c r="BE149" s="20"/>
      <c r="BF149" s="20"/>
      <c r="BG149" s="20"/>
      <c r="BH149" s="20"/>
    </row>
    <row r="150" spans="1:60" s="20" customFormat="1" x14ac:dyDescent="0.25">
      <c r="A150" s="21" t="s">
        <v>62</v>
      </c>
      <c r="B150" s="21" t="s">
        <v>412</v>
      </c>
      <c r="C150" s="21" t="str">
        <f>IF(T150="TRUE",VLOOKUP(A150,'Stock Nodes'!$A$1:$D$63,4,FALSE),IF(U150="TRUE",VLOOKUP(A150,'CTT Nodes'!$A$1:$D$83,4,FALSE),VLOOKUP(A150,'ETT Nodes'!$A$1:$D$87,3,FALSE)))</f>
        <v>Precision Propulsion</v>
      </c>
      <c r="D150" s="21" t="str">
        <f>"Node"&amp;TEXT(X150,"0")&amp;"_"&amp;A150</f>
        <v>Node5_precisionPropulsion</v>
      </c>
      <c r="E150" s="22" t="str">
        <f>IF(OR(V150="TRUE",B150&lt;&gt;C150),"#LOC_ETT_"&amp;A150&amp;"_description",IF(T150="TRUE",VLOOKUP(A150,'Stock Nodes'!$A$1:$C$63,2,FALSE),IF(U150="TRUE",VLOOKUP(A150,'CTT Nodes'!$A$1:$D$83,2,FALSE))))</f>
        <v>#autoLOC_501085 //#autoLOC_501085 = Any level of precision achieved in controlling the sustained explosion inside a rocket engine is nothing short of remarkable. It might be quite expensive, too.</v>
      </c>
      <c r="F150" s="58">
        <v>95</v>
      </c>
      <c r="G150" s="63">
        <f t="array" ref="G150">INDEX(TNodeCols,MATCH(1,MMULT(--(TTechTree=A150),TRANSPOSE(COLUMN(TTechTree)^0)),0))</f>
        <v>-2580.6000000000031</v>
      </c>
      <c r="H150" s="21">
        <f t="array" ref="H150">INDEX(NodeRows,MATCH(1,MMULT(--(TechTree=A150),TRANSPOSE(COLUMN(TechTree)^0)),0))</f>
        <v>873</v>
      </c>
      <c r="I150" s="63" t="str">
        <f>TEXT(G150,"0") &amp; ", " &amp; TEXT(H150,"0") &amp;", -2"</f>
        <v>-2581, 873, -2</v>
      </c>
      <c r="J150" s="63" t="str">
        <f>IF(T150="TRUE",VLOOKUP(A150,'Stock Nodes'!$A$1:$C$63,3,FALSE),IF(U150="TRUE",VLOOKUP(A150,'CTT Nodes'!$A$1:$G$83,7,FALSE),VLOOKUP(A150,'ETT Nodes'!$A$1:$E$87,5,FALSE)))</f>
        <v>RDicon_propulsion-precision</v>
      </c>
      <c r="K150" s="63" t="s">
        <v>60</v>
      </c>
      <c r="L150" s="63" t="s">
        <v>2069</v>
      </c>
      <c r="M150" s="63" t="s">
        <v>2068</v>
      </c>
      <c r="N150" s="21" t="s">
        <v>88</v>
      </c>
      <c r="O150" s="63" t="s">
        <v>2069</v>
      </c>
      <c r="P150" s="63" t="s">
        <v>2070</v>
      </c>
      <c r="Q150" s="21"/>
      <c r="R150" s="63"/>
      <c r="S150" s="63"/>
      <c r="T150" s="25" t="str">
        <f>IF(ISNA(VLOOKUP(A150,'Stock Nodes'!$A$1:$C$63,1,FALSE)),"FALSE","TRUE")</f>
        <v>TRUE</v>
      </c>
      <c r="U150" s="25" t="str">
        <f>IF(ISNA(VLOOKUP(A150,'CTT Nodes'!$A$1:$D$83,1,FALSE)),"FALSE","TRUE")</f>
        <v>FALSE</v>
      </c>
      <c r="V150" s="25" t="str">
        <f>IF(OR(T150="TRUE",U150="TRUE"),"FALSE","TRUE")</f>
        <v>FALSE</v>
      </c>
      <c r="W150" s="68">
        <v>148</v>
      </c>
      <c r="X150" s="59">
        <v>4.67</v>
      </c>
    </row>
    <row r="151" spans="1:60" x14ac:dyDescent="0.25">
      <c r="A151" s="63" t="s">
        <v>556</v>
      </c>
      <c r="B151" s="63" t="s">
        <v>239</v>
      </c>
      <c r="C151" s="21" t="str">
        <f>IF(T151="TRUE",VLOOKUP(A151,'Stock Nodes'!$A$1:$D$63,4,FALSE),IF(U151="TRUE",VLOOKUP(A151,'CTT Nodes'!$A$1:$D$83,4,FALSE),VLOOKUP(A151,'ETT Nodes'!$A$1:$D$87,3,FALSE)))</f>
        <v>Hybrid LOX Rockets</v>
      </c>
      <c r="D151" s="21" t="str">
        <f>"Node"&amp;TEXT(X151,"0")&amp;"_"&amp;A151</f>
        <v>Node10_hybridRockets</v>
      </c>
      <c r="E151" s="22" t="str">
        <f>IF(OR(V151="TRUE",B151&lt;&gt;C151),"#LOC_ETT_"&amp;A151&amp;"_description",IF(T151="TRUE",VLOOKUP(A151,'Stock Nodes'!$A$1:$C$63,2,FALSE),IF(U151="TRUE",VLOOKUP(A151,'CTT Nodes'!$A$1:$D$83,2,FALSE))))</f>
        <v>#LOC_ETT_hybridRockets_description</v>
      </c>
      <c r="F151" s="58">
        <v>1000</v>
      </c>
      <c r="G151" s="63">
        <f t="array" ref="G151">INDEX(TNodeCols,MATCH(1,MMULT(--(TTechTree=A151),TRANSPOSE(COLUMN(TTechTree)^0)),0))</f>
        <v>-2658.9000000000033</v>
      </c>
      <c r="H151" s="21">
        <f t="array" ref="H151">INDEX(NodeRows,MATCH(1,MMULT(--(TechTree=A151),TRANSPOSE(COLUMN(TechTree)^0)),0))</f>
        <v>873</v>
      </c>
      <c r="I151" s="63" t="str">
        <f>TEXT(G151,"0") &amp; ", " &amp; TEXT(H151,"0") &amp;", -2"</f>
        <v>-2659, 873, -2</v>
      </c>
      <c r="J151" s="63">
        <f>IF(T151="TRUE",VLOOKUP(A151,'Stock Nodes'!$A$1:$C$63,3,FALSE),IF(U151="TRUE",VLOOKUP(A151,'CTT Nodes'!$A$1:$G$83,7,FALSE),VLOOKUP(A151,'ETT Nodes'!$A$1:$E$87,5,FALSE)))</f>
        <v>0</v>
      </c>
      <c r="K151" s="63" t="s">
        <v>62</v>
      </c>
      <c r="L151" s="63" t="s">
        <v>2069</v>
      </c>
      <c r="M151" s="63" t="s">
        <v>2068</v>
      </c>
      <c r="N151" s="63"/>
      <c r="O151" s="63"/>
      <c r="P151" s="63"/>
      <c r="Q151" s="63"/>
      <c r="R151" s="63"/>
      <c r="S151" s="63"/>
      <c r="T151" s="25" t="str">
        <f>IF(ISNA(VLOOKUP(A151,'Stock Nodes'!$A$1:$C$63,1,FALSE)),"FALSE","TRUE")</f>
        <v>FALSE</v>
      </c>
      <c r="U151" s="25" t="str">
        <f>IF(ISNA(VLOOKUP(A151,'CTT Nodes'!$A$1:$D$83,1,FALSE)),"FALSE","TRUE")</f>
        <v>FALSE</v>
      </c>
      <c r="V151" s="25" t="str">
        <f>IF(OR(T151="TRUE",U151="TRUE"),"FALSE","TRUE")</f>
        <v>TRUE</v>
      </c>
      <c r="W151" s="63">
        <v>149</v>
      </c>
      <c r="X151" s="59">
        <v>10</v>
      </c>
      <c r="Y151" s="20"/>
      <c r="Z151" s="20"/>
      <c r="AA151" s="20"/>
      <c r="AB151" s="20"/>
      <c r="AC151" s="20"/>
      <c r="AD151" s="20"/>
      <c r="AE151" s="20"/>
      <c r="AF151" s="20"/>
      <c r="AG151" s="20"/>
      <c r="AH151" s="20"/>
      <c r="AI151" s="20"/>
      <c r="AJ151" s="20"/>
      <c r="AK151" s="20"/>
      <c r="AL151" s="20"/>
      <c r="AM151" s="20"/>
      <c r="AN151" s="20"/>
      <c r="AO151" s="20"/>
      <c r="AP151" s="20"/>
      <c r="AQ151" s="20"/>
      <c r="AR151" s="20"/>
      <c r="AS151" s="20"/>
      <c r="AT151" s="20"/>
      <c r="AU151" s="20"/>
      <c r="AV151" s="20"/>
      <c r="AW151" s="20"/>
      <c r="AX151" s="20"/>
      <c r="AY151" s="20"/>
      <c r="AZ151" s="20"/>
      <c r="BA151" s="20"/>
      <c r="BB151" s="20"/>
      <c r="BC151" s="20"/>
      <c r="BD151" s="20"/>
      <c r="BE151" s="20"/>
      <c r="BF151" s="20"/>
      <c r="BG151" s="20"/>
      <c r="BH151" s="20"/>
    </row>
    <row r="152" spans="1:60" x14ac:dyDescent="0.25">
      <c r="A152" s="14" t="s">
        <v>20</v>
      </c>
      <c r="B152" s="21" t="s">
        <v>21</v>
      </c>
      <c r="C152" s="21" t="str">
        <f>IF(T152="TRUE",VLOOKUP(A152,'Stock Nodes'!$A$1:$D$63,4,FALSE),IF(U152="TRUE",VLOOKUP(A152,'CTT Nodes'!$A$1:$D$83,4,FALSE),VLOOKUP(A152,'ETT Nodes'!$A$1:$D$87,3,FALSE)))</f>
        <v>Experimental Rocketry</v>
      </c>
      <c r="D152" s="21" t="str">
        <f>"Node"&amp;TEXT(X152,"0")&amp;"_"&amp;A152</f>
        <v>Node14_experimentalRocketry</v>
      </c>
      <c r="E152" s="22" t="str">
        <f>IF(OR(V152="TRUE",B152&lt;&gt;C152),"#LOC_ETT_"&amp;A152&amp;"_description",IF(T152="TRUE",VLOOKUP(A152,'Stock Nodes'!$A$1:$C$63,2,FALSE),IF(U152="TRUE",VLOOKUP(A152,'CTT Nodes'!$A$1:$D$83,2,FALSE))))</f>
        <v>#LOC_CTT_experimentalRocketry_description</v>
      </c>
      <c r="F152" s="58">
        <v>2750</v>
      </c>
      <c r="G152" s="63">
        <f t="array" ref="G152">INDEX(TNodeCols,MATCH(1,MMULT(--(TTechTree=A152),TRANSPOSE(COLUMN(TTechTree)^0)),0))</f>
        <v>-2737.2000000000035</v>
      </c>
      <c r="H152" s="21">
        <f t="array" ref="H152">INDEX(NodeRows,MATCH(1,MMULT(--(TechTree=A152),TRANSPOSE(COLUMN(TechTree)^0)),0))</f>
        <v>873</v>
      </c>
      <c r="I152" s="63" t="str">
        <f>TEXT(G152,"0") &amp; ", " &amp; TEXT(H152,"0") &amp;", -2"</f>
        <v>-2737, 873, -2</v>
      </c>
      <c r="J152" s="63" t="str">
        <f>IF(T152="TRUE",VLOOKUP(A152,'Stock Nodes'!$A$1:$C$63,3,FALSE),IF(U152="TRUE",VLOOKUP(A152,'CTT Nodes'!$A$1:$G$83,7,FALSE),VLOOKUP(A152,'ETT Nodes'!$A$1:$E$87,5,FALSE)))</f>
        <v>ETTR/UI/CTT/RDicon_rocketry-experimental</v>
      </c>
      <c r="K152" s="63" t="s">
        <v>556</v>
      </c>
      <c r="L152" s="63" t="s">
        <v>2069</v>
      </c>
      <c r="M152" s="63" t="s">
        <v>2068</v>
      </c>
      <c r="N152" s="63"/>
      <c r="O152" s="63"/>
      <c r="P152" s="63"/>
      <c r="Q152" s="6"/>
      <c r="R152" s="63"/>
      <c r="S152" s="63"/>
      <c r="T152" s="25" t="str">
        <f>IF(ISNA(VLOOKUP(A152,'Stock Nodes'!$A$1:$C$63,1,FALSE)),"FALSE","TRUE")</f>
        <v>FALSE</v>
      </c>
      <c r="U152" s="25" t="str">
        <f>IF(ISNA(VLOOKUP(A152,'CTT Nodes'!$A$1:$D$83,1,FALSE)),"FALSE","TRUE")</f>
        <v>TRUE</v>
      </c>
      <c r="V152" s="25" t="str">
        <f>IF(OR(T152="TRUE",U152="TRUE"),"FALSE","TRUE")</f>
        <v>FALSE</v>
      </c>
      <c r="W152" s="68">
        <v>150</v>
      </c>
      <c r="X152" s="59">
        <v>14</v>
      </c>
      <c r="Y152" s="20"/>
      <c r="Z152" s="20"/>
      <c r="AA152" s="20"/>
      <c r="AB152" s="20"/>
      <c r="AC152" s="20"/>
      <c r="AD152" s="20"/>
      <c r="AE152" s="20"/>
      <c r="AF152" s="20"/>
      <c r="AG152" s="20"/>
      <c r="AH152" s="20"/>
      <c r="AI152" s="20"/>
      <c r="AJ152" s="20"/>
      <c r="AK152" s="20"/>
      <c r="AL152" s="20"/>
      <c r="AM152" s="20"/>
      <c r="AN152" s="20"/>
      <c r="AO152" s="20"/>
      <c r="AP152" s="20"/>
      <c r="AQ152" s="20"/>
      <c r="AR152" s="20"/>
      <c r="AS152" s="20"/>
      <c r="AT152" s="20"/>
      <c r="AU152" s="20"/>
      <c r="AV152" s="20"/>
      <c r="AW152" s="20"/>
      <c r="AX152" s="20"/>
      <c r="AY152" s="20"/>
      <c r="AZ152" s="20"/>
      <c r="BA152" s="20"/>
      <c r="BB152" s="20"/>
      <c r="BC152" s="20"/>
      <c r="BD152" s="20"/>
      <c r="BE152" s="20"/>
      <c r="BF152" s="20"/>
      <c r="BG152" s="20"/>
      <c r="BH152" s="20"/>
    </row>
    <row r="153" spans="1:60" x14ac:dyDescent="0.25">
      <c r="A153" s="63" t="s">
        <v>51</v>
      </c>
      <c r="B153" s="63" t="s">
        <v>230</v>
      </c>
      <c r="C153" s="21" t="str">
        <f>IF(T153="TRUE",VLOOKUP(A153,'Stock Nodes'!$A$1:$D$63,4,FALSE),IF(U153="TRUE",VLOOKUP(A153,'CTT Nodes'!$A$1:$D$83,4,FALSE),VLOOKUP(A153,'ETT Nodes'!$A$1:$D$87,3,FALSE)))</f>
        <v>Ullage Motors</v>
      </c>
      <c r="D153" s="21" t="str">
        <f>"Node"&amp;TEXT(X153,"0")&amp;"_"&amp;A153</f>
        <v>Node2_ullageMotors</v>
      </c>
      <c r="E153" s="22" t="str">
        <f>IF(OR(V153="TRUE",B153&lt;&gt;C153),"#LOC_ETT_"&amp;A153&amp;"_description",IF(T153="TRUE",VLOOKUP(A153,'Stock Nodes'!$A$1:$C$63,2,FALSE),IF(U153="TRUE",VLOOKUP(A153,'CTT Nodes'!$A$1:$D$83,2,FALSE))))</f>
        <v>#LOC_ETT_ullageMotors_description</v>
      </c>
      <c r="F153" s="58">
        <v>8</v>
      </c>
      <c r="G153" s="21">
        <f t="array" ref="G153">INDEX(TNodeCols,MATCH(1,MMULT(--(TTechTree=A153),TRANSPOSE(COLUMN(TTechTree)^0)),0))</f>
        <v>-2502.3000000000029</v>
      </c>
      <c r="H153" s="21">
        <f t="array" ref="H153">INDEX(NodeRows,MATCH(1,MMULT(--(TechTree=A153),TRANSPOSE(COLUMN(TechTree)^0)),0))</f>
        <v>1101</v>
      </c>
      <c r="I153" s="63" t="str">
        <f>TEXT(G153,"0") &amp; ", " &amp; TEXT(H153,"0") &amp;", -2"</f>
        <v>-2502, 1101, -2</v>
      </c>
      <c r="J153" s="63">
        <f>IF(T153="TRUE",VLOOKUP(A153,'Stock Nodes'!$A$1:$C$63,3,FALSE),IF(U153="TRUE",VLOOKUP(A153,'CTT Nodes'!$A$1:$G$83,7,FALSE),VLOOKUP(A153,'ETT Nodes'!$A$1:$E$87,5,FALSE)))</f>
        <v>0</v>
      </c>
      <c r="K153" s="63" t="s">
        <v>63</v>
      </c>
      <c r="L153" s="63" t="s">
        <v>2067</v>
      </c>
      <c r="M153" s="63" t="s">
        <v>2068</v>
      </c>
      <c r="N153" s="63"/>
      <c r="O153" s="63"/>
      <c r="P153" s="63"/>
      <c r="Q153" s="63"/>
      <c r="R153" s="63"/>
      <c r="S153" s="63"/>
      <c r="T153" s="25" t="str">
        <f>IF(ISNA(VLOOKUP(A153,'Stock Nodes'!$A$1:$C$63,1,FALSE)),"FALSE","TRUE")</f>
        <v>FALSE</v>
      </c>
      <c r="U153" s="25" t="str">
        <f>IF(ISNA(VLOOKUP(A153,'CTT Nodes'!$A$1:$D$83,1,FALSE)),"FALSE","TRUE")</f>
        <v>FALSE</v>
      </c>
      <c r="V153" s="25" t="str">
        <f>IF(OR(T153="TRUE",U153="TRUE"),"FALSE","TRUE")</f>
        <v>TRUE</v>
      </c>
      <c r="W153" s="68">
        <v>151</v>
      </c>
      <c r="X153" s="59">
        <v>2</v>
      </c>
      <c r="Y153" s="20"/>
      <c r="Z153" s="20"/>
      <c r="AA153" s="20"/>
      <c r="AB153" s="20"/>
      <c r="AC153" s="20"/>
      <c r="AD153" s="20"/>
      <c r="AE153" s="20"/>
      <c r="AF153" s="20"/>
      <c r="AG153" s="20"/>
      <c r="AH153" s="20"/>
      <c r="AI153" s="20"/>
      <c r="AJ153" s="20"/>
      <c r="AK153" s="20"/>
      <c r="AL153" s="20"/>
      <c r="AM153" s="20"/>
      <c r="AN153" s="20"/>
      <c r="AO153" s="20"/>
      <c r="AP153" s="20"/>
      <c r="AQ153" s="20"/>
      <c r="AR153" s="20"/>
      <c r="AS153" s="20"/>
      <c r="AT153" s="20"/>
      <c r="AU153" s="20"/>
      <c r="AV153" s="20"/>
      <c r="AW153" s="20"/>
      <c r="AX153" s="20"/>
      <c r="AY153" s="20"/>
      <c r="AZ153" s="20"/>
      <c r="BA153" s="20"/>
      <c r="BB153" s="20"/>
      <c r="BC153" s="20"/>
      <c r="BD153" s="20"/>
      <c r="BE153" s="20"/>
      <c r="BF153" s="20"/>
      <c r="BG153" s="20"/>
      <c r="BH153" s="20"/>
    </row>
    <row r="154" spans="1:60" x14ac:dyDescent="0.25">
      <c r="A154" s="63" t="s">
        <v>214</v>
      </c>
      <c r="B154" s="21" t="s">
        <v>52</v>
      </c>
      <c r="C154" s="21" t="str">
        <f>IF(T154="TRUE",VLOOKUP(A154,'Stock Nodes'!$A$1:$D$63,4,FALSE),IF(U154="TRUE",VLOOKUP(A154,'CTT Nodes'!$A$1:$D$83,4,FALSE),VLOOKUP(A154,'ETT Nodes'!$A$1:$D$87,3,FALSE)))</f>
        <v>Advanced Ullage Motors</v>
      </c>
      <c r="D154" s="21" t="str">
        <f>"Node"&amp;TEXT(X154,"0")&amp;"_"&amp;A154</f>
        <v>Node4_advUllageMotors</v>
      </c>
      <c r="E154" s="22" t="str">
        <f>IF(OR(V154="TRUE",B154&lt;&gt;C154),"#LOC_ETT_"&amp;A154&amp;"_description",IF(T154="TRUE",VLOOKUP(A154,'Stock Nodes'!$A$1:$C$63,2,FALSE),IF(U154="TRUE",VLOOKUP(A154,'CTT Nodes'!$A$1:$D$83,2,FALSE))))</f>
        <v>#LOC_ETT_advUllageMotors_description</v>
      </c>
      <c r="F154" s="58">
        <v>50</v>
      </c>
      <c r="G154" s="21">
        <f t="array" ref="G154">INDEX(TNodeCols,MATCH(1,MMULT(--(TTechTree=A154),TRANSPOSE(COLUMN(TTechTree)^0)),0))</f>
        <v>-2580.6000000000031</v>
      </c>
      <c r="H154" s="21">
        <f t="array" ref="H154">INDEX(NodeRows,MATCH(1,MMULT(--(TechTree=A154),TRANSPOSE(COLUMN(TechTree)^0)),0))</f>
        <v>1101</v>
      </c>
      <c r="I154" s="63" t="str">
        <f>TEXT(G154,"0") &amp; ", " &amp; TEXT(H154,"0") &amp;", -2"</f>
        <v>-2581, 1101, -2</v>
      </c>
      <c r="J154" s="63">
        <f>IF(T154="TRUE",VLOOKUP(A154,'Stock Nodes'!$A$1:$C$63,3,FALSE),IF(U154="TRUE",VLOOKUP(A154,'CTT Nodes'!$A$1:$G$83,7,FALSE),VLOOKUP(A154,'ETT Nodes'!$A$1:$E$87,5,FALSE)))</f>
        <v>0</v>
      </c>
      <c r="K154" s="63" t="s">
        <v>51</v>
      </c>
      <c r="L154" s="63" t="s">
        <v>2069</v>
      </c>
      <c r="M154" s="63" t="s">
        <v>2068</v>
      </c>
      <c r="N154" s="6"/>
      <c r="O154" s="63"/>
      <c r="P154" s="63"/>
      <c r="Q154" s="6"/>
      <c r="R154" s="63"/>
      <c r="S154" s="63"/>
      <c r="T154" s="25" t="str">
        <f>IF(ISNA(VLOOKUP(A154,'Stock Nodes'!$A$1:$C$63,1,FALSE)),"FALSE","TRUE")</f>
        <v>FALSE</v>
      </c>
      <c r="U154" s="25" t="str">
        <f>IF(ISNA(VLOOKUP(A154,'CTT Nodes'!$A$1:$D$83,1,FALSE)),"FALSE","TRUE")</f>
        <v>FALSE</v>
      </c>
      <c r="V154" s="25" t="str">
        <f>IF(OR(T154="TRUE",U154="TRUE"),"FALSE","TRUE")</f>
        <v>TRUE</v>
      </c>
      <c r="W154" s="63">
        <v>152</v>
      </c>
      <c r="X154" s="59">
        <v>3.67</v>
      </c>
      <c r="Y154" s="20"/>
      <c r="Z154" s="20"/>
      <c r="AA154" s="20"/>
      <c r="AB154" s="20"/>
      <c r="AC154" s="20"/>
      <c r="AD154" s="20"/>
      <c r="AE154" s="20"/>
      <c r="AF154" s="20"/>
      <c r="AG154" s="20"/>
      <c r="AH154" s="20"/>
      <c r="AI154" s="20"/>
      <c r="AJ154" s="20"/>
      <c r="AK154" s="20"/>
      <c r="AL154" s="20"/>
      <c r="AM154" s="20"/>
      <c r="AN154" s="20"/>
      <c r="AO154" s="20"/>
      <c r="AP154" s="20"/>
      <c r="AQ154" s="20"/>
      <c r="AR154" s="20"/>
      <c r="AS154" s="20"/>
      <c r="AT154" s="20"/>
      <c r="AU154" s="20"/>
      <c r="AV154" s="20"/>
      <c r="AW154" s="20"/>
      <c r="AX154" s="20"/>
      <c r="AY154" s="20"/>
      <c r="AZ154" s="20"/>
      <c r="BA154" s="20"/>
      <c r="BB154" s="20"/>
      <c r="BC154" s="20"/>
      <c r="BD154" s="20"/>
      <c r="BE154" s="20"/>
      <c r="BF154" s="20"/>
      <c r="BG154" s="20"/>
      <c r="BH154" s="20"/>
    </row>
    <row r="155" spans="1:60" x14ac:dyDescent="0.25">
      <c r="A155" s="63" t="s">
        <v>503</v>
      </c>
      <c r="B155" s="21" t="s">
        <v>310</v>
      </c>
      <c r="C155" s="21" t="str">
        <f>IF(T155="TRUE",VLOOKUP(A155,'Stock Nodes'!$A$1:$D$63,4,FALSE),IF(U155="TRUE",VLOOKUP(A155,'CTT Nodes'!$A$1:$D$83,4,FALSE),VLOOKUP(A155,'ETT Nodes'!$A$1:$D$87,3,FALSE)))</f>
        <v>Advanced Solid Rocket Motors</v>
      </c>
      <c r="D155" s="21" t="str">
        <f>"Node"&amp;TEXT(X155,"0")&amp;"_"&amp;A155</f>
        <v>Node4_advSolidRockets</v>
      </c>
      <c r="E155" s="22" t="str">
        <f>IF(OR(V155="TRUE",B155&lt;&gt;C155),"#LOC_ETT_"&amp;A155&amp;"_description",IF(T155="TRUE",VLOOKUP(A155,'Stock Nodes'!$A$1:$C$63,2,FALSE),IF(U155="TRUE",VLOOKUP(A155,'CTT Nodes'!$A$1:$D$83,2,FALSE))))</f>
        <v>#LOC_ETT_advSolidRockets_description</v>
      </c>
      <c r="F155" s="58">
        <v>50</v>
      </c>
      <c r="G155" s="21">
        <f t="array" ref="G155">INDEX(TNodeCols,MATCH(1,MMULT(--(TTechTree=A155),TRANSPOSE(COLUMN(TTechTree)^0)),0))</f>
        <v>-2502.3000000000029</v>
      </c>
      <c r="H155" s="21">
        <f t="array" ref="H155">INDEX(NodeRows,MATCH(1,MMULT(--(TechTree=A155),TRANSPOSE(COLUMN(TechTree)^0)),0))</f>
        <v>1025</v>
      </c>
      <c r="I155" s="63" t="str">
        <f>TEXT(G155,"0") &amp; ", " &amp; TEXT(H155,"0") &amp;", -2"</f>
        <v>-2502, 1025, -2</v>
      </c>
      <c r="J155" s="63">
        <f>IF(T155="TRUE",VLOOKUP(A155,'Stock Nodes'!$A$1:$C$63,3,FALSE),IF(U155="TRUE",VLOOKUP(A155,'CTT Nodes'!$A$1:$G$83,7,FALSE),VLOOKUP(A155,'ETT Nodes'!$A$1:$E$87,5,FALSE)))</f>
        <v>0</v>
      </c>
      <c r="K155" s="63" t="s">
        <v>63</v>
      </c>
      <c r="L155" s="63" t="s">
        <v>2069</v>
      </c>
      <c r="M155" s="63" t="s">
        <v>2068</v>
      </c>
      <c r="N155" s="63"/>
      <c r="O155" s="63"/>
      <c r="P155" s="63"/>
      <c r="Q155" s="6"/>
      <c r="R155" s="63"/>
      <c r="S155" s="63"/>
      <c r="T155" s="25" t="str">
        <f>IF(ISNA(VLOOKUP(A155,'Stock Nodes'!$A$1:$C$63,1,FALSE)),"FALSE","TRUE")</f>
        <v>FALSE</v>
      </c>
      <c r="U155" s="25" t="str">
        <f>IF(ISNA(VLOOKUP(A155,'CTT Nodes'!$A$1:$D$83,1,FALSE)),"FALSE","TRUE")</f>
        <v>FALSE</v>
      </c>
      <c r="V155" s="25" t="str">
        <f>IF(OR(T155="TRUE",U155="TRUE"),"FALSE","TRUE")</f>
        <v>TRUE</v>
      </c>
      <c r="W155" s="68">
        <v>153</v>
      </c>
      <c r="X155" s="59">
        <v>3.67</v>
      </c>
      <c r="Y155" s="20"/>
      <c r="Z155" s="20"/>
      <c r="AA155" s="20"/>
      <c r="AB155" s="20"/>
      <c r="AC155" s="20"/>
      <c r="AD155" s="20"/>
      <c r="AE155" s="20"/>
      <c r="AF155" s="20"/>
      <c r="AG155" s="20"/>
      <c r="AH155" s="20"/>
      <c r="AI155" s="20"/>
      <c r="AJ155" s="20"/>
      <c r="AK155" s="20"/>
      <c r="AL155" s="20"/>
      <c r="AM155" s="20"/>
      <c r="AN155" s="20"/>
      <c r="AO155" s="20"/>
      <c r="AP155" s="20"/>
      <c r="AQ155" s="20"/>
      <c r="AR155" s="20"/>
      <c r="AS155" s="20"/>
      <c r="AT155" s="20"/>
      <c r="AU155" s="20"/>
      <c r="AV155" s="20"/>
      <c r="AW155" s="20"/>
      <c r="AX155" s="20"/>
      <c r="AY155" s="20"/>
      <c r="AZ155" s="20"/>
      <c r="BA155" s="20"/>
      <c r="BB155" s="20"/>
      <c r="BC155" s="20"/>
      <c r="BD155" s="20"/>
      <c r="BE155" s="20"/>
      <c r="BF155" s="20"/>
      <c r="BG155" s="20"/>
      <c r="BH155" s="20"/>
    </row>
    <row r="156" spans="1:60" x14ac:dyDescent="0.25">
      <c r="A156" s="14" t="s">
        <v>504</v>
      </c>
      <c r="B156" s="21" t="s">
        <v>311</v>
      </c>
      <c r="C156" s="21" t="str">
        <f>IF(T156="TRUE",VLOOKUP(A156,'Stock Nodes'!$A$1:$D$63,4,FALSE),IF(U156="TRUE",VLOOKUP(A156,'CTT Nodes'!$A$1:$D$83,4,FALSE),VLOOKUP(A156,'ETT Nodes'!$A$1:$D$87,3,FALSE)))</f>
        <v>Heavy Solid Rocket Motors</v>
      </c>
      <c r="D156" s="21" t="str">
        <f>"Node"&amp;TEXT(X156,"0")&amp;"_"&amp;A156</f>
        <v>Node5_heavySolidRockets</v>
      </c>
      <c r="E156" s="22" t="str">
        <f>IF(OR(V156="TRUE",B156&lt;&gt;C156),"#LOC_ETT_"&amp;A156&amp;"_description",IF(T156="TRUE",VLOOKUP(A156,'Stock Nodes'!$A$1:$C$63,2,FALSE),IF(U156="TRUE",VLOOKUP(A156,'CTT Nodes'!$A$1:$D$83,2,FALSE))))</f>
        <v>#LOC_ETT_heavySolidRockets_description</v>
      </c>
      <c r="F156" s="58">
        <v>95</v>
      </c>
      <c r="G156" s="21">
        <f t="array" ref="G156">INDEX(TNodeCols,MATCH(1,MMULT(--(TTechTree=A156),TRANSPOSE(COLUMN(TTechTree)^0)),0))</f>
        <v>-2580.6000000000031</v>
      </c>
      <c r="H156" s="21">
        <f t="array" ref="H156">INDEX(NodeRows,MATCH(1,MMULT(--(TechTree=A156),TRANSPOSE(COLUMN(TechTree)^0)),0))</f>
        <v>1025</v>
      </c>
      <c r="I156" s="63" t="str">
        <f>TEXT(G156,"0") &amp; ", " &amp; TEXT(H156,"0") &amp;", -2"</f>
        <v>-2581, 1025, -2</v>
      </c>
      <c r="J156" s="63">
        <f>IF(T156="TRUE",VLOOKUP(A156,'Stock Nodes'!$A$1:$C$63,3,FALSE),IF(U156="TRUE",VLOOKUP(A156,'CTT Nodes'!$A$1:$G$83,7,FALSE),VLOOKUP(A156,'ETT Nodes'!$A$1:$E$87,5,FALSE)))</f>
        <v>0</v>
      </c>
      <c r="K156" s="21" t="s">
        <v>503</v>
      </c>
      <c r="L156" s="63" t="s">
        <v>2069</v>
      </c>
      <c r="M156" s="63" t="s">
        <v>2068</v>
      </c>
      <c r="N156" s="6"/>
      <c r="O156" s="63"/>
      <c r="P156" s="63"/>
      <c r="Q156" s="6"/>
      <c r="R156" s="63"/>
      <c r="S156" s="63"/>
      <c r="T156" s="25" t="str">
        <f>IF(ISNA(VLOOKUP(A156,'Stock Nodes'!$A$1:$C$63,1,FALSE)),"FALSE","TRUE")</f>
        <v>FALSE</v>
      </c>
      <c r="U156" s="25" t="str">
        <f>IF(ISNA(VLOOKUP(A156,'CTT Nodes'!$A$1:$D$83,1,FALSE)),"FALSE","TRUE")</f>
        <v>FALSE</v>
      </c>
      <c r="V156" s="25" t="str">
        <f>IF(OR(T156="TRUE",U156="TRUE"),"FALSE","TRUE")</f>
        <v>TRUE</v>
      </c>
      <c r="W156" s="68">
        <v>154</v>
      </c>
      <c r="X156" s="59">
        <v>4.67</v>
      </c>
      <c r="Y156" s="20"/>
      <c r="Z156" s="20"/>
      <c r="AA156" s="20"/>
      <c r="AB156" s="20"/>
      <c r="AC156" s="20"/>
      <c r="AD156" s="20"/>
      <c r="AE156" s="20"/>
      <c r="AF156" s="20"/>
      <c r="AG156" s="20"/>
      <c r="AH156" s="20"/>
      <c r="AI156" s="20"/>
      <c r="AJ156" s="20"/>
      <c r="AK156" s="20"/>
      <c r="AL156" s="20"/>
      <c r="AM156" s="20"/>
      <c r="AN156" s="20"/>
      <c r="AO156" s="20"/>
      <c r="AP156" s="20"/>
      <c r="AQ156" s="20"/>
      <c r="AR156" s="20"/>
      <c r="AS156" s="20"/>
      <c r="AT156" s="20"/>
      <c r="AU156" s="20"/>
      <c r="AV156" s="20"/>
      <c r="AW156" s="20"/>
      <c r="AX156" s="20"/>
      <c r="AY156" s="20"/>
      <c r="AZ156" s="20"/>
      <c r="BA156" s="20"/>
      <c r="BB156" s="20"/>
      <c r="BC156" s="20"/>
      <c r="BD156" s="20"/>
      <c r="BE156" s="20"/>
      <c r="BF156" s="20"/>
      <c r="BG156" s="20"/>
      <c r="BH156" s="20"/>
    </row>
    <row r="157" spans="1:60" x14ac:dyDescent="0.25">
      <c r="A157" s="63" t="s">
        <v>505</v>
      </c>
      <c r="B157" s="21" t="s">
        <v>361</v>
      </c>
      <c r="C157" s="21" t="str">
        <f>IF(T157="TRUE",VLOOKUP(A157,'Stock Nodes'!$A$1:$D$63,4,FALSE),IF(U157="TRUE",VLOOKUP(A157,'CTT Nodes'!$A$1:$D$83,4,FALSE),VLOOKUP(A157,'ETT Nodes'!$A$1:$D$87,3,FALSE)))</f>
        <v>Very Heavy Solid Rocket Motors</v>
      </c>
      <c r="D157" s="21" t="str">
        <f>"Node"&amp;TEXT(X157,"0")&amp;"_"&amp;A157</f>
        <v>Node6_veryHeavySolidRockets</v>
      </c>
      <c r="E157" s="22" t="str">
        <f>IF(OR(V157="TRUE",B157&lt;&gt;C157),"#LOC_ETT_"&amp;A157&amp;"_description",IF(T157="TRUE",VLOOKUP(A157,'Stock Nodes'!$A$1:$C$63,2,FALSE),IF(U157="TRUE",VLOOKUP(A157,'CTT Nodes'!$A$1:$D$83,2,FALSE))))</f>
        <v>#LOC_ETT_veryHeavySolidRockets_description</v>
      </c>
      <c r="F157" s="58">
        <v>250</v>
      </c>
      <c r="G157" s="21">
        <f t="array" ref="G157">INDEX(TNodeCols,MATCH(1,MMULT(--(TTechTree=A157),TRANSPOSE(COLUMN(TTechTree)^0)),0))</f>
        <v>-2658.9000000000033</v>
      </c>
      <c r="H157" s="21">
        <f t="array" ref="H157">INDEX(NodeRows,MATCH(1,MMULT(--(TechTree=A157),TRANSPOSE(COLUMN(TechTree)^0)),0))</f>
        <v>1025</v>
      </c>
      <c r="I157" s="63" t="str">
        <f>TEXT(G157,"0") &amp; ", " &amp; TEXT(H157,"0") &amp;", -2"</f>
        <v>-2659, 1025, -2</v>
      </c>
      <c r="J157" s="63">
        <f>IF(T157="TRUE",VLOOKUP(A157,'Stock Nodes'!$A$1:$C$63,3,FALSE),IF(U157="TRUE",VLOOKUP(A157,'CTT Nodes'!$A$1:$G$83,7,FALSE),VLOOKUP(A157,'ETT Nodes'!$A$1:$E$87,5,FALSE)))</f>
        <v>0</v>
      </c>
      <c r="K157" s="63" t="s">
        <v>504</v>
      </c>
      <c r="L157" s="63" t="s">
        <v>2069</v>
      </c>
      <c r="M157" s="63" t="s">
        <v>2068</v>
      </c>
      <c r="N157" s="6"/>
      <c r="O157" s="63"/>
      <c r="P157" s="63"/>
      <c r="Q157" s="6"/>
      <c r="R157" s="63"/>
      <c r="S157" s="63"/>
      <c r="T157" s="25" t="str">
        <f>IF(ISNA(VLOOKUP(A157,'Stock Nodes'!$A$1:$C$63,1,FALSE)),"FALSE","TRUE")</f>
        <v>FALSE</v>
      </c>
      <c r="U157" s="25" t="str">
        <f>IF(ISNA(VLOOKUP(A157,'CTT Nodes'!$A$1:$D$83,1,FALSE)),"FALSE","TRUE")</f>
        <v>FALSE</v>
      </c>
      <c r="V157" s="25" t="str">
        <f>IF(OR(T157="TRUE",U157="TRUE"),"FALSE","TRUE")</f>
        <v>TRUE</v>
      </c>
      <c r="W157" s="63">
        <v>155</v>
      </c>
      <c r="X157" s="59">
        <v>6</v>
      </c>
      <c r="Y157" s="20"/>
      <c r="Z157" s="20"/>
      <c r="AA157" s="20"/>
      <c r="AB157" s="20"/>
      <c r="AC157" s="20"/>
      <c r="AD157" s="20"/>
      <c r="AE157" s="20"/>
      <c r="AF157" s="20"/>
      <c r="AG157" s="20"/>
      <c r="AH157" s="20"/>
      <c r="AI157" s="20"/>
      <c r="AJ157" s="20"/>
      <c r="AK157" s="20"/>
      <c r="AL157" s="20"/>
      <c r="AM157" s="20"/>
      <c r="AN157" s="20"/>
      <c r="AO157" s="20"/>
      <c r="AP157" s="20"/>
      <c r="AQ157" s="20"/>
      <c r="AR157" s="20"/>
      <c r="AS157" s="20"/>
      <c r="AT157" s="20"/>
      <c r="AU157" s="20"/>
      <c r="AV157" s="20"/>
      <c r="AW157" s="20"/>
      <c r="AX157" s="20"/>
      <c r="AY157" s="20"/>
      <c r="AZ157" s="20"/>
      <c r="BA157" s="20"/>
      <c r="BB157" s="20"/>
      <c r="BC157" s="20"/>
      <c r="BD157" s="20"/>
      <c r="BE157" s="20"/>
      <c r="BF157" s="20"/>
      <c r="BG157" s="20"/>
      <c r="BH157" s="20"/>
    </row>
    <row r="158" spans="1:60" x14ac:dyDescent="0.25">
      <c r="A158" s="63" t="s">
        <v>506</v>
      </c>
      <c r="B158" s="21" t="s">
        <v>339</v>
      </c>
      <c r="C158" s="21" t="str">
        <f>IF(T158="TRUE",VLOOKUP(A158,'Stock Nodes'!$A$1:$D$63,4,FALSE),IF(U158="TRUE",VLOOKUP(A158,'CTT Nodes'!$A$1:$D$83,4,FALSE),VLOOKUP(A158,'ETT Nodes'!$A$1:$D$87,3,FALSE)))</f>
        <v>Gigantic Solid Rocket Motors</v>
      </c>
      <c r="D158" s="21" t="str">
        <f>"Node"&amp;TEXT(X158,"0")&amp;"_"&amp;A158</f>
        <v>Node8_giganticSolidRockets</v>
      </c>
      <c r="E158" s="22" t="str">
        <f>IF(OR(V158="TRUE",B158&lt;&gt;C158),"#LOC_ETT_"&amp;A158&amp;"_description",IF(T158="TRUE",VLOOKUP(A158,'Stock Nodes'!$A$1:$C$63,2,FALSE),IF(U158="TRUE",VLOOKUP(A158,'CTT Nodes'!$A$1:$D$83,2,FALSE))))</f>
        <v>#LOC_ETT_giganticSolidRockets_description</v>
      </c>
      <c r="F158" s="58">
        <v>495</v>
      </c>
      <c r="G158" s="21">
        <f t="array" ref="G158">INDEX(TNodeCols,MATCH(1,MMULT(--(TTechTree=A158),TRANSPOSE(COLUMN(TTechTree)^0)),0))</f>
        <v>-2737.2000000000035</v>
      </c>
      <c r="H158" s="21">
        <f t="array" ref="H158">INDEX(NodeRows,MATCH(1,MMULT(--(TechTree=A158),TRANSPOSE(COLUMN(TechTree)^0)),0))</f>
        <v>1025</v>
      </c>
      <c r="I158" s="63" t="str">
        <f>TEXT(G158,"0") &amp; ", " &amp; TEXT(H158,"0") &amp;", -2"</f>
        <v>-2737, 1025, -2</v>
      </c>
      <c r="J158" s="63">
        <f>IF(T158="TRUE",VLOOKUP(A158,'Stock Nodes'!$A$1:$C$63,3,FALSE),IF(U158="TRUE",VLOOKUP(A158,'CTT Nodes'!$A$1:$G$83,7,FALSE),VLOOKUP(A158,'ETT Nodes'!$A$1:$E$87,5,FALSE)))</f>
        <v>0</v>
      </c>
      <c r="K158" s="63" t="s">
        <v>505</v>
      </c>
      <c r="L158" s="63" t="s">
        <v>2069</v>
      </c>
      <c r="M158" s="63" t="s">
        <v>2068</v>
      </c>
      <c r="N158" s="6"/>
      <c r="O158" s="63"/>
      <c r="P158" s="63"/>
      <c r="Q158" s="6"/>
      <c r="R158" s="63"/>
      <c r="S158" s="63"/>
      <c r="T158" s="25" t="str">
        <f>IF(ISNA(VLOOKUP(A158,'Stock Nodes'!$A$1:$C$63,1,FALSE)),"FALSE","TRUE")</f>
        <v>FALSE</v>
      </c>
      <c r="U158" s="25" t="str">
        <f>IF(ISNA(VLOOKUP(A158,'CTT Nodes'!$A$1:$D$83,1,FALSE)),"FALSE","TRUE")</f>
        <v>FALSE</v>
      </c>
      <c r="V158" s="25" t="str">
        <f>IF(OR(T158="TRUE",U158="TRUE"),"FALSE","TRUE")</f>
        <v>TRUE</v>
      </c>
      <c r="W158" s="68">
        <v>156</v>
      </c>
      <c r="X158" s="59">
        <v>8</v>
      </c>
      <c r="Y158" s="20"/>
      <c r="Z158" s="20"/>
      <c r="AA158" s="20"/>
      <c r="AB158" s="20"/>
      <c r="AC158" s="20"/>
      <c r="AD158" s="20"/>
      <c r="AE158" s="20"/>
      <c r="AF158" s="20"/>
      <c r="AG158" s="20"/>
      <c r="AH158" s="20"/>
      <c r="AI158" s="20"/>
      <c r="AJ158" s="20"/>
      <c r="AK158" s="20"/>
      <c r="AL158" s="20"/>
      <c r="AM158" s="20"/>
      <c r="AN158" s="20"/>
      <c r="AO158" s="20"/>
      <c r="AP158" s="20"/>
      <c r="AQ158" s="20"/>
      <c r="AR158" s="20"/>
      <c r="AS158" s="20"/>
      <c r="AT158" s="20"/>
      <c r="AU158" s="20"/>
      <c r="AV158" s="20"/>
      <c r="AW158" s="20"/>
      <c r="AX158" s="20"/>
      <c r="AY158" s="20"/>
      <c r="AZ158" s="20"/>
      <c r="BA158" s="20"/>
      <c r="BB158" s="20"/>
      <c r="BC158" s="20"/>
      <c r="BD158" s="20"/>
      <c r="BE158" s="20"/>
      <c r="BF158" s="20"/>
      <c r="BG158" s="20"/>
      <c r="BH158" s="20"/>
    </row>
    <row r="159" spans="1:60" s="10" customFormat="1" x14ac:dyDescent="0.25">
      <c r="A159" s="14" t="s">
        <v>5</v>
      </c>
      <c r="B159" s="21" t="s">
        <v>340</v>
      </c>
      <c r="C159" s="21" t="str">
        <f>IF(T159="TRUE",VLOOKUP(A159,'Stock Nodes'!$A$1:$D$63,4,FALSE),IF(U159="TRUE",VLOOKUP(A159,'CTT Nodes'!$A$1:$D$83,4,FALSE),VLOOKUP(A159,'ETT Nodes'!$A$1:$D$87,3,FALSE)))</f>
        <v>Specialized Fuel Storage</v>
      </c>
      <c r="D159" s="21" t="str">
        <f>"Node"&amp;TEXT(X159,"0")&amp;"_"&amp;A159</f>
        <v>Node9_specializedFuelStorage</v>
      </c>
      <c r="E159" s="22" t="str">
        <f>IF(OR(V159="TRUE",B159&lt;&gt;C159),"#LOC_ETT_"&amp;A159&amp;"_description",IF(T159="TRUE",VLOOKUP(A159,'Stock Nodes'!$A$1:$C$63,2,FALSE),IF(U159="TRUE",VLOOKUP(A159,'CTT Nodes'!$A$1:$D$83,2,FALSE))))</f>
        <v>#LOC_ETT_specializedFuelStorage_description</v>
      </c>
      <c r="F159" s="58">
        <v>750</v>
      </c>
      <c r="G159" s="63">
        <f t="array" ref="G159">INDEX(TNodeCols,MATCH(1,MMULT(--(TTechTree=A159),TRANSPOSE(COLUMN(TTechTree)^0)),0))</f>
        <v>-2815.5000000000036</v>
      </c>
      <c r="H159" s="21">
        <f t="array" ref="H159">INDEX(NodeRows,MATCH(1,MMULT(--(TechTree=A159),TRANSPOSE(COLUMN(TechTree)^0)),0))</f>
        <v>873</v>
      </c>
      <c r="I159" s="63" t="str">
        <f>TEXT(G159,"0") &amp; ", " &amp; TEXT(H159,"0") &amp;", -2"</f>
        <v>-2816, 873, -2</v>
      </c>
      <c r="J159" s="63" t="str">
        <f>IF(T159="TRUE",VLOOKUP(A159,'Stock Nodes'!$A$1:$C$63,3,FALSE),IF(U159="TRUE",VLOOKUP(A159,'CTT Nodes'!$A$1:$G$83,7,FALSE),VLOOKUP(A159,'ETT Nodes'!$A$1:$E$87,5,FALSE)))</f>
        <v>ETTR/UI/CTT/ctt_icon_specializedFuelStorage</v>
      </c>
      <c r="K159" s="21" t="s">
        <v>533</v>
      </c>
      <c r="L159" s="63" t="s">
        <v>2069</v>
      </c>
      <c r="M159" s="63" t="s">
        <v>2068</v>
      </c>
      <c r="N159" s="21"/>
      <c r="O159" s="63"/>
      <c r="P159" s="63"/>
      <c r="Q159" s="9"/>
      <c r="R159" s="63"/>
      <c r="S159" s="63"/>
      <c r="T159" s="25" t="str">
        <f>IF(ISNA(VLOOKUP(A159,'Stock Nodes'!$A$1:$C$63,1,FALSE)),"FALSE","TRUE")</f>
        <v>FALSE</v>
      </c>
      <c r="U159" s="25" t="str">
        <f>IF(ISNA(VLOOKUP(A159,'CTT Nodes'!$A$1:$D$83,1,FALSE)),"FALSE","TRUE")</f>
        <v>TRUE</v>
      </c>
      <c r="V159" s="25" t="str">
        <f>IF(OR(T159="TRUE",U159="TRUE"),"FALSE","TRUE")</f>
        <v>FALSE</v>
      </c>
      <c r="W159" s="68">
        <v>157</v>
      </c>
      <c r="X159" s="59">
        <v>9</v>
      </c>
      <c r="Y159" s="20"/>
      <c r="Z159" s="20"/>
      <c r="AA159" s="20"/>
      <c r="AB159" s="20"/>
      <c r="AC159" s="20"/>
      <c r="AD159" s="20"/>
      <c r="AE159" s="20"/>
      <c r="AF159" s="20"/>
      <c r="AG159" s="20"/>
      <c r="AH159" s="20"/>
      <c r="AI159" s="20"/>
      <c r="AJ159" s="20"/>
      <c r="AK159" s="20"/>
      <c r="AL159" s="20"/>
      <c r="AM159" s="20"/>
      <c r="AN159" s="20"/>
      <c r="AO159" s="20"/>
      <c r="AP159" s="20"/>
      <c r="AQ159" s="20"/>
      <c r="AR159" s="20"/>
      <c r="AS159" s="20"/>
      <c r="AT159" s="20"/>
      <c r="AU159" s="20"/>
      <c r="AV159" s="20"/>
      <c r="AW159" s="20"/>
      <c r="AX159" s="20"/>
      <c r="AY159" s="20"/>
      <c r="AZ159" s="20"/>
      <c r="BA159" s="20"/>
      <c r="BB159" s="20"/>
      <c r="BC159" s="20"/>
      <c r="BD159" s="20"/>
      <c r="BE159" s="20"/>
      <c r="BF159" s="20"/>
      <c r="BG159" s="20"/>
      <c r="BH159" s="20"/>
    </row>
    <row r="160" spans="1:60" x14ac:dyDescent="0.25">
      <c r="A160" s="14" t="s">
        <v>433</v>
      </c>
      <c r="B160" s="21" t="s">
        <v>4</v>
      </c>
      <c r="C160" s="21" t="str">
        <f>IF(T160="TRUE",VLOOKUP(A160,'Stock Nodes'!$A$1:$D$63,4,FALSE),IF(U160="TRUE",VLOOKUP(A160,'CTT Nodes'!$A$1:$D$83,4,FALSE),VLOOKUP(A160,'ETT Nodes'!$A$1:$D$87,3,FALSE)))</f>
        <v>Extreme Fuel Storage</v>
      </c>
      <c r="D160" s="21" t="str">
        <f>"Node"&amp;TEXT(X160,"0")&amp;"_"&amp;A160</f>
        <v>Node12_extremeFuelStorage</v>
      </c>
      <c r="E160" s="22" t="str">
        <f>IF(OR(V160="TRUE",B160&lt;&gt;C160),"#LOC_ETT_"&amp;A160&amp;"_description",IF(T160="TRUE",VLOOKUP(A160,'Stock Nodes'!$A$1:$C$63,2,FALSE),IF(U160="TRUE",VLOOKUP(A160,'CTT Nodes'!$A$1:$D$83,2,FALSE))))</f>
        <v>#LOC_ETT_extremeFuelStorage_description</v>
      </c>
      <c r="F160" s="58">
        <v>1750</v>
      </c>
      <c r="G160" s="63">
        <f t="array" ref="G160">INDEX(TNodeCols,MATCH(1,MMULT(--(TTechTree=A160),TRANSPOSE(COLUMN(TTechTree)^0)),0))</f>
        <v>-2893.8000000000038</v>
      </c>
      <c r="H160" s="21">
        <f t="array" ref="H160">INDEX(NodeRows,MATCH(1,MMULT(--(TechTree=A160),TRANSPOSE(COLUMN(TechTree)^0)),0))</f>
        <v>873</v>
      </c>
      <c r="I160" s="63" t="str">
        <f>TEXT(G160,"0") &amp; ", " &amp; TEXT(H160,"0") &amp;", -2"</f>
        <v>-2894, 873, -2</v>
      </c>
      <c r="J160" s="63" t="str">
        <f>IF(T160="TRUE",VLOOKUP(A160,'Stock Nodes'!$A$1:$C$63,3,FALSE),IF(U160="TRUE",VLOOKUP(A160,'CTT Nodes'!$A$1:$G$83,7,FALSE),VLOOKUP(A160,'ETT Nodes'!$A$1:$E$87,5,FALSE)))</f>
        <v>ETTR/UI/CTT/ctt_icon_exoticFuelStorage</v>
      </c>
      <c r="K160" s="6" t="s">
        <v>5</v>
      </c>
      <c r="L160" s="63" t="s">
        <v>2069</v>
      </c>
      <c r="M160" s="63" t="s">
        <v>2068</v>
      </c>
      <c r="N160" s="6"/>
      <c r="O160" s="63"/>
      <c r="P160" s="63"/>
      <c r="Q160" s="6"/>
      <c r="R160" s="63"/>
      <c r="S160" s="63"/>
      <c r="T160" s="25" t="str">
        <f>IF(ISNA(VLOOKUP(A160,'Stock Nodes'!$A$1:$C$63,1,FALSE)),"FALSE","TRUE")</f>
        <v>FALSE</v>
      </c>
      <c r="U160" s="25" t="str">
        <f>IF(ISNA(VLOOKUP(A160,'CTT Nodes'!$A$1:$D$83,1,FALSE)),"FALSE","TRUE")</f>
        <v>TRUE</v>
      </c>
      <c r="V160" s="25" t="str">
        <f>IF(OR(T160="TRUE",U160="TRUE"),"FALSE","TRUE")</f>
        <v>FALSE</v>
      </c>
      <c r="W160" s="63">
        <v>158</v>
      </c>
      <c r="X160" s="59">
        <v>12</v>
      </c>
      <c r="Y160" s="20"/>
      <c r="Z160" s="20"/>
      <c r="AA160" s="20"/>
      <c r="AB160" s="20"/>
      <c r="AC160" s="20"/>
      <c r="AD160" s="20"/>
      <c r="AE160" s="20"/>
      <c r="AF160" s="20"/>
      <c r="AG160" s="20"/>
      <c r="AH160" s="20"/>
      <c r="AI160" s="20"/>
      <c r="AJ160" s="20"/>
      <c r="AK160" s="20"/>
      <c r="AL160" s="20"/>
      <c r="AM160" s="20"/>
      <c r="AN160" s="20"/>
      <c r="AO160" s="20"/>
      <c r="AP160" s="20"/>
      <c r="AQ160" s="20"/>
      <c r="AR160" s="20"/>
      <c r="AS160" s="20"/>
      <c r="AT160" s="20"/>
      <c r="AU160" s="20"/>
      <c r="AV160" s="20"/>
      <c r="AW160" s="20"/>
      <c r="AX160" s="20"/>
      <c r="AY160" s="20"/>
      <c r="AZ160" s="20"/>
      <c r="BA160" s="20"/>
      <c r="BB160" s="20"/>
      <c r="BC160" s="20"/>
      <c r="BD160" s="20"/>
      <c r="BE160" s="20"/>
      <c r="BF160" s="20"/>
      <c r="BG160" s="20"/>
      <c r="BH160" s="20"/>
    </row>
    <row r="161" spans="1:60" x14ac:dyDescent="0.25">
      <c r="A161" s="14" t="s">
        <v>3</v>
      </c>
      <c r="B161" s="63" t="s">
        <v>819</v>
      </c>
      <c r="C161" s="21" t="str">
        <f>IF(T161="TRUE",VLOOKUP(A161,'Stock Nodes'!$A$1:$D$63,4,FALSE),IF(U161="TRUE",VLOOKUP(A161,'CTT Nodes'!$A$1:$D$83,4,FALSE),VLOOKUP(A161,'ETT Nodes'!$A$1:$D$87,3,FALSE)))</f>
        <v>Exotic Fuel Storage</v>
      </c>
      <c r="D161" s="21" t="str">
        <f>"Node"&amp;TEXT(X161,"0")&amp;"_"&amp;A161</f>
        <v>Node15_exoticFuelStorage</v>
      </c>
      <c r="E161" s="22" t="str">
        <f>IF(OR(V161="TRUE",B161&lt;&gt;C161),"#LOC_ETT_"&amp;A161&amp;"_description",IF(T161="TRUE",VLOOKUP(A161,'Stock Nodes'!$A$1:$C$63,2,FALSE),IF(U161="TRUE",VLOOKUP(A161,'CTT Nodes'!$A$1:$D$83,2,FALSE))))</f>
        <v>#LOC_ETT_exoticFuelStorage_description</v>
      </c>
      <c r="F161" s="58">
        <v>3500</v>
      </c>
      <c r="G161" s="21">
        <f t="array" ref="G161">INDEX(TNodeCols,MATCH(1,MMULT(--(TTechTree=A161),TRANSPOSE(COLUMN(TTechTree)^0)),0))</f>
        <v>-2972.100000000004</v>
      </c>
      <c r="H161" s="21">
        <f t="array" ref="H161">INDEX(NodeRows,MATCH(1,MMULT(--(TechTree=A161),TRANSPOSE(COLUMN(TechTree)^0)),0))</f>
        <v>873</v>
      </c>
      <c r="I161" s="63" t="str">
        <f>TEXT(G161,"0") &amp; ", " &amp; TEXT(H161,"0") &amp;", -2"</f>
        <v>-2972, 873, -2</v>
      </c>
      <c r="J161" s="63" t="str">
        <f>IF(T161="TRUE",VLOOKUP(A161,'Stock Nodes'!$A$1:$C$63,3,FALSE),IF(U161="TRUE",VLOOKUP(A161,'CTT Nodes'!$A$1:$G$83,7,FALSE),VLOOKUP(A161,'ETT Nodes'!$A$1:$E$87,5,FALSE)))</f>
        <v>ETTR/UI/CTT/ctt_icon_exoticFuelStorage</v>
      </c>
      <c r="K161" s="21" t="s">
        <v>433</v>
      </c>
      <c r="L161" s="63" t="s">
        <v>2069</v>
      </c>
      <c r="M161" s="63" t="s">
        <v>2068</v>
      </c>
      <c r="N161" s="6"/>
      <c r="O161" s="63"/>
      <c r="P161" s="63"/>
      <c r="Q161" s="6"/>
      <c r="R161" s="63"/>
      <c r="S161" s="63"/>
      <c r="T161" s="25" t="str">
        <f>IF(ISNA(VLOOKUP(A161,'Stock Nodes'!$A$1:$C$63,1,FALSE)),"FALSE","TRUE")</f>
        <v>FALSE</v>
      </c>
      <c r="U161" s="25" t="str">
        <f>IF(ISNA(VLOOKUP(A161,'CTT Nodes'!$A$1:$D$83,1,FALSE)),"FALSE","TRUE")</f>
        <v>TRUE</v>
      </c>
      <c r="V161" s="25" t="str">
        <f>IF(OR(T161="TRUE",U161="TRUE"),"FALSE","TRUE")</f>
        <v>FALSE</v>
      </c>
      <c r="W161" s="68">
        <v>159</v>
      </c>
      <c r="X161" s="59">
        <v>15</v>
      </c>
      <c r="Y161" s="20"/>
      <c r="Z161" s="20"/>
      <c r="AA161" s="20"/>
      <c r="AB161" s="20"/>
      <c r="AC161" s="20"/>
      <c r="AD161" s="20"/>
      <c r="AE161" s="20"/>
      <c r="AF161" s="20"/>
      <c r="AG161" s="20"/>
      <c r="AH161" s="20"/>
      <c r="AI161" s="20"/>
      <c r="AJ161" s="20"/>
      <c r="AK161" s="20"/>
      <c r="AL161" s="20"/>
      <c r="AM161" s="20"/>
      <c r="AN161" s="20"/>
      <c r="AO161" s="20"/>
      <c r="AP161" s="20"/>
      <c r="AQ161" s="20"/>
      <c r="AR161" s="20"/>
      <c r="AS161" s="20"/>
      <c r="AT161" s="20"/>
      <c r="AU161" s="20"/>
      <c r="AV161" s="20"/>
      <c r="AW161" s="20"/>
      <c r="AX161" s="20"/>
      <c r="AY161" s="20"/>
      <c r="AZ161" s="20"/>
      <c r="BA161" s="20"/>
      <c r="BB161" s="20"/>
      <c r="BC161" s="20"/>
      <c r="BD161" s="20"/>
      <c r="BE161" s="20"/>
      <c r="BF161" s="20"/>
      <c r="BG161" s="20"/>
      <c r="BH161" s="20"/>
    </row>
    <row r="162" spans="1:60" x14ac:dyDescent="0.25">
      <c r="A162" s="14" t="s">
        <v>64</v>
      </c>
      <c r="B162" s="21" t="s">
        <v>104</v>
      </c>
      <c r="C162" s="21" t="str">
        <f>IF(T162="TRUE",VLOOKUP(A162,'Stock Nodes'!$A$1:$D$63,4,FALSE),IF(U162="TRUE",VLOOKUP(A162,'CTT Nodes'!$A$1:$D$83,4,FALSE),VLOOKUP(A162,'ETT Nodes'!$A$1:$D$87,3,FALSE)))</f>
        <v>Fuel Systems</v>
      </c>
      <c r="D162" s="21" t="str">
        <f>"Node"&amp;TEXT(X162,"0")&amp;"_"&amp;A162</f>
        <v>Node2_fuelSystems</v>
      </c>
      <c r="E162" s="22" t="str">
        <f>IF(OR(V162="TRUE",B162&lt;&gt;C162),"#LOC_ETT_"&amp;A162&amp;"_description",IF(T162="TRUE",VLOOKUP(A162,'Stock Nodes'!$A$1:$C$63,2,FALSE),IF(U162="TRUE",VLOOKUP(A162,'CTT Nodes'!$A$1:$D$83,2,FALSE))))</f>
        <v>#autoLOC_501057 //#autoLOC_501057 = Advancements towards a better understanding of how fuel flows through a rocket.</v>
      </c>
      <c r="F162" s="58">
        <v>5</v>
      </c>
      <c r="G162" s="21">
        <f t="array" ref="G162">INDEX(TNodeCols,MATCH(1,MMULT(--(TTechTree=A162),TRANSPOSE(COLUMN(TTechTree)^0)),0))</f>
        <v>-2502.3000000000029</v>
      </c>
      <c r="H162" s="21">
        <f t="array" ref="H162">INDEX(NodeRows,MATCH(1,MMULT(--(TechTree=A162),TRANSPOSE(COLUMN(TechTree)^0)),0))</f>
        <v>949</v>
      </c>
      <c r="I162" s="63" t="str">
        <f>TEXT(G162,"0") &amp; ", " &amp; TEXT(H162,"0") &amp;", -2"</f>
        <v>-2502, 949, -2</v>
      </c>
      <c r="J162" s="63" t="str">
        <f>IF(T162="TRUE",VLOOKUP(A162,'Stock Nodes'!$A$1:$C$63,3,FALSE),IF(U162="TRUE",VLOOKUP(A162,'CTT Nodes'!$A$1:$G$83,7,FALSE),VLOOKUP(A162,'ETT Nodes'!$A$1:$E$87,5,FALSE)))</f>
        <v>RDicon_fuelSystems</v>
      </c>
      <c r="K162" s="21" t="s">
        <v>63</v>
      </c>
      <c r="L162" s="63" t="s">
        <v>2069</v>
      </c>
      <c r="M162" s="63" t="s">
        <v>2068</v>
      </c>
      <c r="N162" s="6"/>
      <c r="O162" s="63"/>
      <c r="P162" s="63"/>
      <c r="Q162" s="6"/>
      <c r="R162" s="63"/>
      <c r="S162" s="63"/>
      <c r="T162" s="25" t="str">
        <f>IF(ISNA(VLOOKUP(A162,'Stock Nodes'!$A$1:$C$63,1,FALSE)),"FALSE","TRUE")</f>
        <v>TRUE</v>
      </c>
      <c r="U162" s="25" t="str">
        <f>IF(ISNA(VLOOKUP(A162,'CTT Nodes'!$A$1:$D$83,1,FALSE)),"FALSE","TRUE")</f>
        <v>FALSE</v>
      </c>
      <c r="V162" s="25" t="str">
        <f>IF(OR(T162="TRUE",U162="TRUE"),"FALSE","TRUE")</f>
        <v>FALSE</v>
      </c>
      <c r="W162" s="68">
        <v>160</v>
      </c>
      <c r="X162" s="59">
        <v>1.5</v>
      </c>
      <c r="Y162" s="20"/>
      <c r="Z162" s="20"/>
      <c r="AA162" s="20"/>
      <c r="AB162" s="20"/>
      <c r="AC162" s="20"/>
      <c r="AD162" s="20"/>
      <c r="AE162" s="20"/>
      <c r="AF162" s="20"/>
      <c r="AG162" s="20"/>
      <c r="AH162" s="20"/>
      <c r="AI162" s="20"/>
      <c r="AJ162" s="20"/>
      <c r="AK162" s="20"/>
      <c r="AL162" s="20"/>
      <c r="AM162" s="20"/>
      <c r="AN162" s="20"/>
      <c r="AO162" s="20"/>
      <c r="AP162" s="20"/>
      <c r="AQ162" s="20"/>
      <c r="AR162" s="20"/>
      <c r="AS162" s="20"/>
      <c r="AT162" s="20"/>
      <c r="AU162" s="20"/>
      <c r="AV162" s="20"/>
      <c r="AW162" s="20"/>
      <c r="AX162" s="20"/>
      <c r="AY162" s="20"/>
      <c r="AZ162" s="20"/>
      <c r="BA162" s="20"/>
      <c r="BB162" s="20"/>
      <c r="BC162" s="20"/>
      <c r="BD162" s="20"/>
      <c r="BE162" s="20"/>
      <c r="BF162" s="20"/>
      <c r="BG162" s="20"/>
      <c r="BH162" s="20"/>
    </row>
    <row r="163" spans="1:60" x14ac:dyDescent="0.25">
      <c r="A163" s="14" t="s">
        <v>9</v>
      </c>
      <c r="B163" s="21" t="s">
        <v>475</v>
      </c>
      <c r="C163" s="21" t="str">
        <f>IF(T163="TRUE",VLOOKUP(A163,'Stock Nodes'!$A$1:$D$63,4,FALSE),IF(U163="TRUE",VLOOKUP(A163,'CTT Nodes'!$A$1:$D$83,4,FALSE),VLOOKUP(A163,'ETT Nodes'!$A$1:$D$87,3,FALSE)))</f>
        <v>Adv. Fuel Systems</v>
      </c>
      <c r="D163" s="21" t="str">
        <f>"Node"&amp;TEXT(X163,"0")&amp;"_"&amp;A163</f>
        <v>Node3_advFuelSystems</v>
      </c>
      <c r="E163" s="22" t="str">
        <f>IF(OR(V163="TRUE",B163&lt;&gt;C163),"#LOC_ETT_"&amp;A163&amp;"_description",IF(T163="TRUE",VLOOKUP(A163,'Stock Nodes'!$A$1:$C$63,2,FALSE),IF(U163="TRUE",VLOOKUP(A163,'CTT Nodes'!$A$1:$D$83,2,FALSE))))</f>
        <v>#LOC_ETT_advFuelSystems_description</v>
      </c>
      <c r="F163" s="58">
        <v>35</v>
      </c>
      <c r="G163" s="21">
        <f t="array" ref="G163">INDEX(TNodeCols,MATCH(1,MMULT(--(TTechTree=A163),TRANSPOSE(COLUMN(TTechTree)^0)),0))</f>
        <v>-2580.6000000000031</v>
      </c>
      <c r="H163" s="21">
        <f t="array" ref="H163">INDEX(NodeRows,MATCH(1,MMULT(--(TechTree=A163),TRANSPOSE(COLUMN(TechTree)^0)),0))</f>
        <v>949</v>
      </c>
      <c r="I163" s="63" t="str">
        <f>TEXT(G163,"0") &amp; ", " &amp; TEXT(H163,"0") &amp;", -2"</f>
        <v>-2581, 949, -2</v>
      </c>
      <c r="J163" s="63" t="str">
        <f>IF(T163="TRUE",VLOOKUP(A163,'Stock Nodes'!$A$1:$C$63,3,FALSE),IF(U163="TRUE",VLOOKUP(A163,'CTT Nodes'!$A$1:$G$83,7,FALSE),VLOOKUP(A163,'ETT Nodes'!$A$1:$E$87,5,FALSE)))</f>
        <v>RDicon_fuelSystems-advanced</v>
      </c>
      <c r="K163" s="63" t="s">
        <v>64</v>
      </c>
      <c r="L163" s="63" t="s">
        <v>2069</v>
      </c>
      <c r="M163" s="63" t="s">
        <v>2068</v>
      </c>
      <c r="N163" s="63"/>
      <c r="O163" s="63"/>
      <c r="P163" s="63"/>
      <c r="Q163" s="6"/>
      <c r="R163" s="63"/>
      <c r="S163" s="63"/>
      <c r="T163" s="25" t="str">
        <f>IF(ISNA(VLOOKUP(A163,'Stock Nodes'!$A$1:$C$63,1,FALSE)),"FALSE","TRUE")</f>
        <v>TRUE</v>
      </c>
      <c r="U163" s="25" t="str">
        <f>IF(ISNA(VLOOKUP(A163,'CTT Nodes'!$A$1:$D$83,1,FALSE)),"FALSE","TRUE")</f>
        <v>FALSE</v>
      </c>
      <c r="V163" s="25" t="str">
        <f>IF(OR(T163="TRUE",U163="TRUE"),"FALSE","TRUE")</f>
        <v>FALSE</v>
      </c>
      <c r="W163" s="63">
        <v>161</v>
      </c>
      <c r="X163" s="59">
        <v>3.33</v>
      </c>
      <c r="Y163" s="20"/>
      <c r="Z163" s="20"/>
      <c r="AA163" s="20"/>
      <c r="AB163" s="20"/>
      <c r="AC163" s="20"/>
      <c r="AD163" s="20"/>
      <c r="AE163" s="20"/>
      <c r="AF163" s="20"/>
      <c r="AG163" s="20"/>
      <c r="AH163" s="20"/>
      <c r="AI163" s="20"/>
      <c r="AJ163" s="20"/>
      <c r="AK163" s="20"/>
      <c r="AL163" s="20"/>
      <c r="AM163" s="20"/>
      <c r="AN163" s="20"/>
      <c r="AO163" s="20"/>
      <c r="AP163" s="20"/>
      <c r="AQ163" s="20"/>
      <c r="AR163" s="20"/>
      <c r="AS163" s="20"/>
      <c r="AT163" s="20"/>
      <c r="AU163" s="20"/>
      <c r="AV163" s="20"/>
      <c r="AW163" s="20"/>
      <c r="AX163" s="20"/>
      <c r="AY163" s="20"/>
      <c r="AZ163" s="20"/>
      <c r="BA163" s="20"/>
      <c r="BB163" s="20"/>
      <c r="BC163" s="20"/>
      <c r="BD163" s="20"/>
      <c r="BE163" s="20"/>
      <c r="BF163" s="20"/>
      <c r="BG163" s="20"/>
      <c r="BH163" s="20"/>
    </row>
    <row r="164" spans="1:60" x14ac:dyDescent="0.25">
      <c r="A164" s="21" t="s">
        <v>66</v>
      </c>
      <c r="B164" s="21" t="s">
        <v>476</v>
      </c>
      <c r="C164" s="21" t="str">
        <f>IF(T164="TRUE",VLOOKUP(A164,'Stock Nodes'!$A$1:$D$63,4,FALSE),IF(U164="TRUE",VLOOKUP(A164,'CTT Nodes'!$A$1:$D$83,4,FALSE),VLOOKUP(A164,'ETT Nodes'!$A$1:$D$87,3,FALSE)))</f>
        <v>High-Performance Fuel Systems</v>
      </c>
      <c r="D164" s="21" t="str">
        <f>"Node"&amp;TEXT(X164,"0")&amp;"_"&amp;A164</f>
        <v>Node5_highPerformanceFuelSystems</v>
      </c>
      <c r="E164" s="22" t="str">
        <f>IF(OR(V164="TRUE",B164&lt;&gt;C164),"#LOC_ETT_"&amp;A164&amp;"_description",IF(T164="TRUE",VLOOKUP(A164,'Stock Nodes'!$A$1:$C$63,2,FALSE),IF(U164="TRUE",VLOOKUP(A164,'CTT Nodes'!$A$1:$D$83,2,FALSE))))</f>
        <v>#LOC_ETT_highPerformanceFuelSystems_description</v>
      </c>
      <c r="F164" s="58">
        <v>150</v>
      </c>
      <c r="G164" s="21">
        <f t="array" ref="G164">INDEX(TNodeCols,MATCH(1,MMULT(--(TTechTree=A164),TRANSPOSE(COLUMN(TTechTree)^0)),0))</f>
        <v>-2658.9000000000033</v>
      </c>
      <c r="H164" s="21">
        <f t="array" ref="H164">INDEX(NodeRows,MATCH(1,MMULT(--(TechTree=A164),TRANSPOSE(COLUMN(TechTree)^0)),0))</f>
        <v>949</v>
      </c>
      <c r="I164" s="63" t="str">
        <f>TEXT(G164,"0") &amp; ", " &amp; TEXT(H164,"0") &amp;", -2"</f>
        <v>-2659, 949, -2</v>
      </c>
      <c r="J164" s="63" t="str">
        <f>IF(T164="TRUE",VLOOKUP(A164,'Stock Nodes'!$A$1:$C$63,3,FALSE),IF(U164="TRUE",VLOOKUP(A164,'CTT Nodes'!$A$1:$G$83,7,FALSE),VLOOKUP(A164,'ETT Nodes'!$A$1:$E$87,5,FALSE)))</f>
        <v>RDicon_fuelSystems-highPerformance</v>
      </c>
      <c r="K164" s="21" t="s">
        <v>9</v>
      </c>
      <c r="L164" s="63" t="s">
        <v>2069</v>
      </c>
      <c r="M164" s="63" t="s">
        <v>2068</v>
      </c>
      <c r="N164" s="21"/>
      <c r="O164" s="63"/>
      <c r="P164" s="63"/>
      <c r="Q164" s="21"/>
      <c r="R164" s="63"/>
      <c r="S164" s="63"/>
      <c r="T164" s="25" t="str">
        <f>IF(ISNA(VLOOKUP(A164,'Stock Nodes'!$A$1:$C$63,1,FALSE)),"FALSE","TRUE")</f>
        <v>TRUE</v>
      </c>
      <c r="U164" s="25" t="str">
        <f>IF(ISNA(VLOOKUP(A164,'CTT Nodes'!$A$1:$D$83,1,FALSE)),"FALSE","TRUE")</f>
        <v>FALSE</v>
      </c>
      <c r="V164" s="25" t="str">
        <f>IF(OR(T164="TRUE",U164="TRUE"),"FALSE","TRUE")</f>
        <v>FALSE</v>
      </c>
      <c r="W164" s="68">
        <v>162</v>
      </c>
      <c r="X164" s="59">
        <v>5.25</v>
      </c>
      <c r="Y164" s="20"/>
      <c r="Z164" s="20"/>
      <c r="AA164" s="20"/>
      <c r="AB164" s="20"/>
      <c r="AC164" s="20"/>
      <c r="AD164" s="20"/>
      <c r="AE164" s="20"/>
      <c r="AF164" s="20"/>
      <c r="AG164" s="20"/>
      <c r="AH164" s="20"/>
      <c r="AI164" s="20"/>
      <c r="AJ164" s="20"/>
      <c r="AK164" s="20"/>
      <c r="AL164" s="20"/>
      <c r="AM164" s="20"/>
      <c r="AN164" s="20"/>
      <c r="AO164" s="20"/>
      <c r="AP164" s="20"/>
      <c r="AQ164" s="20"/>
      <c r="AR164" s="20"/>
      <c r="AS164" s="20"/>
      <c r="AT164" s="20"/>
      <c r="AU164" s="20"/>
      <c r="AV164" s="20"/>
      <c r="AW164" s="20"/>
      <c r="AX164" s="20"/>
      <c r="AY164" s="20"/>
      <c r="AZ164" s="20"/>
      <c r="BA164" s="20"/>
      <c r="BB164" s="20"/>
      <c r="BC164" s="20"/>
      <c r="BD164" s="20"/>
      <c r="BE164" s="20"/>
      <c r="BF164" s="20"/>
      <c r="BG164" s="20"/>
      <c r="BH164" s="20"/>
    </row>
    <row r="165" spans="1:60" x14ac:dyDescent="0.25">
      <c r="A165" s="63" t="s">
        <v>533</v>
      </c>
      <c r="B165" s="63" t="s">
        <v>550</v>
      </c>
      <c r="C165" s="21" t="str">
        <f>IF(T165="TRUE",VLOOKUP(A165,'Stock Nodes'!$A$1:$D$63,4,FALSE),IF(U165="TRUE",VLOOKUP(A165,'CTT Nodes'!$A$1:$D$83,4,FALSE),VLOOKUP(A165,'ETT Nodes'!$A$1:$D$87,3,FALSE)))</f>
        <v>Off-world Mining</v>
      </c>
      <c r="D165" s="21" t="str">
        <f>"Node"&amp;TEXT(X165,"0")&amp;"_"&amp;A165</f>
        <v>Node7_offworldMining</v>
      </c>
      <c r="E165" s="22" t="str">
        <f>IF(OR(V165="TRUE",B165&lt;&gt;C165),"#LOC_ETT_"&amp;A165&amp;"_description",IF(T165="TRUE",VLOOKUP(A165,'Stock Nodes'!$A$1:$C$63,2,FALSE),IF(U165="TRUE",VLOOKUP(A165,'CTT Nodes'!$A$1:$D$83,2,FALSE))))</f>
        <v>#LOC_ETT_offworldMining_description</v>
      </c>
      <c r="F165" s="58">
        <v>275</v>
      </c>
      <c r="G165" s="21">
        <f t="array" ref="G165">INDEX(TNodeCols,MATCH(1,MMULT(--(TTechTree=A165),TRANSPOSE(COLUMN(TTechTree)^0)),0))</f>
        <v>-2737.2000000000035</v>
      </c>
      <c r="H165" s="21">
        <f t="array" ref="H165">INDEX(NodeRows,MATCH(1,MMULT(--(TechTree=A165),TRANSPOSE(COLUMN(TechTree)^0)),0))</f>
        <v>949</v>
      </c>
      <c r="I165" s="63" t="str">
        <f>TEXT(G165,"0") &amp; ", " &amp; TEXT(H165,"0") &amp;", -2"</f>
        <v>-2737, 949, -2</v>
      </c>
      <c r="J165" s="63">
        <f>IF(T165="TRUE",VLOOKUP(A165,'Stock Nodes'!$A$1:$C$63,3,FALSE),IF(U165="TRUE",VLOOKUP(A165,'CTT Nodes'!$A$1:$G$83,7,FALSE),VLOOKUP(A165,'ETT Nodes'!$A$1:$E$87,5,FALSE)))</f>
        <v>0</v>
      </c>
      <c r="K165" s="63" t="s">
        <v>66</v>
      </c>
      <c r="L165" s="63" t="s">
        <v>2069</v>
      </c>
      <c r="M165" s="63" t="s">
        <v>2068</v>
      </c>
      <c r="N165" s="63"/>
      <c r="O165" s="63"/>
      <c r="P165" s="63"/>
      <c r="Q165" s="63"/>
      <c r="R165" s="63"/>
      <c r="S165" s="63"/>
      <c r="T165" s="25" t="str">
        <f>IF(ISNA(VLOOKUP(A165,'Stock Nodes'!$A$1:$C$63,1,FALSE)),"FALSE","TRUE")</f>
        <v>FALSE</v>
      </c>
      <c r="U165" s="25" t="str">
        <f>IF(ISNA(VLOOKUP(A165,'CTT Nodes'!$A$1:$D$83,1,FALSE)),"FALSE","TRUE")</f>
        <v>FALSE</v>
      </c>
      <c r="V165" s="25" t="str">
        <f>IF(OR(T165="TRUE",U165="TRUE"),"FALSE","TRUE")</f>
        <v>TRUE</v>
      </c>
      <c r="W165" s="68">
        <v>163</v>
      </c>
      <c r="X165" s="59">
        <v>6.5</v>
      </c>
      <c r="Y165" s="20"/>
      <c r="Z165" s="20"/>
      <c r="AA165" s="20"/>
      <c r="AB165" s="20"/>
      <c r="AC165" s="20"/>
      <c r="AD165" s="20"/>
      <c r="AE165" s="20"/>
      <c r="AF165" s="20"/>
      <c r="AG165" s="20"/>
      <c r="AH165" s="20"/>
      <c r="AI165" s="20"/>
      <c r="AJ165" s="20"/>
      <c r="AK165" s="20"/>
      <c r="AL165" s="20"/>
      <c r="AM165" s="20"/>
      <c r="AN165" s="20"/>
      <c r="AO165" s="20"/>
      <c r="AP165" s="20"/>
      <c r="AQ165" s="20"/>
      <c r="AR165" s="20"/>
      <c r="AS165" s="20"/>
      <c r="AT165" s="20"/>
      <c r="AU165" s="20"/>
      <c r="AV165" s="20"/>
      <c r="AW165" s="20"/>
      <c r="AX165" s="20"/>
      <c r="AY165" s="20"/>
      <c r="AZ165" s="20"/>
      <c r="BA165" s="20"/>
      <c r="BB165" s="20"/>
      <c r="BC165" s="20"/>
      <c r="BD165" s="20"/>
      <c r="BE165" s="20"/>
      <c r="BF165" s="20"/>
      <c r="BG165" s="20"/>
      <c r="BH165" s="20"/>
    </row>
    <row r="166" spans="1:60" x14ac:dyDescent="0.25">
      <c r="A166" s="63" t="s">
        <v>27</v>
      </c>
      <c r="B166" s="63" t="s">
        <v>341</v>
      </c>
      <c r="C166" s="21" t="str">
        <f>IF(T166="TRUE",VLOOKUP(A166,'Stock Nodes'!$A$1:$D$63,4,FALSE),IF(U166="TRUE",VLOOKUP(A166,'CTT Nodes'!$A$1:$D$83,4,FALSE),VLOOKUP(A166,'ETT Nodes'!$A$1:$D$87,3,FALSE)))</f>
        <v>Advanced Off-World Mining</v>
      </c>
      <c r="D166" s="21" t="str">
        <f>"Node"&amp;TEXT(X166,"0")&amp;"_"&amp;A166</f>
        <v>Node10_advOffworldMining</v>
      </c>
      <c r="E166" s="22" t="str">
        <f>IF(OR(V166="TRUE",B166&lt;&gt;C166),"#LOC_ETT_"&amp;A166&amp;"_description",IF(T166="TRUE",VLOOKUP(A166,'Stock Nodes'!$A$1:$C$63,2,FALSE),IF(U166="TRUE",VLOOKUP(A166,'CTT Nodes'!$A$1:$D$83,2,FALSE))))</f>
        <v>#LOC_ETT_advOffworldMining_description</v>
      </c>
      <c r="F166" s="58">
        <v>1000</v>
      </c>
      <c r="G166" s="21">
        <f t="array" ref="G166">INDEX(TNodeCols,MATCH(1,MMULT(--(TTechTree=A166),TRANSPOSE(COLUMN(TTechTree)^0)),0))</f>
        <v>-2815.5000000000036</v>
      </c>
      <c r="H166" s="21">
        <f t="array" ref="H166">INDEX(NodeRows,MATCH(1,MMULT(--(TechTree=A166),TRANSPOSE(COLUMN(TechTree)^0)),0))</f>
        <v>949</v>
      </c>
      <c r="I166" s="63" t="str">
        <f>TEXT(G166,"0") &amp; ", " &amp; TEXT(H166,"0") &amp;", -2"</f>
        <v>-2816, 949, -2</v>
      </c>
      <c r="J166" s="63" t="str">
        <f>IF(T166="TRUE",VLOOKUP(A166,'Stock Nodes'!$A$1:$C$63,3,FALSE),IF(U166="TRUE",VLOOKUP(A166,'CTT Nodes'!$A$1:$G$83,7,FALSE),VLOOKUP(A166,'ETT Nodes'!$A$1:$E$87,5,FALSE)))</f>
        <v>ETTR/UI/CTT/RDicon_fuelSystems-advanced</v>
      </c>
      <c r="K166" s="63" t="s">
        <v>533</v>
      </c>
      <c r="L166" s="63" t="s">
        <v>2069</v>
      </c>
      <c r="M166" s="63" t="s">
        <v>2068</v>
      </c>
      <c r="N166" s="63"/>
      <c r="O166" s="63"/>
      <c r="P166" s="63"/>
      <c r="Q166" s="63"/>
      <c r="R166" s="63"/>
      <c r="S166" s="63"/>
      <c r="T166" s="25" t="str">
        <f>IF(ISNA(VLOOKUP(A166,'Stock Nodes'!$A$1:$C$63,1,FALSE)),"FALSE","TRUE")</f>
        <v>FALSE</v>
      </c>
      <c r="U166" s="25" t="str">
        <f>IF(ISNA(VLOOKUP(A166,'CTT Nodes'!$A$1:$D$83,1,FALSE)),"FALSE","TRUE")</f>
        <v>TRUE</v>
      </c>
      <c r="V166" s="25" t="str">
        <f>IF(OR(T166="TRUE",U166="TRUE"),"FALSE","TRUE")</f>
        <v>FALSE</v>
      </c>
      <c r="W166" s="63">
        <v>164</v>
      </c>
      <c r="X166" s="59">
        <v>10</v>
      </c>
      <c r="Y166" s="20"/>
      <c r="Z166" s="20"/>
      <c r="AA166" s="20"/>
      <c r="AB166" s="20"/>
      <c r="AC166" s="20"/>
      <c r="AD166" s="20"/>
      <c r="AE166" s="20"/>
      <c r="AF166" s="20"/>
      <c r="AG166" s="20"/>
      <c r="AH166" s="20"/>
      <c r="AI166" s="20"/>
      <c r="AJ166" s="20"/>
      <c r="AK166" s="20"/>
      <c r="AL166" s="20"/>
      <c r="AM166" s="20"/>
      <c r="AN166" s="20"/>
      <c r="AO166" s="20"/>
      <c r="AP166" s="20"/>
      <c r="AQ166" s="20"/>
      <c r="AR166" s="20"/>
      <c r="AS166" s="20"/>
      <c r="AT166" s="20"/>
      <c r="AU166" s="20"/>
      <c r="AV166" s="20"/>
      <c r="AW166" s="20"/>
      <c r="AX166" s="20"/>
      <c r="AY166" s="20"/>
      <c r="AZ166" s="20"/>
      <c r="BA166" s="20"/>
      <c r="BB166" s="20"/>
      <c r="BC166" s="20"/>
      <c r="BD166" s="20"/>
      <c r="BE166" s="20"/>
      <c r="BF166" s="20"/>
      <c r="BG166" s="20"/>
      <c r="BH166" s="20"/>
    </row>
    <row r="167" spans="1:60" x14ac:dyDescent="0.25">
      <c r="A167" s="14" t="s">
        <v>25</v>
      </c>
      <c r="B167" s="21" t="s">
        <v>26</v>
      </c>
      <c r="C167" s="21" t="str">
        <f>IF(T167="TRUE",VLOOKUP(A167,'Stock Nodes'!$A$1:$D$63,4,FALSE),IF(U167="TRUE",VLOOKUP(A167,'CTT Nodes'!$A$1:$D$83,4,FALSE),VLOOKUP(A167,'ETT Nodes'!$A$1:$D$87,3,FALSE)))</f>
        <v>Resource Exploitation</v>
      </c>
      <c r="D167" s="21" t="str">
        <f>"Node"&amp;TEXT(X167,"0")&amp;"_"&amp;A167</f>
        <v>Node13_resourceExploitation</v>
      </c>
      <c r="E167" s="22" t="str">
        <f>IF(OR(V167="TRUE",B167&lt;&gt;C167),"#LOC_ETT_"&amp;A167&amp;"_description",IF(T167="TRUE",VLOOKUP(A167,'Stock Nodes'!$A$1:$C$63,2,FALSE),IF(U167="TRUE",VLOOKUP(A167,'CTT Nodes'!$A$1:$D$83,2,FALSE))))</f>
        <v>#LOC_CTT_resourceExploitation_description</v>
      </c>
      <c r="F167" s="58">
        <v>2250</v>
      </c>
      <c r="G167" s="21">
        <f t="array" ref="G167">INDEX(TNodeCols,MATCH(1,MMULT(--(TTechTree=A167),TRANSPOSE(COLUMN(TTechTree)^0)),0))</f>
        <v>-2893.8000000000038</v>
      </c>
      <c r="H167" s="21">
        <f t="array" ref="H167">INDEX(NodeRows,MATCH(1,MMULT(--(TechTree=A167),TRANSPOSE(COLUMN(TechTree)^0)),0))</f>
        <v>949</v>
      </c>
      <c r="I167" s="63" t="str">
        <f>TEXT(G167,"0") &amp; ", " &amp; TEXT(H167,"0") &amp;", -2"</f>
        <v>-2894, 949, -2</v>
      </c>
      <c r="J167" s="63" t="str">
        <f>IF(T167="TRUE",VLOOKUP(A167,'Stock Nodes'!$A$1:$C$63,3,FALSE),IF(U167="TRUE",VLOOKUP(A167,'CTT Nodes'!$A$1:$G$83,7,FALSE),VLOOKUP(A167,'ETT Nodes'!$A$1:$E$87,5,FALSE)))</f>
        <v>ETTR/UI/CTT/RDicon_fuelSystems-advanced</v>
      </c>
      <c r="K167" s="21" t="s">
        <v>27</v>
      </c>
      <c r="L167" s="63" t="s">
        <v>2069</v>
      </c>
      <c r="M167" s="63" t="s">
        <v>2068</v>
      </c>
      <c r="N167" s="63"/>
      <c r="O167" s="63"/>
      <c r="P167" s="63"/>
      <c r="Q167" s="6"/>
      <c r="R167" s="63"/>
      <c r="S167" s="63"/>
      <c r="T167" s="25" t="str">
        <f>IF(ISNA(VLOOKUP(A167,'Stock Nodes'!$A$1:$C$63,1,FALSE)),"FALSE","TRUE")</f>
        <v>FALSE</v>
      </c>
      <c r="U167" s="25" t="str">
        <f>IF(ISNA(VLOOKUP(A167,'CTT Nodes'!$A$1:$D$83,1,FALSE)),"FALSE","TRUE")</f>
        <v>TRUE</v>
      </c>
      <c r="V167" s="25" t="str">
        <f>IF(OR(T167="TRUE",U167="TRUE"),"FALSE","TRUE")</f>
        <v>FALSE</v>
      </c>
      <c r="W167" s="68">
        <v>165</v>
      </c>
      <c r="X167" s="59">
        <v>13</v>
      </c>
      <c r="Y167" s="20"/>
      <c r="Z167" s="20"/>
      <c r="AA167" s="20"/>
      <c r="AB167" s="20"/>
      <c r="AC167" s="20"/>
      <c r="AD167" s="20"/>
      <c r="AE167" s="20"/>
      <c r="AF167" s="20"/>
      <c r="AG167" s="20"/>
      <c r="AH167" s="20"/>
      <c r="AI167" s="20"/>
      <c r="AJ167" s="20"/>
      <c r="AK167" s="20"/>
      <c r="AL167" s="20"/>
      <c r="AM167" s="20"/>
      <c r="AN167" s="20"/>
      <c r="AO167" s="20"/>
      <c r="AP167" s="20"/>
      <c r="AQ167" s="20"/>
      <c r="AR167" s="20"/>
      <c r="AS167" s="20"/>
      <c r="AT167" s="20"/>
      <c r="AU167" s="20"/>
      <c r="AV167" s="20"/>
      <c r="AW167" s="20"/>
      <c r="AX167" s="20"/>
      <c r="AY167" s="20"/>
      <c r="AZ167" s="20"/>
      <c r="BA167" s="20"/>
      <c r="BB167" s="20"/>
      <c r="BC167" s="20"/>
      <c r="BD167" s="20"/>
      <c r="BE167" s="20"/>
      <c r="BF167" s="20"/>
      <c r="BG167" s="20"/>
      <c r="BH167" s="20"/>
    </row>
    <row r="168" spans="1:60" x14ac:dyDescent="0.25">
      <c r="A168" s="14" t="s">
        <v>88</v>
      </c>
      <c r="B168" s="21" t="s">
        <v>312</v>
      </c>
      <c r="C168" s="21" t="str">
        <f>IF(T168="TRUE",VLOOKUP(A168,'Stock Nodes'!$A$1:$D$63,4,FALSE),IF(U168="TRUE",VLOOKUP(A168,'CTT Nodes'!$A$1:$D$83,4,FALSE),VLOOKUP(A168,'ETT Nodes'!$A$1:$D$87,3,FALSE)))</f>
        <v>Unmanned Tech</v>
      </c>
      <c r="D168" s="21" t="str">
        <f>"Node"&amp;TEXT(X168,"0")&amp;"_"&amp;A168</f>
        <v>Node4_unmannedTech</v>
      </c>
      <c r="E168" s="22" t="str">
        <f>IF(OR(V168="TRUE",B168&lt;&gt;C168),"#LOC_ETT_"&amp;A168&amp;"_description",IF(T168="TRUE",VLOOKUP(A168,'Stock Nodes'!$A$1:$C$63,2,FALSE),IF(U168="TRUE",VLOOKUP(A168,'CTT Nodes'!$A$1:$D$83,2,FALSE))))</f>
        <v>#LOC_ETT_unmannedTech_description</v>
      </c>
      <c r="F168" s="58">
        <v>70</v>
      </c>
      <c r="G168" s="21">
        <f t="array" ref="G168">INDEX(TNodeCols,MATCH(1,MMULT(--(TTechTree=A168),TRANSPOSE(COLUMN(TTechTree)^0)),0))</f>
        <v>-2424.0000000000027</v>
      </c>
      <c r="H168" s="21">
        <f t="array" ref="H168">INDEX(NodeRows,MATCH(1,MMULT(--(TechTree=A168),TRANSPOSE(COLUMN(TechTree)^0)),0))</f>
        <v>721</v>
      </c>
      <c r="I168" s="63" t="str">
        <f>TEXT(G168,"0") &amp; ", " &amp; TEXT(H168,"0") &amp;", -2"</f>
        <v>-2424, 721, -2</v>
      </c>
      <c r="J168" s="63" t="str">
        <f>IF(T168="TRUE",VLOOKUP(A168,'Stock Nodes'!$A$1:$C$63,3,FALSE),IF(U168="TRUE",VLOOKUP(A168,'CTT Nodes'!$A$1:$G$83,7,FALSE),VLOOKUP(A168,'ETT Nodes'!$A$1:$E$87,5,FALSE)))</f>
        <v>RDicon_unmanned-advanced</v>
      </c>
      <c r="K168" s="63" t="s">
        <v>131</v>
      </c>
      <c r="L168" s="63" t="s">
        <v>2070</v>
      </c>
      <c r="M168" s="63" t="s">
        <v>2067</v>
      </c>
      <c r="N168" s="6"/>
      <c r="O168" s="63"/>
      <c r="P168" s="63"/>
      <c r="Q168" s="6"/>
      <c r="R168" s="63"/>
      <c r="S168" s="63"/>
      <c r="T168" s="25" t="str">
        <f>IF(ISNA(VLOOKUP(A168,'Stock Nodes'!$A$1:$C$63,1,FALSE)),"FALSE","TRUE")</f>
        <v>TRUE</v>
      </c>
      <c r="U168" s="25" t="str">
        <f>IF(ISNA(VLOOKUP(A168,'CTT Nodes'!$A$1:$D$83,1,FALSE)),"FALSE","TRUE")</f>
        <v>FALSE</v>
      </c>
      <c r="V168" s="25" t="str">
        <f>IF(OR(T168="TRUE",U168="TRUE"),"FALSE","TRUE")</f>
        <v>FALSE</v>
      </c>
      <c r="W168" s="68">
        <v>166</v>
      </c>
      <c r="X168" s="59">
        <v>4</v>
      </c>
      <c r="Y168" s="20"/>
      <c r="Z168" s="20"/>
      <c r="AA168" s="20"/>
      <c r="AB168" s="20"/>
      <c r="AC168" s="20"/>
      <c r="AD168" s="20"/>
      <c r="AE168" s="20"/>
      <c r="AF168" s="20"/>
      <c r="AG168" s="20"/>
      <c r="AH168" s="20"/>
      <c r="AI168" s="20"/>
      <c r="AJ168" s="20"/>
      <c r="AK168" s="20"/>
      <c r="AL168" s="20"/>
      <c r="AM168" s="20"/>
      <c r="AN168" s="20"/>
      <c r="AO168" s="20"/>
      <c r="AP168" s="20"/>
      <c r="AQ168" s="20"/>
      <c r="AR168" s="20"/>
      <c r="AS168" s="20"/>
      <c r="AT168" s="20"/>
      <c r="AU168" s="20"/>
      <c r="AV168" s="20"/>
      <c r="AW168" s="20"/>
      <c r="AX168" s="20"/>
      <c r="AY168" s="20"/>
      <c r="AZ168" s="20"/>
      <c r="BA168" s="20"/>
      <c r="BB168" s="20"/>
      <c r="BC168" s="20"/>
      <c r="BD168" s="20"/>
      <c r="BE168" s="20"/>
      <c r="BF168" s="20"/>
      <c r="BG168" s="20"/>
      <c r="BH168" s="20"/>
    </row>
    <row r="169" spans="1:60" x14ac:dyDescent="0.25">
      <c r="A169" s="14" t="s">
        <v>157</v>
      </c>
      <c r="B169" s="21" t="s">
        <v>350</v>
      </c>
      <c r="C169" s="21" t="str">
        <f>IF(T169="TRUE",VLOOKUP(A169,'Stock Nodes'!$A$1:$D$63,4,FALSE),IF(U169="TRUE",VLOOKUP(A169,'CTT Nodes'!$A$1:$D$83,4,FALSE),VLOOKUP(A169,'ETT Nodes'!$A$1:$D$87,3,FALSE)))</f>
        <v>Advanced Unmanned Tech</v>
      </c>
      <c r="D169" s="21" t="str">
        <f>"Node"&amp;TEXT(X169,"0")&amp;"_"&amp;A169</f>
        <v>Node5_advUnmanned</v>
      </c>
      <c r="E169" s="22" t="str">
        <f>IF(OR(V169="TRUE",B169&lt;&gt;C169),"#LOC_ETT_"&amp;A169&amp;"_description",IF(T169="TRUE",VLOOKUP(A169,'Stock Nodes'!$A$1:$C$63,2,FALSE),IF(U169="TRUE",VLOOKUP(A169,'CTT Nodes'!$A$1:$D$83,2,FALSE))))</f>
        <v>#LOC_ETT_advUnmanned_description</v>
      </c>
      <c r="F169" s="58">
        <v>125</v>
      </c>
      <c r="G169" s="21">
        <f t="array" ref="G169">INDEX(TNodeCols,MATCH(1,MMULT(--(TTechTree=A169),TRANSPOSE(COLUMN(TTechTree)^0)),0))</f>
        <v>-2424.0000000000027</v>
      </c>
      <c r="H169" s="21">
        <f t="array" ref="H169">INDEX(NodeRows,MATCH(1,MMULT(--(TechTree=A169),TRANSPOSE(COLUMN(TechTree)^0)),0))</f>
        <v>645</v>
      </c>
      <c r="I169" s="63" t="str">
        <f>TEXT(G169,"0") &amp; ", " &amp; TEXT(H169,"0") &amp;", -2"</f>
        <v>-2424, 645, -2</v>
      </c>
      <c r="J169" s="63" t="str">
        <f>IF(T169="TRUE",VLOOKUP(A169,'Stock Nodes'!$A$1:$C$63,3,FALSE),IF(U169="TRUE",VLOOKUP(A169,'CTT Nodes'!$A$1:$G$83,7,FALSE),VLOOKUP(A169,'ETT Nodes'!$A$1:$E$87,5,FALSE)))</f>
        <v>RDicon_unmannedTech</v>
      </c>
      <c r="K169" s="21" t="s">
        <v>88</v>
      </c>
      <c r="L169" s="63" t="s">
        <v>2070</v>
      </c>
      <c r="M169" s="63" t="s">
        <v>2067</v>
      </c>
      <c r="N169" s="67" t="s">
        <v>547</v>
      </c>
      <c r="O169" s="63" t="s">
        <v>2069</v>
      </c>
      <c r="P169" s="63" t="s">
        <v>2068</v>
      </c>
      <c r="Q169" s="6"/>
      <c r="R169" s="63"/>
      <c r="S169" s="63"/>
      <c r="T169" s="25" t="str">
        <f>IF(ISNA(VLOOKUP(A169,'Stock Nodes'!$A$1:$C$63,1,FALSE)),"FALSE","TRUE")</f>
        <v>TRUE</v>
      </c>
      <c r="U169" s="25" t="str">
        <f>IF(ISNA(VLOOKUP(A169,'CTT Nodes'!$A$1:$D$83,1,FALSE)),"FALSE","TRUE")</f>
        <v>FALSE</v>
      </c>
      <c r="V169" s="25" t="str">
        <f>IF(OR(T169="TRUE",U169="TRUE"),"FALSE","TRUE")</f>
        <v>FALSE</v>
      </c>
      <c r="W169" s="63">
        <v>167</v>
      </c>
      <c r="X169" s="59">
        <v>5</v>
      </c>
      <c r="Y169" s="20"/>
      <c r="Z169" s="20"/>
      <c r="AA169" s="20"/>
      <c r="AB169" s="20"/>
      <c r="AC169" s="20"/>
      <c r="AD169" s="20"/>
      <c r="AE169" s="20"/>
      <c r="AF169" s="20"/>
      <c r="AG169" s="20"/>
      <c r="AH169" s="20"/>
      <c r="AI169" s="20"/>
      <c r="AJ169" s="20"/>
      <c r="AK169" s="20"/>
      <c r="AL169" s="20"/>
      <c r="AM169" s="20"/>
      <c r="AN169" s="20"/>
      <c r="AO169" s="20"/>
      <c r="AP169" s="20"/>
      <c r="AQ169" s="20"/>
      <c r="AR169" s="20"/>
      <c r="AS169" s="20"/>
      <c r="AT169" s="20"/>
      <c r="AU169" s="20"/>
      <c r="AV169" s="20"/>
      <c r="AW169" s="20"/>
      <c r="AX169" s="20"/>
      <c r="AY169" s="20"/>
      <c r="AZ169" s="20"/>
      <c r="BA169" s="20"/>
      <c r="BB169" s="20"/>
      <c r="BC169" s="20"/>
      <c r="BD169" s="20"/>
      <c r="BE169" s="20"/>
      <c r="BF169" s="20"/>
      <c r="BG169" s="20"/>
      <c r="BH169" s="20"/>
    </row>
    <row r="170" spans="1:60" x14ac:dyDescent="0.25">
      <c r="A170" s="21" t="s">
        <v>408</v>
      </c>
      <c r="B170" s="21" t="s">
        <v>366</v>
      </c>
      <c r="C170" s="21" t="str">
        <f>IF(T170="TRUE",VLOOKUP(A170,'Stock Nodes'!$A$1:$D$63,4,FALSE),IF(U170="TRUE",VLOOKUP(A170,'CTT Nodes'!$A$1:$D$83,4,FALSE),VLOOKUP(A170,'ETT Nodes'!$A$1:$D$87,3,FALSE)))</f>
        <v>Large Probes</v>
      </c>
      <c r="D170" s="21" t="str">
        <f>"Node"&amp;TEXT(X170,"0")&amp;"_"&amp;A170</f>
        <v>Node6_largeUnmanned</v>
      </c>
      <c r="E170" s="22" t="str">
        <f>IF(OR(V170="TRUE",B170&lt;&gt;C170),"#LOC_ETT_"&amp;A170&amp;"_description",IF(T170="TRUE",VLOOKUP(A170,'Stock Nodes'!$A$1:$C$63,2,FALSE),IF(U170="TRUE",VLOOKUP(A170,'CTT Nodes'!$A$1:$D$83,2,FALSE))))</f>
        <v>#LOC_ETT_largeUnmanned_description</v>
      </c>
      <c r="F170" s="58">
        <v>250</v>
      </c>
      <c r="G170" s="63">
        <f t="array" ref="G170">INDEX(TNodeCols,MATCH(1,MMULT(--(TTechTree=A170),TRANSPOSE(COLUMN(TTechTree)^0)),0))</f>
        <v>-2424.0000000000027</v>
      </c>
      <c r="H170" s="21">
        <f t="array" ref="H170">INDEX(NodeRows,MATCH(1,MMULT(--(TechTree=A170),TRANSPOSE(COLUMN(TechTree)^0)),0))</f>
        <v>569</v>
      </c>
      <c r="I170" s="63" t="str">
        <f>TEXT(G170,"0") &amp; ", " &amp; TEXT(H170,"0") &amp;", -2"</f>
        <v>-2424, 569, -2</v>
      </c>
      <c r="J170" s="63" t="str">
        <f>IF(T170="TRUE",VLOOKUP(A170,'Stock Nodes'!$A$1:$C$63,3,FALSE),IF(U170="TRUE",VLOOKUP(A170,'CTT Nodes'!$A$1:$G$83,7,FALSE),VLOOKUP(A170,'ETT Nodes'!$A$1:$E$87,5,FALSE)))</f>
        <v>RDicon_probes-large</v>
      </c>
      <c r="K170" s="63" t="s">
        <v>157</v>
      </c>
      <c r="L170" s="63" t="s">
        <v>2070</v>
      </c>
      <c r="M170" s="63" t="s">
        <v>2067</v>
      </c>
      <c r="N170" s="6"/>
      <c r="O170" s="63"/>
      <c r="P170" s="63"/>
      <c r="Q170" s="6"/>
      <c r="R170" s="63"/>
      <c r="S170" s="63"/>
      <c r="T170" s="25" t="str">
        <f>IF(ISNA(VLOOKUP(A170,'Stock Nodes'!$A$1:$C$63,1,FALSE)),"FALSE","TRUE")</f>
        <v>TRUE</v>
      </c>
      <c r="U170" s="25" t="str">
        <f>IF(ISNA(VLOOKUP(A170,'CTT Nodes'!$A$1:$D$83,1,FALSE)),"FALSE","TRUE")</f>
        <v>FALSE</v>
      </c>
      <c r="V170" s="25" t="str">
        <f>IF(OR(T170="TRUE",U170="TRUE"),"FALSE","TRUE")</f>
        <v>FALSE</v>
      </c>
      <c r="W170" s="68">
        <v>168</v>
      </c>
      <c r="X170" s="59">
        <v>6</v>
      </c>
      <c r="Y170" s="20"/>
      <c r="Z170" s="20"/>
      <c r="AA170" s="20"/>
      <c r="AB170" s="20"/>
      <c r="AC170" s="20"/>
      <c r="AD170" s="20"/>
      <c r="AE170" s="20"/>
      <c r="AF170" s="20"/>
      <c r="AG170" s="20"/>
      <c r="AH170" s="20"/>
      <c r="AI170" s="20"/>
      <c r="AJ170" s="20"/>
      <c r="AK170" s="20"/>
      <c r="AL170" s="20"/>
      <c r="AM170" s="20"/>
      <c r="AN170" s="20"/>
      <c r="AO170" s="20"/>
      <c r="AP170" s="20"/>
      <c r="AQ170" s="20"/>
      <c r="AR170" s="20"/>
      <c r="AS170" s="20"/>
      <c r="AT170" s="20"/>
      <c r="AU170" s="20"/>
      <c r="AV170" s="20"/>
      <c r="AW170" s="20"/>
      <c r="AX170" s="20"/>
      <c r="AY170" s="20"/>
      <c r="AZ170" s="20"/>
      <c r="BA170" s="20"/>
      <c r="BB170" s="20"/>
      <c r="BC170" s="20"/>
      <c r="BD170" s="20"/>
      <c r="BE170" s="20"/>
      <c r="BF170" s="20"/>
      <c r="BG170" s="20"/>
      <c r="BH170" s="20"/>
    </row>
    <row r="171" spans="1:60" x14ac:dyDescent="0.25">
      <c r="A171" s="14" t="s">
        <v>554</v>
      </c>
      <c r="B171" s="21" t="s">
        <v>342</v>
      </c>
      <c r="C171" s="21" t="str">
        <f>IF(T171="TRUE",VLOOKUP(A171,'Stock Nodes'!$A$1:$D$63,4,FALSE),IF(U171="TRUE",VLOOKUP(A171,'CTT Nodes'!$A$1:$D$83,4,FALSE),VLOOKUP(A171,'ETT Nodes'!$A$1:$D$87,3,FALSE)))</f>
        <v>Deep Space Probes</v>
      </c>
      <c r="D171" s="21" t="str">
        <f>"Node"&amp;TEXT(X171,"0")&amp;"_"&amp;A171</f>
        <v>Node8_experimentalProbes</v>
      </c>
      <c r="E171" s="22" t="str">
        <f>IF(OR(V171="TRUE",B171&lt;&gt;C171),"#LOC_ETT_"&amp;A171&amp;"_description",IF(T171="TRUE",VLOOKUP(A171,'Stock Nodes'!$A$1:$C$63,2,FALSE),IF(U171="TRUE",VLOOKUP(A171,'CTT Nodes'!$A$1:$D$83,2,FALSE))))</f>
        <v>#LOC_ETT_experimentalProbes_description</v>
      </c>
      <c r="F171" s="58">
        <v>495</v>
      </c>
      <c r="G171" s="63">
        <f t="array" ref="G171">INDEX(TNodeCols,MATCH(1,MMULT(--(TTechTree=A171),TRANSPOSE(COLUMN(TTechTree)^0)),0))</f>
        <v>-2424.0000000000027</v>
      </c>
      <c r="H171" s="21">
        <f t="array" ref="H171">INDEX(NodeRows,MATCH(1,MMULT(--(TechTree=A171),TRANSPOSE(COLUMN(TechTree)^0)),0))</f>
        <v>493</v>
      </c>
      <c r="I171" s="63" t="str">
        <f>TEXT(G171,"0") &amp; ", " &amp; TEXT(H171,"0") &amp;", -2"</f>
        <v>-2424, 493, -2</v>
      </c>
      <c r="J171" s="63">
        <f>IF(T171="TRUE",VLOOKUP(A171,'Stock Nodes'!$A$1:$C$63,3,FALSE),IF(U171="TRUE",VLOOKUP(A171,'CTT Nodes'!$A$1:$G$83,7,FALSE),VLOOKUP(A171,'ETT Nodes'!$A$1:$E$87,5,FALSE)))</f>
        <v>0</v>
      </c>
      <c r="K171" s="21" t="s">
        <v>408</v>
      </c>
      <c r="L171" s="63" t="s">
        <v>2070</v>
      </c>
      <c r="M171" s="63" t="s">
        <v>2067</v>
      </c>
      <c r="N171" s="63" t="s">
        <v>502</v>
      </c>
      <c r="O171" s="63" t="s">
        <v>2069</v>
      </c>
      <c r="P171" s="63" t="s">
        <v>2068</v>
      </c>
      <c r="Q171" s="6"/>
      <c r="R171" s="63"/>
      <c r="S171" s="63"/>
      <c r="T171" s="25" t="str">
        <f>IF(ISNA(VLOOKUP(A171,'Stock Nodes'!$A$1:$C$63,1,FALSE)),"FALSE","TRUE")</f>
        <v>FALSE</v>
      </c>
      <c r="U171" s="25" t="str">
        <f>IF(ISNA(VLOOKUP(A171,'CTT Nodes'!$A$1:$D$83,1,FALSE)),"FALSE","TRUE")</f>
        <v>FALSE</v>
      </c>
      <c r="V171" s="25" t="str">
        <f>IF(OR(T171="TRUE",U171="TRUE"),"FALSE","TRUE")</f>
        <v>TRUE</v>
      </c>
      <c r="W171" s="68">
        <v>169</v>
      </c>
      <c r="X171" s="59">
        <v>8</v>
      </c>
      <c r="Y171" s="20"/>
      <c r="Z171" s="20"/>
      <c r="AA171" s="20"/>
      <c r="AB171" s="20"/>
      <c r="AC171" s="20"/>
      <c r="AD171" s="20"/>
      <c r="AE171" s="20"/>
      <c r="AF171" s="20"/>
      <c r="AG171" s="20"/>
      <c r="AH171" s="20"/>
      <c r="AI171" s="20"/>
      <c r="AJ171" s="20"/>
      <c r="AK171" s="20"/>
      <c r="AL171" s="20"/>
      <c r="AM171" s="20"/>
      <c r="AN171" s="20"/>
      <c r="AO171" s="20"/>
      <c r="AP171" s="20"/>
      <c r="AQ171" s="20"/>
      <c r="AR171" s="20"/>
      <c r="AS171" s="20"/>
      <c r="AT171" s="20"/>
      <c r="AU171" s="20"/>
      <c r="AV171" s="20"/>
      <c r="AW171" s="20"/>
      <c r="AX171" s="20"/>
      <c r="AY171" s="20"/>
      <c r="AZ171" s="20"/>
      <c r="BA171" s="20"/>
      <c r="BB171" s="20"/>
      <c r="BC171" s="20"/>
      <c r="BD171" s="20"/>
      <c r="BE171" s="20"/>
      <c r="BF171" s="20"/>
      <c r="BG171" s="20"/>
      <c r="BH171" s="20"/>
    </row>
    <row r="172" spans="1:60" x14ac:dyDescent="0.25">
      <c r="A172" s="21" t="s">
        <v>131</v>
      </c>
      <c r="B172" s="21" t="s">
        <v>86</v>
      </c>
      <c r="C172" s="21" t="str">
        <f>IF(T172="TRUE",VLOOKUP(A172,'Stock Nodes'!$A$1:$D$63,4,FALSE),IF(U172="TRUE",VLOOKUP(A172,'CTT Nodes'!$A$1:$D$83,4,FALSE),VLOOKUP(A172,'ETT Nodes'!$A$1:$D$87,3,FALSE)))</f>
        <v>Electronics</v>
      </c>
      <c r="D172" s="21" t="str">
        <f>"Node"&amp;TEXT(X172,"0")&amp;"_"&amp;A172</f>
        <v>Node3_electronics</v>
      </c>
      <c r="E172" s="22" t="str">
        <f>IF(OR(V172="TRUE",B172&lt;&gt;C172),"#LOC_ETT_"&amp;A172&amp;"_description",IF(T172="TRUE",VLOOKUP(A172,'Stock Nodes'!$A$1:$C$63,2,FALSE),IF(U172="TRUE",VLOOKUP(A172,'CTT Nodes'!$A$1:$D$83,2,FALSE))))</f>
        <v>#autoLOC_501107 //#autoLOC_501107 = Hopefully these won't become obsolete in the next couple of months.</v>
      </c>
      <c r="F172" s="58">
        <v>25</v>
      </c>
      <c r="G172" s="63">
        <f t="array" ref="G172">INDEX(TNodeCols,MATCH(1,MMULT(--(TTechTree=A172),TRANSPOSE(COLUMN(TTechTree)^0)),0))</f>
        <v>-2424.0000000000027</v>
      </c>
      <c r="H172" s="21">
        <f t="array" ref="H172">INDEX(NodeRows,MATCH(1,MMULT(--(TechTree=A172),TRANSPOSE(COLUMN(TechTree)^0)),0))</f>
        <v>797</v>
      </c>
      <c r="I172" s="63" t="str">
        <f>TEXT(G172,"0") &amp; ", " &amp; TEXT(H172,"0") &amp;", -2"</f>
        <v>-2424, 797, -2</v>
      </c>
      <c r="J172" s="63" t="str">
        <f>IF(T172="TRUE",VLOOKUP(A172,'Stock Nodes'!$A$1:$C$63,3,FALSE),IF(U172="TRUE",VLOOKUP(A172,'CTT Nodes'!$A$1:$G$83,7,FALSE),VLOOKUP(A172,'ETT Nodes'!$A$1:$E$87,5,FALSE)))</f>
        <v>RDicon_electronics</v>
      </c>
      <c r="K172" s="63" t="s">
        <v>85</v>
      </c>
      <c r="L172" s="63" t="s">
        <v>2070</v>
      </c>
      <c r="M172" s="63" t="s">
        <v>2067</v>
      </c>
      <c r="N172" s="63"/>
      <c r="O172" s="63"/>
      <c r="P172" s="63"/>
      <c r="Q172" s="63"/>
      <c r="R172" s="63"/>
      <c r="S172" s="63"/>
      <c r="T172" s="25" t="str">
        <f>IF(ISNA(VLOOKUP(A172,'Stock Nodes'!$A$1:$C$63,1,FALSE)),"FALSE","TRUE")</f>
        <v>TRUE</v>
      </c>
      <c r="U172" s="25" t="str">
        <f>IF(ISNA(VLOOKUP(A172,'CTT Nodes'!$A$1:$D$83,1,FALSE)),"FALSE","TRUE")</f>
        <v>FALSE</v>
      </c>
      <c r="V172" s="25" t="str">
        <f>IF(OR(T172="TRUE",U172="TRUE"),"FALSE","TRUE")</f>
        <v>FALSE</v>
      </c>
      <c r="W172" s="63">
        <v>170</v>
      </c>
      <c r="X172" s="59">
        <v>3</v>
      </c>
      <c r="Y172" s="20"/>
      <c r="Z172" s="20"/>
      <c r="AA172" s="20"/>
      <c r="AB172" s="20"/>
      <c r="AC172" s="20"/>
      <c r="AD172" s="20"/>
      <c r="AE172" s="20"/>
      <c r="AF172" s="20"/>
      <c r="AG172" s="20"/>
      <c r="AH172" s="20"/>
      <c r="AI172" s="20"/>
      <c r="AJ172" s="20"/>
      <c r="AK172" s="20"/>
      <c r="AL172" s="20"/>
      <c r="AM172" s="20"/>
      <c r="AN172" s="20"/>
      <c r="AO172" s="20"/>
      <c r="AP172" s="20"/>
      <c r="AQ172" s="20"/>
      <c r="AR172" s="20"/>
      <c r="AS172" s="20"/>
      <c r="AT172" s="20"/>
      <c r="AU172" s="20"/>
      <c r="AV172" s="20"/>
      <c r="AW172" s="20"/>
      <c r="AX172" s="20"/>
      <c r="AY172" s="20"/>
      <c r="AZ172" s="20"/>
      <c r="BA172" s="20"/>
      <c r="BB172" s="20"/>
      <c r="BC172" s="20"/>
      <c r="BD172" s="20"/>
      <c r="BE172" s="20"/>
      <c r="BF172" s="20"/>
      <c r="BG172" s="20"/>
      <c r="BH172" s="20"/>
    </row>
    <row r="173" spans="1:60" x14ac:dyDescent="0.25">
      <c r="A173" s="21" t="s">
        <v>499</v>
      </c>
      <c r="B173" s="21" t="s">
        <v>346</v>
      </c>
      <c r="C173" s="21" t="str">
        <f>IF(T173="TRUE",VLOOKUP(A173,'Stock Nodes'!$A$1:$D$63,4,FALSE),IF(U173="TRUE",VLOOKUP(A173,'CTT Nodes'!$A$1:$D$83,4,FALSE),VLOOKUP(A173,'ETT Nodes'!$A$1:$D$87,3,FALSE)))</f>
        <v>Quantum Computing</v>
      </c>
      <c r="D173" s="21" t="str">
        <f>"Node"&amp;TEXT(X173,"0")&amp;"_"&amp;A173</f>
        <v>Node10_quantumComputers</v>
      </c>
      <c r="E173" s="22" t="str">
        <f>IF(OR(V173="TRUE",B173&lt;&gt;C173),"#LOC_ETT_"&amp;A173&amp;"_description",IF(T173="TRUE",VLOOKUP(A173,'Stock Nodes'!$A$1:$C$63,2,FALSE),IF(U173="TRUE",VLOOKUP(A173,'CTT Nodes'!$A$1:$D$83,2,FALSE))))</f>
        <v>#LOC_ETT_quantumComputers_description</v>
      </c>
      <c r="F173" s="58">
        <v>1000</v>
      </c>
      <c r="G173" s="21">
        <f t="array" ref="G173">INDEX(TNodeCols,MATCH(1,MMULT(--(TTechTree=A173),TRANSPOSE(COLUMN(TTechTree)^0)),0))</f>
        <v>-2424.0000000000027</v>
      </c>
      <c r="H173" s="21">
        <f t="array" ref="H173">INDEX(NodeRows,MATCH(1,MMULT(--(TechTree=A173),TRANSPOSE(COLUMN(TechTree)^0)),0))</f>
        <v>417</v>
      </c>
      <c r="I173" s="63" t="str">
        <f>TEXT(G173,"0") &amp; ", " &amp; TEXT(H173,"0") &amp;", -2"</f>
        <v>-2424, 417, -2</v>
      </c>
      <c r="J173" s="63">
        <f>IF(T173="TRUE",VLOOKUP(A173,'Stock Nodes'!$A$1:$C$63,3,FALSE),IF(U173="TRUE",VLOOKUP(A173,'CTT Nodes'!$A$1:$G$83,7,FALSE),VLOOKUP(A173,'ETT Nodes'!$A$1:$E$87,5,FALSE)))</f>
        <v>0</v>
      </c>
      <c r="K173" s="63" t="s">
        <v>554</v>
      </c>
      <c r="L173" s="63" t="s">
        <v>2070</v>
      </c>
      <c r="M173" s="63" t="s">
        <v>2067</v>
      </c>
      <c r="N173" s="6"/>
      <c r="O173" s="63"/>
      <c r="P173" s="63"/>
      <c r="Q173" s="6"/>
      <c r="R173" s="63"/>
      <c r="S173" s="63"/>
      <c r="T173" s="25" t="str">
        <f>IF(ISNA(VLOOKUP(A173,'Stock Nodes'!$A$1:$C$63,1,FALSE)),"FALSE","TRUE")</f>
        <v>FALSE</v>
      </c>
      <c r="U173" s="25" t="str">
        <f>IF(ISNA(VLOOKUP(A173,'CTT Nodes'!$A$1:$D$83,1,FALSE)),"FALSE","TRUE")</f>
        <v>FALSE</v>
      </c>
      <c r="V173" s="25" t="str">
        <f>IF(OR(T173="TRUE",U173="TRUE"),"FALSE","TRUE")</f>
        <v>TRUE</v>
      </c>
      <c r="W173" s="68">
        <v>171</v>
      </c>
      <c r="X173" s="59">
        <v>10</v>
      </c>
      <c r="Y173" s="20"/>
      <c r="Z173" s="20"/>
      <c r="AA173" s="20"/>
      <c r="AB173" s="20"/>
      <c r="AC173" s="20"/>
      <c r="AD173" s="20"/>
      <c r="AE173" s="20"/>
      <c r="AF173" s="20"/>
      <c r="AG173" s="20"/>
      <c r="AH173" s="20"/>
      <c r="AI173" s="20"/>
      <c r="AJ173" s="20"/>
      <c r="AK173" s="20"/>
      <c r="AL173" s="20"/>
      <c r="AM173" s="20"/>
      <c r="AN173" s="20"/>
      <c r="AO173" s="20"/>
      <c r="AP173" s="20"/>
      <c r="AQ173" s="20"/>
      <c r="AR173" s="20"/>
      <c r="AS173" s="20"/>
      <c r="AT173" s="20"/>
      <c r="AU173" s="20"/>
      <c r="AV173" s="20"/>
      <c r="AW173" s="20"/>
      <c r="AX173" s="20"/>
      <c r="AY173" s="20"/>
      <c r="AZ173" s="20"/>
      <c r="BA173" s="20"/>
      <c r="BB173" s="20"/>
      <c r="BC173" s="20"/>
      <c r="BD173" s="20"/>
      <c r="BE173" s="20"/>
      <c r="BF173" s="20"/>
      <c r="BG173" s="20"/>
      <c r="BH173" s="20"/>
    </row>
    <row r="174" spans="1:60" x14ac:dyDescent="0.25">
      <c r="A174" s="14" t="s">
        <v>112</v>
      </c>
      <c r="B174" s="21" t="s">
        <v>242</v>
      </c>
      <c r="C174" s="21" t="str">
        <f>IF(T174="TRUE",VLOOKUP(A174,'Stock Nodes'!$A$1:$D$63,4,FALSE),IF(U174="TRUE",VLOOKUP(A174,'CTT Nodes'!$A$1:$D$83,4,FALSE),VLOOKUP(A174,'ETT Nodes'!$A$1:$D$87,3,FALSE)))</f>
        <v>Microwave Power Transmission</v>
      </c>
      <c r="D174" s="21" t="str">
        <f>"Node"&amp;TEXT(X174,"0")&amp;"_"&amp;A174</f>
        <v>Node11_microwavePowerTransmission</v>
      </c>
      <c r="E174" s="22" t="str">
        <f>IF(OR(V174="TRUE",B174&lt;&gt;C174),"#LOC_ETT_"&amp;A174&amp;"_description",IF(T174="TRUE",VLOOKUP(A174,'Stock Nodes'!$A$1:$C$63,2,FALSE),IF(U174="TRUE",VLOOKUP(A174,'CTT Nodes'!$A$1:$D$83,2,FALSE))))</f>
        <v>#LOC_ETT_microwavePowerTransmission_description</v>
      </c>
      <c r="F174" s="58">
        <v>1500</v>
      </c>
      <c r="G174" s="21">
        <f t="array" ref="G174">INDEX(TNodeCols,MATCH(1,MMULT(--(TTechTree=A174),TRANSPOSE(COLUMN(TTechTree)^0)),0))</f>
        <v>-1954.2000000000016</v>
      </c>
      <c r="H174" s="21">
        <f t="array" ref="H174">INDEX(NodeRows,MATCH(1,MMULT(--(TechTree=A174),TRANSPOSE(COLUMN(TechTree)^0)),0))</f>
        <v>265</v>
      </c>
      <c r="I174" s="63" t="str">
        <f>TEXT(G174,"0") &amp; ", " &amp; TEXT(H174,"0") &amp;", -2"</f>
        <v>-1954, 265, -2</v>
      </c>
      <c r="J174" s="63" t="str">
        <f>IF(T174="TRUE",VLOOKUP(A174,'Stock Nodes'!$A$1:$C$63,3,FALSE),IF(U174="TRUE",VLOOKUP(A174,'CTT Nodes'!$A$1:$G$83,7,FALSE),VLOOKUP(A174,'ETT Nodes'!$A$1:$E$87,5,FALSE)))</f>
        <v>ETTR/UI/CTT/ctt_icon_microwavePower</v>
      </c>
      <c r="K174" s="6" t="s">
        <v>181</v>
      </c>
      <c r="L174" s="63" t="s">
        <v>2068</v>
      </c>
      <c r="M174" s="63" t="s">
        <v>2067</v>
      </c>
      <c r="N174" s="21"/>
      <c r="O174" s="63"/>
      <c r="P174" s="63"/>
      <c r="Q174" s="6"/>
      <c r="R174" s="63"/>
      <c r="S174" s="63"/>
      <c r="T174" s="25" t="str">
        <f>IF(ISNA(VLOOKUP(A174,'Stock Nodes'!$A$1:$C$63,1,FALSE)),"FALSE","TRUE")</f>
        <v>FALSE</v>
      </c>
      <c r="U174" s="25" t="str">
        <f>IF(ISNA(VLOOKUP(A174,'CTT Nodes'!$A$1:$D$83,1,FALSE)),"FALSE","TRUE")</f>
        <v>TRUE</v>
      </c>
      <c r="V174" s="25" t="str">
        <f>IF(OR(T174="TRUE",U174="TRUE"),"FALSE","TRUE")</f>
        <v>FALSE</v>
      </c>
      <c r="W174" s="68">
        <v>172</v>
      </c>
      <c r="X174" s="59">
        <v>11</v>
      </c>
      <c r="Y174" s="20"/>
      <c r="Z174" s="20"/>
      <c r="AA174" s="20"/>
      <c r="AB174" s="20"/>
      <c r="AC174" s="20"/>
      <c r="AD174" s="20"/>
      <c r="AE174" s="20"/>
      <c r="AF174" s="20"/>
      <c r="AG174" s="20"/>
      <c r="AH174" s="20"/>
      <c r="AI174" s="20"/>
      <c r="AJ174" s="20"/>
      <c r="AK174" s="20"/>
      <c r="AL174" s="20"/>
      <c r="AM174" s="20"/>
      <c r="AN174" s="20"/>
      <c r="AO174" s="20"/>
      <c r="AP174" s="20"/>
      <c r="AQ174" s="20"/>
      <c r="AR174" s="20"/>
      <c r="AS174" s="20"/>
      <c r="AT174" s="20"/>
      <c r="AU174" s="20"/>
      <c r="AV174" s="20"/>
      <c r="AW174" s="20"/>
      <c r="AX174" s="20"/>
      <c r="AY174" s="20"/>
      <c r="AZ174" s="20"/>
      <c r="BA174" s="20"/>
      <c r="BB174" s="20"/>
      <c r="BC174" s="20"/>
      <c r="BD174" s="20"/>
      <c r="BE174" s="20"/>
      <c r="BF174" s="20"/>
      <c r="BG174" s="20"/>
      <c r="BH174" s="20"/>
    </row>
    <row r="175" spans="1:60" x14ac:dyDescent="0.25">
      <c r="A175" s="63" t="s">
        <v>479</v>
      </c>
      <c r="B175" s="21" t="s">
        <v>352</v>
      </c>
      <c r="C175" s="21" t="str">
        <f>IF(T175="TRUE",VLOOKUP(A175,'Stock Nodes'!$A$1:$D$63,4,FALSE),IF(U175="TRUE",VLOOKUP(A175,'CTT Nodes'!$A$1:$D$83,4,FALSE),VLOOKUP(A175,'ETT Nodes'!$A$1:$D$87,3,FALSE)))</f>
        <v>Advanced Microwave Propulsion</v>
      </c>
      <c r="D175" s="21" t="str">
        <f>"Node"&amp;TEXT(X175,"0")&amp;"_"&amp;A175</f>
        <v>Node16_advMicrowavePropulsion</v>
      </c>
      <c r="E175" s="22" t="str">
        <f>IF(OR(V175="TRUE",B175&lt;&gt;C175),"#LOC_ETT_"&amp;A175&amp;"_description",IF(T175="TRUE",VLOOKUP(A175,'Stock Nodes'!$A$1:$C$63,2,FALSE),IF(U175="TRUE",VLOOKUP(A175,'CTT Nodes'!$A$1:$D$83,2,FALSE))))</f>
        <v>#LOC_ETT_advMicrowavePropulsion_description</v>
      </c>
      <c r="F175" s="58">
        <v>4000</v>
      </c>
      <c r="G175" s="21">
        <f t="array" ref="G175">INDEX(TNodeCols,MATCH(1,MMULT(--(TTechTree=A175),TRANSPOSE(COLUMN(TTechTree)^0)),0))</f>
        <v>-1954.2000000000016</v>
      </c>
      <c r="H175" s="21">
        <f t="array" ref="H175">INDEX(NodeRows,MATCH(1,MMULT(--(TechTree=A175),TRANSPOSE(COLUMN(TechTree)^0)),0))</f>
        <v>189</v>
      </c>
      <c r="I175" s="63" t="str">
        <f>TEXT(G175,"0") &amp; ", " &amp; TEXT(H175,"0") &amp;", -2"</f>
        <v>-1954, 189, -2</v>
      </c>
      <c r="J175" s="63">
        <f>IF(T175="TRUE",VLOOKUP(A175,'Stock Nodes'!$A$1:$C$63,3,FALSE),IF(U175="TRUE",VLOOKUP(A175,'CTT Nodes'!$A$1:$G$83,7,FALSE),VLOOKUP(A175,'ETT Nodes'!$A$1:$E$87,5,FALSE)))</f>
        <v>0</v>
      </c>
      <c r="K175" s="63" t="s">
        <v>112</v>
      </c>
      <c r="L175" s="63" t="s">
        <v>2070</v>
      </c>
      <c r="M175" s="63" t="s">
        <v>2067</v>
      </c>
      <c r="N175" s="6"/>
      <c r="O175" s="63"/>
      <c r="P175" s="63"/>
      <c r="Q175" s="6"/>
      <c r="R175" s="63"/>
      <c r="S175" s="63"/>
      <c r="T175" s="25" t="str">
        <f>IF(ISNA(VLOOKUP(A175,'Stock Nodes'!$A$1:$C$63,1,FALSE)),"FALSE","TRUE")</f>
        <v>FALSE</v>
      </c>
      <c r="U175" s="25" t="str">
        <f>IF(ISNA(VLOOKUP(A175,'CTT Nodes'!$A$1:$D$83,1,FALSE)),"FALSE","TRUE")</f>
        <v>FALSE</v>
      </c>
      <c r="V175" s="25" t="str">
        <f>IF(OR(T175="TRUE",U175="TRUE"),"FALSE","TRUE")</f>
        <v>TRUE</v>
      </c>
      <c r="W175" s="63">
        <v>173</v>
      </c>
      <c r="X175" s="59">
        <v>16</v>
      </c>
      <c r="Y175" s="20"/>
      <c r="Z175" s="20"/>
      <c r="AA175" s="20"/>
      <c r="AB175" s="20"/>
      <c r="AC175" s="20"/>
      <c r="AD175" s="20"/>
      <c r="AE175" s="20"/>
      <c r="AF175" s="20"/>
      <c r="AG175" s="20"/>
      <c r="AH175" s="20"/>
      <c r="AI175" s="20"/>
      <c r="AJ175" s="20"/>
      <c r="AK175" s="20"/>
      <c r="AL175" s="20"/>
      <c r="AM175" s="20"/>
      <c r="AN175" s="20"/>
      <c r="AO175" s="20"/>
      <c r="AP175" s="20"/>
      <c r="AQ175" s="20"/>
      <c r="AR175" s="20"/>
      <c r="AS175" s="20"/>
      <c r="AT175" s="20"/>
      <c r="AU175" s="20"/>
      <c r="AV175" s="20"/>
      <c r="AW175" s="20"/>
      <c r="AX175" s="20"/>
      <c r="AY175" s="20"/>
      <c r="AZ175" s="20"/>
      <c r="BA175" s="20"/>
      <c r="BB175" s="20"/>
      <c r="BC175" s="20"/>
      <c r="BD175" s="20"/>
      <c r="BE175" s="20"/>
      <c r="BF175" s="20"/>
      <c r="BG175" s="20"/>
      <c r="BH175" s="20"/>
    </row>
    <row r="176" spans="1:60" x14ac:dyDescent="0.25">
      <c r="A176" s="63" t="s">
        <v>85</v>
      </c>
      <c r="B176" s="21" t="s">
        <v>463</v>
      </c>
      <c r="C176" s="21" t="str">
        <f>IF(T176="TRUE",VLOOKUP(A176,'Stock Nodes'!$A$1:$D$63,4,FALSE),IF(U176="TRUE",VLOOKUP(A176,'CTT Nodes'!$A$1:$D$83,4,FALSE),VLOOKUP(A176,'ETT Nodes'!$A$1:$D$87,3,FALSE)))</f>
        <v>Electrics</v>
      </c>
      <c r="D176" s="21" t="str">
        <f>"Node"&amp;TEXT(X176,"0")&amp;"_"&amp;A176</f>
        <v>Node0_electrics</v>
      </c>
      <c r="E176" s="22" t="str">
        <f>IF(OR(V176="TRUE",B176&lt;&gt;C176),"#LOC_ETT_"&amp;A176&amp;"_description",IF(T176="TRUE",VLOOKUP(A176,'Stock Nodes'!$A$1:$C$63,2,FALSE),IF(U176="TRUE",VLOOKUP(A176,'CTT Nodes'!$A$1:$D$83,2,FALSE))))</f>
        <v>#LOC_ETT_electrics_description</v>
      </c>
      <c r="F176" s="58">
        <v>0</v>
      </c>
      <c r="G176" s="21">
        <f t="array" ref="G176">INDEX(TNodeCols,MATCH(1,MMULT(--(TTechTree=A176),TRANSPOSE(COLUMN(TTechTree)^0)),0))</f>
        <v>-2110.800000000002</v>
      </c>
      <c r="H176" s="21">
        <f t="array" ref="H176">INDEX(NodeRows,MATCH(1,MMULT(--(TechTree=A176),TRANSPOSE(COLUMN(TechTree)^0)),0))</f>
        <v>949</v>
      </c>
      <c r="I176" s="63" t="str">
        <f>TEXT(G176,"0") &amp; ", " &amp; TEXT(H176,"0") &amp;", -2"</f>
        <v>-2111, 949, -2</v>
      </c>
      <c r="J176" s="63" t="str">
        <f>IF(T176="TRUE",VLOOKUP(A176,'Stock Nodes'!$A$1:$C$63,3,FALSE),IF(U176="TRUE",VLOOKUP(A176,'CTT Nodes'!$A$1:$G$83,7,FALSE),VLOOKUP(A176,'ETT Nodes'!$A$1:$E$87,5,FALSE)))</f>
        <v>RDicon_electrics</v>
      </c>
      <c r="K176" s="21"/>
      <c r="L176" s="63"/>
      <c r="M176" s="63"/>
      <c r="N176" s="6"/>
      <c r="O176" s="63"/>
      <c r="P176" s="63"/>
      <c r="Q176" s="6"/>
      <c r="R176" s="63"/>
      <c r="S176" s="63"/>
      <c r="T176" s="25" t="str">
        <f>IF(ISNA(VLOOKUP(A176,'Stock Nodes'!$A$1:$C$63,1,FALSE)),"FALSE","TRUE")</f>
        <v>TRUE</v>
      </c>
      <c r="U176" s="25" t="str">
        <f>IF(ISNA(VLOOKUP(A176,'CTT Nodes'!$A$1:$D$83,1,FALSE)),"FALSE","TRUE")</f>
        <v>FALSE</v>
      </c>
      <c r="V176" s="25" t="str">
        <f>IF(OR(T176="TRUE",U176="TRUE"),"FALSE","TRUE")</f>
        <v>FALSE</v>
      </c>
      <c r="W176" s="68">
        <v>174</v>
      </c>
      <c r="X176" s="59">
        <v>0</v>
      </c>
      <c r="Y176" s="20"/>
      <c r="Z176" s="20"/>
      <c r="AA176" s="20"/>
      <c r="AB176" s="20"/>
      <c r="AC176" s="20"/>
      <c r="AD176" s="20"/>
      <c r="AE176" s="20"/>
      <c r="AF176" s="20"/>
      <c r="AG176" s="20"/>
      <c r="AH176" s="20"/>
      <c r="AI176" s="20"/>
      <c r="AJ176" s="20"/>
      <c r="AK176" s="20"/>
      <c r="AL176" s="20"/>
      <c r="AM176" s="20"/>
      <c r="AN176" s="20"/>
      <c r="AO176" s="20"/>
      <c r="AP176" s="20"/>
      <c r="AQ176" s="20"/>
      <c r="AR176" s="20"/>
      <c r="AS176" s="20"/>
      <c r="AT176" s="20"/>
      <c r="AU176" s="20"/>
      <c r="AV176" s="20"/>
      <c r="AW176" s="20"/>
      <c r="AX176" s="20"/>
      <c r="AY176" s="20"/>
      <c r="AZ176" s="20"/>
      <c r="BA176" s="20"/>
      <c r="BB176" s="20"/>
      <c r="BC176" s="20"/>
      <c r="BD176" s="20"/>
      <c r="BE176" s="20"/>
      <c r="BF176" s="20"/>
      <c r="BG176" s="20"/>
      <c r="BH176" s="20"/>
    </row>
    <row r="177" spans="1:60" x14ac:dyDescent="0.25">
      <c r="A177" s="14" t="s">
        <v>91</v>
      </c>
      <c r="B177" s="63" t="s">
        <v>92</v>
      </c>
      <c r="C177" s="21" t="str">
        <f>IF(T177="TRUE",VLOOKUP(A177,'Stock Nodes'!$A$1:$D$63,4,FALSE),IF(U177="TRUE",VLOOKUP(A177,'CTT Nodes'!$A$1:$D$83,4,FALSE),VLOOKUP(A177,'ETT Nodes'!$A$1:$D$87,3,FALSE)))</f>
        <v>Advanced Electrics</v>
      </c>
      <c r="D177" s="21" t="str">
        <f>"Node"&amp;TEXT(X177,"0")&amp;"_"&amp;A177</f>
        <v>Node3_advElectrics</v>
      </c>
      <c r="E177" s="22" t="str">
        <f>IF(OR(V177="TRUE",B177&lt;&gt;C177),"#LOC_ETT_"&amp;A177&amp;"_description",IF(T177="TRUE",VLOOKUP(A177,'Stock Nodes'!$A$1:$C$63,2,FALSE),IF(U177="TRUE",VLOOKUP(A177,'CTT Nodes'!$A$1:$D$83,2,FALSE))))</f>
        <v>#autoLOC_501081 //#autoLOC_501081 = We're fairly certain no one will ever need more than 64kw of power for anything.</v>
      </c>
      <c r="F177" s="58">
        <v>15</v>
      </c>
      <c r="G177" s="21">
        <f t="array" ref="G177">INDEX(TNodeCols,MATCH(1,MMULT(--(TTechTree=A177),TRANSPOSE(COLUMN(TTechTree)^0)),0))</f>
        <v>-2189.1000000000022</v>
      </c>
      <c r="H177" s="21">
        <f t="array" ref="H177">INDEX(NodeRows,MATCH(1,MMULT(--(TechTree=A177),TRANSPOSE(COLUMN(TechTree)^0)),0))</f>
        <v>797</v>
      </c>
      <c r="I177" s="63" t="str">
        <f>TEXT(G177,"0") &amp; ", " &amp; TEXT(H177,"0") &amp;", -2"</f>
        <v>-2189, 797, -2</v>
      </c>
      <c r="J177" s="63" t="str">
        <f>IF(T177="TRUE",VLOOKUP(A177,'Stock Nodes'!$A$1:$C$63,3,FALSE),IF(U177="TRUE",VLOOKUP(A177,'CTT Nodes'!$A$1:$G$83,7,FALSE),VLOOKUP(A177,'ETT Nodes'!$A$1:$E$87,5,FALSE)))</f>
        <v>RDicon_electrics-advanced</v>
      </c>
      <c r="K177" s="63" t="s">
        <v>85</v>
      </c>
      <c r="L177" s="63" t="s">
        <v>2070</v>
      </c>
      <c r="M177" s="63" t="s">
        <v>2067</v>
      </c>
      <c r="N177" s="60"/>
      <c r="O177" s="63"/>
      <c r="P177" s="63"/>
      <c r="Q177" s="6"/>
      <c r="R177" s="63"/>
      <c r="S177" s="63"/>
      <c r="T177" s="25" t="str">
        <f>IF(ISNA(VLOOKUP(A177,'Stock Nodes'!$A$1:$C$63,1,FALSE)),"FALSE","TRUE")</f>
        <v>TRUE</v>
      </c>
      <c r="U177" s="25" t="str">
        <f>IF(ISNA(VLOOKUP(A177,'CTT Nodes'!$A$1:$D$83,1,FALSE)),"FALSE","TRUE")</f>
        <v>FALSE</v>
      </c>
      <c r="V177" s="25" t="str">
        <f>IF(OR(T177="TRUE",U177="TRUE"),"FALSE","TRUE")</f>
        <v>FALSE</v>
      </c>
      <c r="W177" s="68">
        <v>175</v>
      </c>
      <c r="X177" s="59">
        <v>2.5</v>
      </c>
      <c r="Y177" s="20"/>
      <c r="Z177" s="20"/>
      <c r="AA177" s="20"/>
      <c r="AB177" s="20"/>
      <c r="AC177" s="20"/>
      <c r="AD177" s="20"/>
      <c r="AE177" s="20"/>
      <c r="AF177" s="20"/>
      <c r="AG177" s="20"/>
      <c r="AH177" s="20"/>
      <c r="AI177" s="20"/>
      <c r="AJ177" s="20"/>
      <c r="AK177" s="20"/>
      <c r="AL177" s="20"/>
      <c r="AM177" s="20"/>
      <c r="AN177" s="20"/>
      <c r="AO177" s="20"/>
      <c r="AP177" s="20"/>
      <c r="AQ177" s="20"/>
      <c r="AR177" s="20"/>
      <c r="AS177" s="20"/>
      <c r="AT177" s="20"/>
      <c r="AU177" s="20"/>
      <c r="AV177" s="20"/>
      <c r="AW177" s="20"/>
      <c r="AX177" s="20"/>
      <c r="AY177" s="20"/>
      <c r="AZ177" s="20"/>
      <c r="BA177" s="20"/>
      <c r="BB177" s="20"/>
      <c r="BC177" s="20"/>
      <c r="BD177" s="20"/>
      <c r="BE177" s="20"/>
      <c r="BF177" s="20"/>
      <c r="BG177" s="20"/>
      <c r="BH177" s="20"/>
    </row>
    <row r="178" spans="1:60" x14ac:dyDescent="0.25">
      <c r="A178" s="63" t="s">
        <v>126</v>
      </c>
      <c r="B178" s="63" t="s">
        <v>282</v>
      </c>
      <c r="C178" s="21" t="str">
        <f>IF(T178="TRUE",VLOOKUP(A178,'Stock Nodes'!$A$1:$D$63,4,FALSE),IF(U178="TRUE",VLOOKUP(A178,'CTT Nodes'!$A$1:$D$83,4,FALSE),VLOOKUP(A178,'ETT Nodes'!$A$1:$D$87,3,FALSE)))</f>
        <v>Specialized Electrics</v>
      </c>
      <c r="D178" s="21" t="str">
        <f>"Node"&amp;TEXT(X178,"0")&amp;"_"&amp;A178</f>
        <v>Node5_specializedElectrics</v>
      </c>
      <c r="E178" s="22" t="str">
        <f>IF(OR(V178="TRUE",B178&lt;&gt;C178),"#LOC_ETT_"&amp;A178&amp;"_description",IF(T178="TRUE",VLOOKUP(A178,'Stock Nodes'!$A$1:$C$63,2,FALSE),IF(U178="TRUE",VLOOKUP(A178,'CTT Nodes'!$A$1:$D$83,2,FALSE))))</f>
        <v>#LOC_ETT_specializedElectrics_description</v>
      </c>
      <c r="F178" s="58">
        <v>95</v>
      </c>
      <c r="G178" s="21">
        <f t="array" ref="G178">INDEX(TNodeCols,MATCH(1,MMULT(--(TTechTree=A178),TRANSPOSE(COLUMN(TTechTree)^0)),0))</f>
        <v>-2189.1000000000022</v>
      </c>
      <c r="H178" s="21">
        <f t="array" ref="H178">INDEX(NodeRows,MATCH(1,MMULT(--(TechTree=A178),TRANSPOSE(COLUMN(TechTree)^0)),0))</f>
        <v>721</v>
      </c>
      <c r="I178" s="63" t="str">
        <f>TEXT(G178,"0") &amp; ", " &amp; TEXT(H178,"0") &amp;", -2"</f>
        <v>-2189, 721, -2</v>
      </c>
      <c r="J178" s="63" t="str">
        <f>IF(T178="TRUE",VLOOKUP(A178,'Stock Nodes'!$A$1:$C$63,3,FALSE),IF(U178="TRUE",VLOOKUP(A178,'CTT Nodes'!$A$1:$G$83,7,FALSE),VLOOKUP(A178,'ETT Nodes'!$A$1:$E$87,5,FALSE)))</f>
        <v>RDicon_electrics-specialized</v>
      </c>
      <c r="K178" s="21" t="s">
        <v>91</v>
      </c>
      <c r="L178" s="63" t="s">
        <v>2070</v>
      </c>
      <c r="M178" s="63" t="s">
        <v>2067</v>
      </c>
      <c r="N178" s="6"/>
      <c r="O178" s="63"/>
      <c r="P178" s="63"/>
      <c r="Q178" s="6"/>
      <c r="R178" s="63"/>
      <c r="S178" s="63"/>
      <c r="T178" s="25" t="str">
        <f>IF(ISNA(VLOOKUP(A178,'Stock Nodes'!$A$1:$C$63,1,FALSE)),"FALSE","TRUE")</f>
        <v>TRUE</v>
      </c>
      <c r="U178" s="25" t="str">
        <f>IF(ISNA(VLOOKUP(A178,'CTT Nodes'!$A$1:$D$83,1,FALSE)),"FALSE","TRUE")</f>
        <v>FALSE</v>
      </c>
      <c r="V178" s="25" t="str">
        <f>IF(OR(T178="TRUE",U178="TRUE"),"FALSE","TRUE")</f>
        <v>FALSE</v>
      </c>
      <c r="W178" s="63">
        <v>176</v>
      </c>
      <c r="X178" s="59">
        <v>4.67</v>
      </c>
      <c r="Y178" s="20"/>
      <c r="Z178" s="20"/>
      <c r="AA178" s="20"/>
      <c r="AB178" s="20"/>
      <c r="AC178" s="20"/>
      <c r="AD178" s="20"/>
      <c r="AE178" s="20"/>
      <c r="AF178" s="20"/>
      <c r="AG178" s="20"/>
      <c r="AH178" s="20"/>
      <c r="AI178" s="20"/>
      <c r="AJ178" s="20"/>
      <c r="AK178" s="20"/>
      <c r="AL178" s="20"/>
      <c r="AM178" s="20"/>
      <c r="AN178" s="20"/>
      <c r="AO178" s="20"/>
      <c r="AP178" s="20"/>
      <c r="AQ178" s="20"/>
      <c r="AR178" s="20"/>
      <c r="AS178" s="20"/>
      <c r="AT178" s="20"/>
      <c r="AU178" s="20"/>
      <c r="AV178" s="20"/>
      <c r="AW178" s="20"/>
      <c r="AX178" s="20"/>
      <c r="AY178" s="20"/>
      <c r="AZ178" s="20"/>
      <c r="BA178" s="20"/>
      <c r="BB178" s="20"/>
      <c r="BC178" s="20"/>
      <c r="BD178" s="20"/>
      <c r="BE178" s="20"/>
      <c r="BF178" s="20"/>
      <c r="BG178" s="20"/>
      <c r="BH178" s="20"/>
    </row>
    <row r="179" spans="1:60" x14ac:dyDescent="0.25">
      <c r="A179" s="14" t="s">
        <v>108</v>
      </c>
      <c r="B179" s="21" t="s">
        <v>351</v>
      </c>
      <c r="C179" s="21" t="str">
        <f>IF(T179="TRUE",VLOOKUP(A179,'Stock Nodes'!$A$1:$D$63,4,FALSE),IF(U179="TRUE",VLOOKUP(A179,'CTT Nodes'!$A$1:$D$83,4,FALSE),VLOOKUP(A179,'ETT Nodes'!$A$1:$D$87,3,FALSE)))</f>
        <v>High-Power Electrics</v>
      </c>
      <c r="D179" s="21" t="str">
        <f>"Node"&amp;TEXT(X179,"0")&amp;"_"&amp;A179</f>
        <v>Node6_largeElectrics</v>
      </c>
      <c r="E179" s="22" t="str">
        <f>IF(OR(V179="TRUE",B179&lt;&gt;C179),"#LOC_ETT_"&amp;A179&amp;"_description",IF(T179="TRUE",VLOOKUP(A179,'Stock Nodes'!$A$1:$C$63,2,FALSE),IF(U179="TRUE",VLOOKUP(A179,'CTT Nodes'!$A$1:$D$83,2,FALSE))))</f>
        <v>#LOC_ETT_largeElectrics_description</v>
      </c>
      <c r="F179" s="58">
        <v>200</v>
      </c>
      <c r="G179" s="21">
        <f t="array" ref="G179">INDEX(TNodeCols,MATCH(1,MMULT(--(TTechTree=A179),TRANSPOSE(COLUMN(TTechTree)^0)),0))</f>
        <v>-2189.1000000000022</v>
      </c>
      <c r="H179" s="21">
        <f t="array" ref="H179">INDEX(NodeRows,MATCH(1,MMULT(--(TechTree=A179),TRANSPOSE(COLUMN(TechTree)^0)),0))</f>
        <v>645</v>
      </c>
      <c r="I179" s="63" t="str">
        <f>TEXT(G179,"0") &amp; ", " &amp; TEXT(H179,"0") &amp;", -2"</f>
        <v>-2189, 645, -2</v>
      </c>
      <c r="J179" s="63" t="str">
        <f>IF(T179="TRUE",VLOOKUP(A179,'Stock Nodes'!$A$1:$C$63,3,FALSE),IF(U179="TRUE",VLOOKUP(A179,'CTT Nodes'!$A$1:$G$83,7,FALSE),VLOOKUP(A179,'ETT Nodes'!$A$1:$E$87,5,FALSE)))</f>
        <v>RDicon_electrics-large</v>
      </c>
      <c r="K179" s="63" t="s">
        <v>126</v>
      </c>
      <c r="L179" s="63" t="s">
        <v>2070</v>
      </c>
      <c r="M179" s="63" t="s">
        <v>2067</v>
      </c>
      <c r="N179" s="6"/>
      <c r="O179" s="63"/>
      <c r="P179" s="63"/>
      <c r="Q179" s="6"/>
      <c r="R179" s="63"/>
      <c r="S179" s="63"/>
      <c r="T179" s="25" t="str">
        <f>IF(ISNA(VLOOKUP(A179,'Stock Nodes'!$A$1:$C$63,1,FALSE)),"FALSE","TRUE")</f>
        <v>TRUE</v>
      </c>
      <c r="U179" s="25" t="str">
        <f>IF(ISNA(VLOOKUP(A179,'CTT Nodes'!$A$1:$D$83,1,FALSE)),"FALSE","TRUE")</f>
        <v>FALSE</v>
      </c>
      <c r="V179" s="25" t="str">
        <f>IF(OR(T179="TRUE",U179="TRUE"),"FALSE","TRUE")</f>
        <v>FALSE</v>
      </c>
      <c r="W179" s="68">
        <v>177</v>
      </c>
      <c r="X179" s="59">
        <v>5.75</v>
      </c>
      <c r="Y179" s="20"/>
      <c r="Z179" s="20"/>
      <c r="AA179" s="20"/>
      <c r="AB179" s="20"/>
      <c r="AC179" s="20"/>
      <c r="AD179" s="20"/>
      <c r="AE179" s="20"/>
      <c r="AF179" s="20"/>
      <c r="AG179" s="20"/>
      <c r="AH179" s="20"/>
      <c r="AI179" s="20"/>
      <c r="AJ179" s="20"/>
      <c r="AK179" s="20"/>
      <c r="AL179" s="20"/>
      <c r="AM179" s="20"/>
      <c r="AN179" s="20"/>
      <c r="AO179" s="20"/>
      <c r="AP179" s="20"/>
      <c r="AQ179" s="20"/>
      <c r="AR179" s="20"/>
      <c r="AS179" s="20"/>
      <c r="AT179" s="20"/>
      <c r="AU179" s="20"/>
      <c r="AV179" s="20"/>
      <c r="AW179" s="20"/>
      <c r="AX179" s="20"/>
      <c r="AY179" s="20"/>
      <c r="AZ179" s="20"/>
      <c r="BA179" s="20"/>
      <c r="BB179" s="20"/>
      <c r="BC179" s="20"/>
      <c r="BD179" s="20"/>
      <c r="BE179" s="20"/>
      <c r="BF179" s="20"/>
      <c r="BG179" s="20"/>
      <c r="BH179" s="20"/>
    </row>
    <row r="180" spans="1:60" x14ac:dyDescent="0.25">
      <c r="A180" s="14" t="s">
        <v>113</v>
      </c>
      <c r="B180" s="21" t="s">
        <v>343</v>
      </c>
      <c r="C180" s="21" t="str">
        <f>IF(T180="TRUE",VLOOKUP(A180,'Stock Nodes'!$A$1:$D$63,4,FALSE),IF(U180="TRUE",VLOOKUP(A180,'CTT Nodes'!$A$1:$D$83,4,FALSE),VLOOKUP(A180,'ETT Nodes'!$A$1:$D$87,3,FALSE)))</f>
        <v>Experimental Electrics</v>
      </c>
      <c r="D180" s="21" t="str">
        <f>"Node"&amp;TEXT(X180,"0")&amp;"_"&amp;A180</f>
        <v>Node9_experimentalElectrics</v>
      </c>
      <c r="E180" s="22" t="str">
        <f>IF(OR(V180="TRUE",B180&lt;&gt;C180),"#LOC_ETT_"&amp;A180&amp;"_description",IF(T180="TRUE",VLOOKUP(A180,'Stock Nodes'!$A$1:$C$63,2,FALSE),IF(U180="TRUE",VLOOKUP(A180,'CTT Nodes'!$A$1:$D$83,2,FALSE))))</f>
        <v>#LOC_ETT_experimentalElectrics_description</v>
      </c>
      <c r="F180" s="58">
        <v>750</v>
      </c>
      <c r="G180" s="21">
        <f t="array" ref="G180">INDEX(TNodeCols,MATCH(1,MMULT(--(TTechTree=A180),TRANSPOSE(COLUMN(TTechTree)^0)),0))</f>
        <v>-2189.1000000000022</v>
      </c>
      <c r="H180" s="21">
        <f t="array" ref="H180">INDEX(NodeRows,MATCH(1,MMULT(--(TechTree=A180),TRANSPOSE(COLUMN(TechTree)^0)),0))</f>
        <v>569</v>
      </c>
      <c r="I180" s="63" t="str">
        <f>TEXT(G180,"0") &amp; ", " &amp; TEXT(H180,"0") &amp;", -2"</f>
        <v>-2189, 569, -2</v>
      </c>
      <c r="J180" s="63" t="str">
        <f>IF(T180="TRUE",VLOOKUP(A180,'Stock Nodes'!$A$1:$C$63,3,FALSE),IF(U180="TRUE",VLOOKUP(A180,'CTT Nodes'!$A$1:$G$83,7,FALSE),VLOOKUP(A180,'ETT Nodes'!$A$1:$E$87,5,FALSE)))</f>
        <v>RDicon_electrics-experimental</v>
      </c>
      <c r="K180" s="21" t="s">
        <v>108</v>
      </c>
      <c r="L180" s="63" t="s">
        <v>2070</v>
      </c>
      <c r="M180" s="63" t="s">
        <v>2067</v>
      </c>
      <c r="N180" s="6" t="s">
        <v>101</v>
      </c>
      <c r="O180" s="63" t="s">
        <v>2068</v>
      </c>
      <c r="P180" s="63" t="s">
        <v>2069</v>
      </c>
      <c r="Q180" s="6"/>
      <c r="R180" s="63"/>
      <c r="S180" s="63"/>
      <c r="T180" s="25" t="str">
        <f>IF(ISNA(VLOOKUP(A180,'Stock Nodes'!$A$1:$C$63,1,FALSE)),"FALSE","TRUE")</f>
        <v>TRUE</v>
      </c>
      <c r="U180" s="25" t="str">
        <f>IF(ISNA(VLOOKUP(A180,'CTT Nodes'!$A$1:$D$83,1,FALSE)),"FALSE","TRUE")</f>
        <v>FALSE</v>
      </c>
      <c r="V180" s="25" t="str">
        <f>IF(OR(T180="TRUE",U180="TRUE"),"FALSE","TRUE")</f>
        <v>FALSE</v>
      </c>
      <c r="W180" s="68">
        <v>178</v>
      </c>
      <c r="X180" s="59">
        <v>9</v>
      </c>
      <c r="Y180" s="20"/>
      <c r="Z180" s="20"/>
      <c r="AA180" s="20"/>
      <c r="AB180" s="20"/>
      <c r="AC180" s="20"/>
      <c r="AD180" s="20"/>
      <c r="AE180" s="20"/>
      <c r="AF180" s="20"/>
      <c r="AG180" s="20"/>
      <c r="AH180" s="20"/>
      <c r="AI180" s="20"/>
      <c r="AJ180" s="20"/>
      <c r="AK180" s="20"/>
      <c r="AL180" s="20"/>
      <c r="AM180" s="20"/>
      <c r="AN180" s="20"/>
      <c r="AO180" s="20"/>
      <c r="AP180" s="20"/>
      <c r="AQ180" s="20"/>
      <c r="AR180" s="20"/>
      <c r="AS180" s="20"/>
      <c r="AT180" s="20"/>
      <c r="AU180" s="20"/>
      <c r="AV180" s="20"/>
      <c r="AW180" s="20"/>
      <c r="AX180" s="20"/>
      <c r="AY180" s="20"/>
      <c r="AZ180" s="20"/>
      <c r="BA180" s="20"/>
      <c r="BB180" s="20"/>
      <c r="BC180" s="20"/>
      <c r="BD180" s="20"/>
      <c r="BE180" s="20"/>
      <c r="BF180" s="20"/>
      <c r="BG180" s="20"/>
      <c r="BH180" s="20"/>
    </row>
    <row r="181" spans="1:60" x14ac:dyDescent="0.25">
      <c r="A181" s="21" t="s">
        <v>145</v>
      </c>
      <c r="B181" s="21" t="s">
        <v>544</v>
      </c>
      <c r="C181" s="21" t="str">
        <f>IF(T181="TRUE",VLOOKUP(A181,'Stock Nodes'!$A$1:$D$63,4,FALSE),IF(U181="TRUE",VLOOKUP(A181,'CTT Nodes'!$A$1:$D$83,4,FALSE),VLOOKUP(A181,'ETT Nodes'!$A$1:$D$87,3,FALSE)))</f>
        <v>High Tech Electrical Systems</v>
      </c>
      <c r="D181" s="21" t="str">
        <f>"Node"&amp;TEXT(X181,"0")&amp;"_"&amp;A181</f>
        <v>Node11_highTechElectricalSystems</v>
      </c>
      <c r="E181" s="22" t="str">
        <f>IF(OR(V181="TRUE",B181&lt;&gt;C181),"#LOC_ETT_"&amp;A181&amp;"_description",IF(T181="TRUE",VLOOKUP(A181,'Stock Nodes'!$A$1:$C$63,2,FALSE),IF(U181="TRUE",VLOOKUP(A181,'CTT Nodes'!$A$1:$D$83,2,FALSE))))</f>
        <v>#LOC_ETT_highTechElectricalSystems_description</v>
      </c>
      <c r="F181" s="58">
        <v>1500</v>
      </c>
      <c r="G181" s="21">
        <f t="array" ref="G181">INDEX(TNodeCols,MATCH(1,MMULT(--(TTechTree=A181),TRANSPOSE(COLUMN(TTechTree)^0)),0))</f>
        <v>-2189.1000000000022</v>
      </c>
      <c r="H181" s="21">
        <f t="array" ref="H181">INDEX(NodeRows,MATCH(1,MMULT(--(TechTree=A181),TRANSPOSE(COLUMN(TechTree)^0)),0))</f>
        <v>493</v>
      </c>
      <c r="I181" s="63" t="str">
        <f>TEXT(G181,"0") &amp; ", " &amp; TEXT(H181,"0") &amp;", -2"</f>
        <v>-2189, 493, -2</v>
      </c>
      <c r="J181" s="63" t="str">
        <f>IF(T181="TRUE",VLOOKUP(A181,'Stock Nodes'!$A$1:$C$63,3,FALSE),IF(U181="TRUE",VLOOKUP(A181,'CTT Nodes'!$A$1:$G$83,7,FALSE),VLOOKUP(A181,'ETT Nodes'!$A$1:$E$87,5,FALSE)))</f>
        <v>ETTR/UI/CTT/ctt_icon_highTechElectricalSystems</v>
      </c>
      <c r="K181" s="63" t="s">
        <v>113</v>
      </c>
      <c r="L181" s="63" t="s">
        <v>2070</v>
      </c>
      <c r="M181" s="63" t="s">
        <v>2067</v>
      </c>
      <c r="N181" s="21"/>
      <c r="O181" s="63"/>
      <c r="P181" s="63"/>
      <c r="Q181" s="21"/>
      <c r="R181" s="63"/>
      <c r="S181" s="63"/>
      <c r="T181" s="25" t="str">
        <f>IF(ISNA(VLOOKUP(A181,'Stock Nodes'!$A$1:$C$63,1,FALSE)),"FALSE","TRUE")</f>
        <v>FALSE</v>
      </c>
      <c r="U181" s="25" t="str">
        <f>IF(ISNA(VLOOKUP(A181,'CTT Nodes'!$A$1:$D$83,1,FALSE)),"FALSE","TRUE")</f>
        <v>TRUE</v>
      </c>
      <c r="V181" s="25" t="str">
        <f>IF(OR(T181="TRUE",U181="TRUE"),"FALSE","TRUE")</f>
        <v>FALSE</v>
      </c>
      <c r="W181" s="63">
        <v>179</v>
      </c>
      <c r="X181" s="59">
        <v>11</v>
      </c>
      <c r="Y181" s="20"/>
      <c r="Z181" s="20"/>
      <c r="AA181" s="20"/>
      <c r="AB181" s="20"/>
      <c r="AC181" s="20"/>
      <c r="AD181" s="20"/>
      <c r="AE181" s="20"/>
      <c r="AF181" s="20"/>
      <c r="AG181" s="20"/>
      <c r="AH181" s="20"/>
      <c r="AI181" s="20"/>
      <c r="AJ181" s="20"/>
      <c r="AK181" s="20"/>
      <c r="AL181" s="20"/>
      <c r="AM181" s="20"/>
      <c r="AN181" s="20"/>
      <c r="AO181" s="20"/>
      <c r="AP181" s="20"/>
      <c r="AQ181" s="20"/>
      <c r="AR181" s="20"/>
      <c r="AS181" s="20"/>
      <c r="AT181" s="20"/>
      <c r="AU181" s="20"/>
      <c r="AV181" s="20"/>
      <c r="AW181" s="20"/>
      <c r="AX181" s="20"/>
      <c r="AY181" s="20"/>
      <c r="AZ181" s="20"/>
      <c r="BA181" s="20"/>
      <c r="BB181" s="20"/>
      <c r="BC181" s="20"/>
      <c r="BD181" s="20"/>
      <c r="BE181" s="20"/>
      <c r="BF181" s="20"/>
      <c r="BG181" s="20"/>
      <c r="BH181" s="20"/>
    </row>
    <row r="182" spans="1:60" x14ac:dyDescent="0.25">
      <c r="A182" s="21" t="s">
        <v>545</v>
      </c>
      <c r="B182" s="21" t="s">
        <v>437</v>
      </c>
      <c r="C182" s="21" t="str">
        <f>IF(T182="TRUE",VLOOKUP(A182,'Stock Nodes'!$A$1:$D$63,4,FALSE),IF(U182="TRUE",VLOOKUP(A182,'CTT Nodes'!$A$1:$D$83,4,FALSE),VLOOKUP(A182,'ETT Nodes'!$A$1:$D$87,3,FALSE)))</f>
        <v>High Power Electrical Systems</v>
      </c>
      <c r="D182" s="21" t="str">
        <f>"Node"&amp;TEXT(X182,"0")&amp;"_"&amp;A182</f>
        <v>Node13_highPowerElectricalSystems</v>
      </c>
      <c r="E182" s="22" t="str">
        <f>IF(OR(V182="TRUE",B182&lt;&gt;C182),"#LOC_ETT_"&amp;A182&amp;"_description",IF(T182="TRUE",VLOOKUP(A182,'Stock Nodes'!$A$1:$C$63,2,FALSE),IF(U182="TRUE",VLOOKUP(A182,'CTT Nodes'!$A$1:$D$83,2,FALSE))))</f>
        <v>#LOC_CTT_highPowerElectricalSystems_description</v>
      </c>
      <c r="F182" s="58">
        <v>2250</v>
      </c>
      <c r="G182" s="21">
        <f t="array" ref="G182">INDEX(TNodeCols,MATCH(1,MMULT(--(TTechTree=A182),TRANSPOSE(COLUMN(TTechTree)^0)),0))</f>
        <v>-2189.1000000000022</v>
      </c>
      <c r="H182" s="21">
        <f t="array" ref="H182">INDEX(NodeRows,MATCH(1,MMULT(--(TechTree=A182),TRANSPOSE(COLUMN(TechTree)^0)),0))</f>
        <v>417</v>
      </c>
      <c r="I182" s="63" t="str">
        <f>TEXT(G182,"0") &amp; ", " &amp; TEXT(H182,"0") &amp;", -2"</f>
        <v>-2189, 417, -2</v>
      </c>
      <c r="J182" s="63" t="str">
        <f>IF(T182="TRUE",VLOOKUP(A182,'Stock Nodes'!$A$1:$C$63,3,FALSE),IF(U182="TRUE",VLOOKUP(A182,'CTT Nodes'!$A$1:$G$83,7,FALSE),VLOOKUP(A182,'ETT Nodes'!$A$1:$E$87,5,FALSE)))</f>
        <v>ETTR/UI/CTT/ctt_icon_highPowerElectricalSystems</v>
      </c>
      <c r="K182" s="21" t="s">
        <v>145</v>
      </c>
      <c r="L182" s="63" t="s">
        <v>2070</v>
      </c>
      <c r="M182" s="63" t="s">
        <v>2067</v>
      </c>
      <c r="N182" s="6" t="s">
        <v>178</v>
      </c>
      <c r="O182" s="63" t="s">
        <v>2068</v>
      </c>
      <c r="P182" s="63" t="s">
        <v>2069</v>
      </c>
      <c r="Q182" s="6"/>
      <c r="R182" s="63"/>
      <c r="S182" s="63"/>
      <c r="T182" s="25" t="str">
        <f>IF(ISNA(VLOOKUP(A182,'Stock Nodes'!$A$1:$C$63,1,FALSE)),"FALSE","TRUE")</f>
        <v>FALSE</v>
      </c>
      <c r="U182" s="25" t="str">
        <f>IF(ISNA(VLOOKUP(A182,'CTT Nodes'!$A$1:$D$83,1,FALSE)),"FALSE","TRUE")</f>
        <v>TRUE</v>
      </c>
      <c r="V182" s="25" t="str">
        <f>IF(OR(T182="TRUE",U182="TRUE"),"FALSE","TRUE")</f>
        <v>FALSE</v>
      </c>
      <c r="W182" s="68">
        <v>180</v>
      </c>
      <c r="X182" s="59">
        <v>13</v>
      </c>
      <c r="Y182" s="20"/>
      <c r="Z182" s="20"/>
      <c r="AA182" s="20"/>
      <c r="AB182" s="20"/>
      <c r="AC182" s="20"/>
      <c r="AD182" s="20"/>
      <c r="AE182" s="20"/>
      <c r="AF182" s="20"/>
      <c r="AG182" s="20"/>
      <c r="AH182" s="20"/>
      <c r="AI182" s="20"/>
      <c r="AJ182" s="20"/>
      <c r="AK182" s="20"/>
      <c r="AL182" s="20"/>
      <c r="AM182" s="20"/>
      <c r="AN182" s="20"/>
      <c r="AO182" s="20"/>
      <c r="AP182" s="20"/>
      <c r="AQ182" s="20"/>
      <c r="AR182" s="20"/>
      <c r="AS182" s="20"/>
      <c r="AT182" s="20"/>
      <c r="AU182" s="20"/>
      <c r="AV182" s="20"/>
      <c r="AW182" s="20"/>
      <c r="AX182" s="20"/>
      <c r="AY182" s="20"/>
      <c r="AZ182" s="20"/>
      <c r="BA182" s="20"/>
      <c r="BB182" s="20"/>
      <c r="BC182" s="20"/>
      <c r="BD182" s="20"/>
      <c r="BE182" s="20"/>
      <c r="BF182" s="20"/>
      <c r="BG182" s="20"/>
      <c r="BH182" s="20"/>
    </row>
    <row r="183" spans="1:60" s="20" customFormat="1" x14ac:dyDescent="0.25">
      <c r="A183" s="21" t="s">
        <v>220</v>
      </c>
      <c r="B183" s="63" t="s">
        <v>221</v>
      </c>
      <c r="C183" s="21" t="str">
        <f>IF(T183="TRUE",VLOOKUP(A183,'Stock Nodes'!$A$1:$D$63,4,FALSE),IF(U183="TRUE",VLOOKUP(A183,'CTT Nodes'!$A$1:$D$83,4,FALSE),VLOOKUP(A183,'ETT Nodes'!$A$1:$D$87,3,FALSE)))</f>
        <v>Experimental Electrical Systems</v>
      </c>
      <c r="D183" s="21" t="str">
        <f>"Node"&amp;TEXT(X183,"0")&amp;"_"&amp;A183</f>
        <v>Node16_experimentalElectricalSystems</v>
      </c>
      <c r="E183" s="22" t="str">
        <f>IF(OR(V183="TRUE",B183&lt;&gt;C183),"#LOC_ETT_"&amp;A183&amp;"_description",IF(T183="TRUE",VLOOKUP(A183,'Stock Nodes'!$A$1:$C$63,2,FALSE),IF(U183="TRUE",VLOOKUP(A183,'CTT Nodes'!$A$1:$D$83,2,FALSE))))</f>
        <v>#LOC_CTT_experimentalElectricalSystems_description</v>
      </c>
      <c r="F183" s="58">
        <v>4000</v>
      </c>
      <c r="G183" s="21">
        <f t="array" ref="G183">INDEX(TNodeCols,MATCH(1,MMULT(--(TTechTree=A183),TRANSPOSE(COLUMN(TTechTree)^0)),0))</f>
        <v>-2189.1000000000022</v>
      </c>
      <c r="H183" s="21">
        <f t="array" ref="H183">INDEX(NodeRows,MATCH(1,MMULT(--(TechTree=A183),TRANSPOSE(COLUMN(TechTree)^0)),0))</f>
        <v>341</v>
      </c>
      <c r="I183" s="63" t="str">
        <f>TEXT(G183,"0") &amp; ", " &amp; TEXT(H183,"0") &amp;", -2"</f>
        <v>-2189, 341, -2</v>
      </c>
      <c r="J183" s="63" t="str">
        <f>IF(T183="TRUE",VLOOKUP(A183,'Stock Nodes'!$A$1:$C$63,3,FALSE),IF(U183="TRUE",VLOOKUP(A183,'CTT Nodes'!$A$1:$G$83,7,FALSE),VLOOKUP(A183,'ETT Nodes'!$A$1:$E$87,5,FALSE)))</f>
        <v>ETTR/UI/CTT/ctt_icon_expElectricalSystems</v>
      </c>
      <c r="K183" s="63" t="s">
        <v>545</v>
      </c>
      <c r="L183" s="63" t="s">
        <v>2070</v>
      </c>
      <c r="M183" s="63" t="s">
        <v>2067</v>
      </c>
      <c r="N183" s="63"/>
      <c r="O183" s="63"/>
      <c r="P183" s="63"/>
      <c r="Q183" s="21"/>
      <c r="R183" s="63"/>
      <c r="S183" s="63"/>
      <c r="T183" s="25" t="str">
        <f>IF(ISNA(VLOOKUP(A183,'Stock Nodes'!$A$1:$C$63,1,FALSE)),"FALSE","TRUE")</f>
        <v>FALSE</v>
      </c>
      <c r="U183" s="25" t="str">
        <f>IF(ISNA(VLOOKUP(A183,'CTT Nodes'!$A$1:$D$83,1,FALSE)),"FALSE","TRUE")</f>
        <v>TRUE</v>
      </c>
      <c r="V183" s="25" t="str">
        <f>IF(OR(T183="TRUE",U183="TRUE"),"FALSE","TRUE")</f>
        <v>FALSE</v>
      </c>
      <c r="W183" s="68">
        <v>181</v>
      </c>
      <c r="X183" s="59">
        <v>16</v>
      </c>
    </row>
    <row r="184" spans="1:60" x14ac:dyDescent="0.25">
      <c r="A184" s="63" t="s">
        <v>426</v>
      </c>
      <c r="B184" s="63" t="s">
        <v>425</v>
      </c>
      <c r="C184" s="21" t="str">
        <f>IF(T184="TRUE",VLOOKUP(A184,'Stock Nodes'!$A$1:$D$63,4,FALSE),IF(U184="TRUE",VLOOKUP(A184,'CTT Nodes'!$A$1:$D$83,4,FALSE),VLOOKUP(A184,'ETT Nodes'!$A$1:$D$87,3,FALSE)))</f>
        <v>Exotic Electrical Systems</v>
      </c>
      <c r="D184" s="21" t="str">
        <f>"Node"&amp;TEXT(X184,"0")&amp;"_"&amp;A184</f>
        <v>Node18_exoticElectricalSystems</v>
      </c>
      <c r="E184" s="22" t="str">
        <f>IF(OR(V184="TRUE",B184&lt;&gt;C184),"#LOC_ETT_"&amp;A184&amp;"_description",IF(T184="TRUE",VLOOKUP(A184,'Stock Nodes'!$A$1:$C$63,2,FALSE),IF(U184="TRUE",VLOOKUP(A184,'CTT Nodes'!$A$1:$D$83,2,FALSE))))</f>
        <v>#LOC_CTT_exoticElectricalSystems_description</v>
      </c>
      <c r="F184" s="58">
        <v>6000</v>
      </c>
      <c r="G184" s="21">
        <f t="array" ref="G184">INDEX(TNodeCols,MATCH(1,MMULT(--(TTechTree=A184),TRANSPOSE(COLUMN(TTechTree)^0)),0))</f>
        <v>-2189.1000000000022</v>
      </c>
      <c r="H184" s="21">
        <f t="array" ref="H184">INDEX(NodeRows,MATCH(1,MMULT(--(TechTree=A184),TRANSPOSE(COLUMN(TechTree)^0)),0))</f>
        <v>265</v>
      </c>
      <c r="I184" s="63" t="str">
        <f>TEXT(G184,"0") &amp; ", " &amp; TEXT(H184,"0") &amp;", -2"</f>
        <v>-2189, 265, -2</v>
      </c>
      <c r="J184" s="63" t="str">
        <f>IF(T184="TRUE",VLOOKUP(A184,'Stock Nodes'!$A$1:$C$63,3,FALSE),IF(U184="TRUE",VLOOKUP(A184,'CTT Nodes'!$A$1:$G$83,7,FALSE),VLOOKUP(A184,'ETT Nodes'!$A$1:$E$87,5,FALSE)))</f>
        <v>ETTR/UI/CTT/ctt_icon_exoticElectricalSystems</v>
      </c>
      <c r="K184" s="63" t="s">
        <v>220</v>
      </c>
      <c r="L184" s="63" t="s">
        <v>2070</v>
      </c>
      <c r="M184" s="63" t="s">
        <v>2067</v>
      </c>
      <c r="N184" s="63"/>
      <c r="O184" s="63"/>
      <c r="P184" s="63"/>
      <c r="Q184" s="63"/>
      <c r="R184" s="63"/>
      <c r="S184" s="63"/>
      <c r="T184" s="25" t="str">
        <f>IF(ISNA(VLOOKUP(A184,'Stock Nodes'!$A$1:$C$63,1,FALSE)),"FALSE","TRUE")</f>
        <v>FALSE</v>
      </c>
      <c r="U184" s="25" t="str">
        <f>IF(ISNA(VLOOKUP(A184,'CTT Nodes'!$A$1:$D$83,1,FALSE)),"FALSE","TRUE")</f>
        <v>TRUE</v>
      </c>
      <c r="V184" s="25" t="str">
        <f>IF(OR(T184="TRUE",U184="TRUE"),"FALSE","TRUE")</f>
        <v>FALSE</v>
      </c>
      <c r="W184" s="63">
        <v>182</v>
      </c>
      <c r="X184" s="59">
        <v>18</v>
      </c>
      <c r="Y184" s="20"/>
      <c r="Z184" s="20"/>
      <c r="AA184" s="20"/>
      <c r="AB184" s="20"/>
      <c r="AC184" s="20"/>
      <c r="AD184" s="20"/>
      <c r="AE184" s="20"/>
      <c r="AF184" s="20"/>
      <c r="AG184" s="20"/>
      <c r="AH184" s="20"/>
      <c r="AI184" s="20"/>
      <c r="AJ184" s="20"/>
      <c r="AK184" s="20"/>
      <c r="AL184" s="20"/>
      <c r="AM184" s="20"/>
      <c r="AN184" s="20"/>
      <c r="AO184" s="20"/>
      <c r="AP184" s="20"/>
      <c r="AQ184" s="20"/>
      <c r="AR184" s="20"/>
      <c r="AS184" s="20"/>
      <c r="AT184" s="20"/>
      <c r="AU184" s="20"/>
      <c r="AV184" s="20"/>
      <c r="AW184" s="20"/>
      <c r="AX184" s="20"/>
      <c r="AY184" s="20"/>
      <c r="AZ184" s="20"/>
      <c r="BA184" s="20"/>
      <c r="BB184" s="20"/>
      <c r="BC184" s="20"/>
      <c r="BD184" s="20"/>
      <c r="BE184" s="20"/>
      <c r="BF184" s="20"/>
      <c r="BG184" s="20"/>
      <c r="BH184" s="20"/>
    </row>
    <row r="185" spans="1:60" s="20" customFormat="1" x14ac:dyDescent="0.25">
      <c r="A185" s="63" t="s">
        <v>477</v>
      </c>
      <c r="B185" s="63" t="s">
        <v>314</v>
      </c>
      <c r="C185" s="21" t="str">
        <f>IF(T185="TRUE",VLOOKUP(A185,'Stock Nodes'!$A$1:$D$63,4,FALSE),IF(U185="TRUE",VLOOKUP(A185,'CTT Nodes'!$A$1:$D$83,4,FALSE),VLOOKUP(A185,'ETT Nodes'!$A$1:$D$87,3,FALSE)))</f>
        <v>Electric Propulsion</v>
      </c>
      <c r="D185" s="21" t="str">
        <f>"Node"&amp;TEXT(X185,"0")&amp;"_"&amp;A185</f>
        <v>Node4_electricPropulsion</v>
      </c>
      <c r="E185" s="22" t="str">
        <f>IF(OR(V185="TRUE",B185&lt;&gt;C185),"#LOC_ETT_"&amp;A185&amp;"_description",IF(T185="TRUE",VLOOKUP(A185,'Stock Nodes'!$A$1:$C$63,2,FALSE),IF(U185="TRUE",VLOOKUP(A185,'CTT Nodes'!$A$1:$D$83,2,FALSE))))</f>
        <v>#LOC_ETT_electricPropulsion_description</v>
      </c>
      <c r="F185" s="58">
        <v>50</v>
      </c>
      <c r="G185" s="21">
        <f t="array" ref="G185">INDEX(TNodeCols,MATCH(1,MMULT(--(TTechTree=A185),TRANSPOSE(COLUMN(TTechTree)^0)),0))</f>
        <v>-2110.800000000002</v>
      </c>
      <c r="H185" s="21">
        <f t="array" ref="H185">INDEX(NodeRows,MATCH(1,MMULT(--(TechTree=A185),TRANSPOSE(COLUMN(TechTree)^0)),0))</f>
        <v>569</v>
      </c>
      <c r="I185" s="63" t="str">
        <f>TEXT(G185,"0") &amp; ", " &amp; TEXT(H185,"0") &amp;", -2"</f>
        <v>-2111, 569, -2</v>
      </c>
      <c r="J185" s="63">
        <f>IF(T185="TRUE",VLOOKUP(A185,'Stock Nodes'!$A$1:$C$63,3,FALSE),IF(U185="TRUE",VLOOKUP(A185,'CTT Nodes'!$A$1:$G$83,7,FALSE),VLOOKUP(A185,'ETT Nodes'!$A$1:$E$87,5,FALSE)))</f>
        <v>0</v>
      </c>
      <c r="K185" s="63" t="s">
        <v>469</v>
      </c>
      <c r="L185" s="63" t="s">
        <v>2070</v>
      </c>
      <c r="M185" s="63" t="s">
        <v>2067</v>
      </c>
      <c r="N185" s="63"/>
      <c r="O185" s="63"/>
      <c r="P185" s="63"/>
      <c r="Q185" s="63"/>
      <c r="R185" s="63"/>
      <c r="S185" s="63"/>
      <c r="T185" s="25" t="str">
        <f>IF(ISNA(VLOOKUP(A185,'Stock Nodes'!$A$1:$C$63,1,FALSE)),"FALSE","TRUE")</f>
        <v>FALSE</v>
      </c>
      <c r="U185" s="25" t="str">
        <f>IF(ISNA(VLOOKUP(A185,'CTT Nodes'!$A$1:$D$83,1,FALSE)),"FALSE","TRUE")</f>
        <v>FALSE</v>
      </c>
      <c r="V185" s="25" t="str">
        <f>IF(OR(T185="TRUE",U185="TRUE"),"FALSE","TRUE")</f>
        <v>TRUE</v>
      </c>
      <c r="W185" s="68">
        <v>183</v>
      </c>
      <c r="X185" s="59">
        <v>3.67</v>
      </c>
    </row>
    <row r="186" spans="1:60" s="20" customFormat="1" x14ac:dyDescent="0.25">
      <c r="A186" s="21" t="s">
        <v>152</v>
      </c>
      <c r="B186" s="21" t="s">
        <v>153</v>
      </c>
      <c r="C186" s="21" t="str">
        <f>IF(T186="TRUE",VLOOKUP(A186,'Stock Nodes'!$A$1:$D$63,4,FALSE),IF(U186="TRUE",VLOOKUP(A186,'CTT Nodes'!$A$1:$D$83,4,FALSE),VLOOKUP(A186,'ETT Nodes'!$A$1:$D$87,3,FALSE)))</f>
        <v>Ion Propulsion</v>
      </c>
      <c r="D186" s="21" t="str">
        <f>"Node"&amp;TEXT(X186,"0")&amp;"_"&amp;A186</f>
        <v>Node7_ionPropulsion</v>
      </c>
      <c r="E186" s="22" t="str">
        <f>IF(OR(V186="TRUE",B186&lt;&gt;C186),"#LOC_ETT_"&amp;A186&amp;"_description",IF(T186="TRUE",VLOOKUP(A186,'Stock Nodes'!$A$1:$C$63,2,FALSE),IF(U186="TRUE",VLOOKUP(A186,'CTT Nodes'!$A$1:$D$83,2,FALSE))))</f>
        <v>#autoLOC_501113 //#autoLOC_501113 = Turns out, it's not science fiction.</v>
      </c>
      <c r="F186" s="58">
        <v>375</v>
      </c>
      <c r="G186" s="21">
        <f t="array" ref="G186">INDEX(TNodeCols,MATCH(1,MMULT(--(TTechTree=A186),TRANSPOSE(COLUMN(TTechTree)^0)),0))</f>
        <v>-2110.800000000002</v>
      </c>
      <c r="H186" s="21">
        <f t="array" ref="H186">INDEX(NodeRows,MATCH(1,MMULT(--(TechTree=A186),TRANSPOSE(COLUMN(TechTree)^0)),0))</f>
        <v>493</v>
      </c>
      <c r="I186" s="63" t="str">
        <f>TEXT(G186,"0") &amp; ", " &amp; TEXT(H186,"0") &amp;", -2"</f>
        <v>-2111, 493, -2</v>
      </c>
      <c r="J186" s="63" t="str">
        <f>IF(T186="TRUE",VLOOKUP(A186,'Stock Nodes'!$A$1:$C$63,3,FALSE),IF(U186="TRUE",VLOOKUP(A186,'CTT Nodes'!$A$1:$G$83,7,FALSE),VLOOKUP(A186,'ETT Nodes'!$A$1:$E$87,5,FALSE)))</f>
        <v>RDicon_propulsion-ion</v>
      </c>
      <c r="K186" s="63" t="s">
        <v>477</v>
      </c>
      <c r="L186" s="63" t="s">
        <v>2070</v>
      </c>
      <c r="M186" s="63" t="s">
        <v>2067</v>
      </c>
      <c r="N186" s="21" t="s">
        <v>113</v>
      </c>
      <c r="O186" s="63" t="s">
        <v>2068</v>
      </c>
      <c r="P186" s="63" t="s">
        <v>2069</v>
      </c>
      <c r="Q186" s="21"/>
      <c r="R186" s="63"/>
      <c r="S186" s="63"/>
      <c r="T186" s="25" t="str">
        <f>IF(ISNA(VLOOKUP(A186,'Stock Nodes'!$A$1:$C$63,1,FALSE)),"FALSE","TRUE")</f>
        <v>TRUE</v>
      </c>
      <c r="U186" s="25" t="str">
        <f>IF(ISNA(VLOOKUP(A186,'CTT Nodes'!$A$1:$D$83,1,FALSE)),"FALSE","TRUE")</f>
        <v>FALSE</v>
      </c>
      <c r="V186" s="25" t="str">
        <f>IF(OR(T186="TRUE",U186="TRUE"),"FALSE","TRUE")</f>
        <v>FALSE</v>
      </c>
      <c r="W186" s="68">
        <v>184</v>
      </c>
      <c r="X186" s="59">
        <v>7</v>
      </c>
    </row>
    <row r="187" spans="1:60" x14ac:dyDescent="0.25">
      <c r="A187" s="63" t="s">
        <v>176</v>
      </c>
      <c r="B187" s="63" t="s">
        <v>177</v>
      </c>
      <c r="C187" s="21" t="str">
        <f>IF(T187="TRUE",VLOOKUP(A187,'Stock Nodes'!$A$1:$D$63,4,FALSE),IF(U187="TRUE",VLOOKUP(A187,'CTT Nodes'!$A$1:$D$83,4,FALSE),VLOOKUP(A187,'ETT Nodes'!$A$1:$D$87,3,FALSE)))</f>
        <v>Advanced Ion Propulsion</v>
      </c>
      <c r="D187" s="21" t="str">
        <f>"Node"&amp;TEXT(X187,"0")&amp;"_"&amp;A187</f>
        <v>Node8_advIonPropulsion</v>
      </c>
      <c r="E187" s="22" t="str">
        <f>IF(OR(V187="TRUE",B187&lt;&gt;C187),"#LOC_ETT_"&amp;A187&amp;"_description",IF(T187="TRUE",VLOOKUP(A187,'Stock Nodes'!$A$1:$C$63,2,FALSE),IF(U187="TRUE",VLOOKUP(A187,'CTT Nodes'!$A$1:$D$83,2,FALSE))))</f>
        <v>#LOC_CTT_advIonPropulsion_description</v>
      </c>
      <c r="F187" s="58">
        <v>495</v>
      </c>
      <c r="G187" s="21">
        <f t="array" ref="G187">INDEX(TNodeCols,MATCH(1,MMULT(--(TTechTree=A187),TRANSPOSE(COLUMN(TTechTree)^0)),0))</f>
        <v>-2110.800000000002</v>
      </c>
      <c r="H187" s="21">
        <f t="array" ref="H187">INDEX(NodeRows,MATCH(1,MMULT(--(TechTree=A187),TRANSPOSE(COLUMN(TechTree)^0)),0))</f>
        <v>417</v>
      </c>
      <c r="I187" s="63" t="str">
        <f>TEXT(G187,"0") &amp; ", " &amp; TEXT(H187,"0") &amp;", -2"</f>
        <v>-2111, 417, -2</v>
      </c>
      <c r="J187" s="63" t="str">
        <f>IF(T187="TRUE",VLOOKUP(A187,'Stock Nodes'!$A$1:$C$63,3,FALSE),IF(U187="TRUE",VLOOKUP(A187,'CTT Nodes'!$A$1:$G$83,7,FALSE),VLOOKUP(A187,'ETT Nodes'!$A$1:$E$87,5,FALSE)))</f>
        <v>ETTR/UI/CTT/ctt_icon_advancedIonPropulsion</v>
      </c>
      <c r="K187" s="63" t="s">
        <v>152</v>
      </c>
      <c r="L187" s="63" t="s">
        <v>2070</v>
      </c>
      <c r="M187" s="63" t="s">
        <v>2067</v>
      </c>
      <c r="N187" s="63"/>
      <c r="O187" s="63"/>
      <c r="P187" s="63"/>
      <c r="Q187" s="63"/>
      <c r="R187" s="63"/>
      <c r="S187" s="63"/>
      <c r="T187" s="25" t="str">
        <f>IF(ISNA(VLOOKUP(A187,'Stock Nodes'!$A$1:$C$63,1,FALSE)),"FALSE","TRUE")</f>
        <v>FALSE</v>
      </c>
      <c r="U187" s="25" t="str">
        <f>IF(ISNA(VLOOKUP(A187,'CTT Nodes'!$A$1:$D$83,1,FALSE)),"FALSE","TRUE")</f>
        <v>TRUE</v>
      </c>
      <c r="V187" s="25" t="str">
        <f>IF(OR(T187="TRUE",U187="TRUE"),"FALSE","TRUE")</f>
        <v>FALSE</v>
      </c>
      <c r="W187" s="63">
        <v>185</v>
      </c>
      <c r="X187" s="59">
        <v>8</v>
      </c>
      <c r="Y187" s="20"/>
      <c r="Z187" s="20"/>
      <c r="AA187" s="20"/>
      <c r="AB187" s="20"/>
      <c r="AC187" s="20"/>
      <c r="AD187" s="20"/>
      <c r="AE187" s="20"/>
      <c r="AF187" s="20"/>
      <c r="AG187" s="20"/>
      <c r="AH187" s="20"/>
      <c r="AI187" s="20"/>
      <c r="AJ187" s="20"/>
      <c r="AK187" s="20"/>
      <c r="AL187" s="20"/>
      <c r="AM187" s="20"/>
      <c r="AN187" s="20"/>
      <c r="AO187" s="20"/>
      <c r="AP187" s="20"/>
      <c r="AQ187" s="20"/>
      <c r="AR187" s="20"/>
      <c r="AS187" s="20"/>
      <c r="AT187" s="20"/>
      <c r="AU187" s="20"/>
      <c r="AV187" s="20"/>
      <c r="AW187" s="20"/>
      <c r="AX187" s="20"/>
      <c r="AY187" s="20"/>
      <c r="AZ187" s="20"/>
      <c r="BA187" s="20"/>
      <c r="BB187" s="20"/>
      <c r="BC187" s="20"/>
      <c r="BD187" s="20"/>
      <c r="BE187" s="20"/>
      <c r="BF187" s="20"/>
      <c r="BG187" s="20"/>
      <c r="BH187" s="20"/>
    </row>
    <row r="188" spans="1:60" x14ac:dyDescent="0.25">
      <c r="A188" s="14" t="s">
        <v>186</v>
      </c>
      <c r="B188" s="21" t="s">
        <v>369</v>
      </c>
      <c r="C188" s="21" t="str">
        <f>IF(T188="TRUE",VLOOKUP(A188,'Stock Nodes'!$A$1:$D$63,4,FALSE),IF(U188="TRUE",VLOOKUP(A188,'CTT Nodes'!$A$1:$D$83,4,FALSE),VLOOKUP(A188,'ETT Nodes'!$A$1:$D$87,3,FALSE)))</f>
        <v>Advanced Electrostatic Thrusters</v>
      </c>
      <c r="D188" s="21" t="str">
        <f>"Node"&amp;TEXT(X188,"0")&amp;"_"&amp;A188</f>
        <v>Node9_advGriddedThrusters</v>
      </c>
      <c r="E188" s="22" t="str">
        <f>IF(OR(V188="TRUE",B188&lt;&gt;C188),"#LOC_ETT_"&amp;A188&amp;"_description",IF(T188="TRUE",VLOOKUP(A188,'Stock Nodes'!$A$1:$C$63,2,FALSE),IF(U188="TRUE",VLOOKUP(A188,'CTT Nodes'!$A$1:$D$83,2,FALSE))))</f>
        <v>#LOC_CTT_advGriddedThrusters_description</v>
      </c>
      <c r="F188" s="58">
        <v>750</v>
      </c>
      <c r="G188" s="21">
        <f t="array" ref="G188">INDEX(TNodeCols,MATCH(1,MMULT(--(TTechTree=A188),TRANSPOSE(COLUMN(TTechTree)^0)),0))</f>
        <v>-2110.800000000002</v>
      </c>
      <c r="H188" s="21">
        <f t="array" ref="H188">INDEX(NodeRows,MATCH(1,MMULT(--(TechTree=A188),TRANSPOSE(COLUMN(TechTree)^0)),0))</f>
        <v>341</v>
      </c>
      <c r="I188" s="63" t="str">
        <f>TEXT(G188,"0") &amp; ", " &amp; TEXT(H188,"0") &amp;", -2"</f>
        <v>-2111, 341, -2</v>
      </c>
      <c r="J188" s="63" t="str">
        <f>IF(T188="TRUE",VLOOKUP(A188,'Stock Nodes'!$A$1:$C$63,3,FALSE),IF(U188="TRUE",VLOOKUP(A188,'CTT Nodes'!$A$1:$G$83,7,FALSE),VLOOKUP(A188,'ETT Nodes'!$A$1:$E$87,5,FALSE)))</f>
        <v>ETTR/UI/CTT/ctt_icon_advancedElectrostaticPropulsion</v>
      </c>
      <c r="K188" s="63" t="s">
        <v>176</v>
      </c>
      <c r="L188" s="63" t="s">
        <v>2070</v>
      </c>
      <c r="M188" s="63" t="s">
        <v>2067</v>
      </c>
      <c r="N188" s="63"/>
      <c r="O188" s="63"/>
      <c r="P188" s="63"/>
      <c r="Q188" s="6"/>
      <c r="R188" s="63"/>
      <c r="S188" s="63"/>
      <c r="T188" s="25" t="str">
        <f>IF(ISNA(VLOOKUP(A188,'Stock Nodes'!$A$1:$C$63,1,FALSE)),"FALSE","TRUE")</f>
        <v>FALSE</v>
      </c>
      <c r="U188" s="25" t="str">
        <f>IF(ISNA(VLOOKUP(A188,'CTT Nodes'!$A$1:$D$83,1,FALSE)),"FALSE","TRUE")</f>
        <v>TRUE</v>
      </c>
      <c r="V188" s="25" t="str">
        <f>IF(OR(T188="TRUE",U188="TRUE"),"FALSE","TRUE")</f>
        <v>FALSE</v>
      </c>
      <c r="W188" s="68">
        <v>186</v>
      </c>
      <c r="X188" s="59">
        <v>9</v>
      </c>
      <c r="Y188" s="20"/>
      <c r="Z188" s="20"/>
      <c r="AA188" s="20"/>
      <c r="AB188" s="20"/>
      <c r="AC188" s="20"/>
      <c r="AD188" s="20"/>
      <c r="AE188" s="20"/>
      <c r="AF188" s="20"/>
      <c r="AG188" s="20"/>
      <c r="AH188" s="20"/>
      <c r="AI188" s="20"/>
      <c r="AJ188" s="20"/>
      <c r="AK188" s="20"/>
      <c r="AL188" s="20"/>
      <c r="AM188" s="20"/>
      <c r="AN188" s="20"/>
      <c r="AO188" s="20"/>
      <c r="AP188" s="20"/>
      <c r="AQ188" s="20"/>
      <c r="AR188" s="20"/>
      <c r="AS188" s="20"/>
      <c r="AT188" s="20"/>
      <c r="AU188" s="20"/>
      <c r="AV188" s="20"/>
      <c r="AW188" s="20"/>
      <c r="AX188" s="20"/>
      <c r="AY188" s="20"/>
      <c r="AZ188" s="20"/>
      <c r="BA188" s="20"/>
      <c r="BB188" s="20"/>
      <c r="BC188" s="20"/>
      <c r="BD188" s="20"/>
      <c r="BE188" s="20"/>
      <c r="BF188" s="20"/>
      <c r="BG188" s="20"/>
      <c r="BH188" s="20"/>
    </row>
    <row r="189" spans="1:60" x14ac:dyDescent="0.25">
      <c r="A189" s="14" t="s">
        <v>187</v>
      </c>
      <c r="B189" s="21" t="s">
        <v>375</v>
      </c>
      <c r="C189" s="21" t="str">
        <f>IF(T189="TRUE",VLOOKUP(A189,'Stock Nodes'!$A$1:$D$63,4,FALSE),IF(U189="TRUE",VLOOKUP(A189,'CTT Nodes'!$A$1:$D$83,4,FALSE),VLOOKUP(A189,'ETT Nodes'!$A$1:$D$87,3,FALSE)))</f>
        <v>Experimental Electrostatic Thrusters</v>
      </c>
      <c r="D189" s="21" t="str">
        <f>"Node"&amp;TEXT(X189,"0")&amp;"_"&amp;A189</f>
        <v>Node10_expGriddedThrusters</v>
      </c>
      <c r="E189" s="22" t="str">
        <f>IF(OR(V189="TRUE",B189&lt;&gt;C189),"#LOC_ETT_"&amp;A189&amp;"_description",IF(T189="TRUE",VLOOKUP(A189,'Stock Nodes'!$A$1:$C$63,2,FALSE),IF(U189="TRUE",VLOOKUP(A189,'CTT Nodes'!$A$1:$D$83,2,FALSE))))</f>
        <v>#LOC_CTT_expGriddedThrusters_description</v>
      </c>
      <c r="F189" s="58">
        <v>1000</v>
      </c>
      <c r="G189" s="21">
        <f t="array" ref="G189">INDEX(TNodeCols,MATCH(1,MMULT(--(TTechTree=A189),TRANSPOSE(COLUMN(TTechTree)^0)),0))</f>
        <v>-2110.800000000002</v>
      </c>
      <c r="H189" s="21">
        <f t="array" ref="H189">INDEX(NodeRows,MATCH(1,MMULT(--(TechTree=A189),TRANSPOSE(COLUMN(TechTree)^0)),0))</f>
        <v>265</v>
      </c>
      <c r="I189" s="63" t="str">
        <f>TEXT(G189,"0") &amp; ", " &amp; TEXT(H189,"0") &amp;", -2"</f>
        <v>-2111, 265, -2</v>
      </c>
      <c r="J189" s="63" t="str">
        <f>IF(T189="TRUE",VLOOKUP(A189,'Stock Nodes'!$A$1:$C$63,3,FALSE),IF(U189="TRUE",VLOOKUP(A189,'CTT Nodes'!$A$1:$G$83,7,FALSE),VLOOKUP(A189,'ETT Nodes'!$A$1:$E$87,5,FALSE)))</f>
        <v>ETTR/UI/CTT/ctt_icon_experimentalElectrostaticPropulsion</v>
      </c>
      <c r="K189" s="21" t="s">
        <v>186</v>
      </c>
      <c r="L189" s="63" t="s">
        <v>2070</v>
      </c>
      <c r="M189" s="63" t="s">
        <v>2067</v>
      </c>
      <c r="N189" s="21"/>
      <c r="O189" s="63"/>
      <c r="P189" s="63"/>
      <c r="Q189" s="6"/>
      <c r="R189" s="63"/>
      <c r="S189" s="63"/>
      <c r="T189" s="25" t="str">
        <f>IF(ISNA(VLOOKUP(A189,'Stock Nodes'!$A$1:$C$63,1,FALSE)),"FALSE","TRUE")</f>
        <v>FALSE</v>
      </c>
      <c r="U189" s="25" t="str">
        <f>IF(ISNA(VLOOKUP(A189,'CTT Nodes'!$A$1:$D$83,1,FALSE)),"FALSE","TRUE")</f>
        <v>TRUE</v>
      </c>
      <c r="V189" s="25" t="str">
        <f>IF(OR(T189="TRUE",U189="TRUE"),"FALSE","TRUE")</f>
        <v>FALSE</v>
      </c>
      <c r="W189" s="68">
        <v>187</v>
      </c>
      <c r="X189" s="59">
        <v>10</v>
      </c>
      <c r="Y189" s="20"/>
      <c r="Z189" s="20"/>
      <c r="AA189" s="20"/>
      <c r="AB189" s="20"/>
      <c r="AC189" s="20"/>
      <c r="AD189" s="20"/>
      <c r="AE189" s="20"/>
      <c r="AF189" s="20"/>
      <c r="AG189" s="20"/>
      <c r="AH189" s="20"/>
      <c r="AI189" s="20"/>
      <c r="AJ189" s="20"/>
      <c r="AK189" s="20"/>
      <c r="AL189" s="20"/>
      <c r="AM189" s="20"/>
      <c r="AN189" s="20"/>
      <c r="AO189" s="20"/>
      <c r="AP189" s="20"/>
      <c r="AQ189" s="20"/>
      <c r="AR189" s="20"/>
      <c r="AS189" s="20"/>
      <c r="AT189" s="20"/>
      <c r="AU189" s="20"/>
      <c r="AV189" s="20"/>
      <c r="AW189" s="20"/>
      <c r="AX189" s="20"/>
      <c r="AY189" s="20"/>
      <c r="AZ189" s="20"/>
      <c r="BA189" s="20"/>
      <c r="BB189" s="20"/>
      <c r="BC189" s="20"/>
      <c r="BD189" s="20"/>
      <c r="BE189" s="20"/>
      <c r="BF189" s="20"/>
      <c r="BG189" s="20"/>
      <c r="BH189" s="20"/>
    </row>
    <row r="190" spans="1:60" x14ac:dyDescent="0.25">
      <c r="A190" s="14" t="s">
        <v>470</v>
      </c>
      <c r="B190" s="21" t="s">
        <v>232</v>
      </c>
      <c r="C190" s="21" t="str">
        <f>IF(T190="TRUE",VLOOKUP(A190,'Stock Nodes'!$A$1:$D$63,4,FALSE),IF(U190="TRUE",VLOOKUP(A190,'CTT Nodes'!$A$1:$D$83,4,FALSE),VLOOKUP(A190,'ETT Nodes'!$A$1:$D$87,3,FALSE)))</f>
        <v>Renewable Energy</v>
      </c>
      <c r="D190" s="21" t="str">
        <f>"Node"&amp;TEXT(X190,"0")&amp;"_"&amp;A190</f>
        <v>Node3_solarTech</v>
      </c>
      <c r="E190" s="22" t="str">
        <f>IF(OR(V190="TRUE",B190&lt;&gt;C190),"#LOC_ETT_"&amp;A190&amp;"_description",IF(T190="TRUE",VLOOKUP(A190,'Stock Nodes'!$A$1:$C$63,2,FALSE),IF(U190="TRUE",VLOOKUP(A190,'CTT Nodes'!$A$1:$D$83,2,FALSE))))</f>
        <v>#LOC_ETT_solarTech_description</v>
      </c>
      <c r="F190" s="58">
        <v>25</v>
      </c>
      <c r="G190" s="21">
        <f t="array" ref="G190">INDEX(TNodeCols,MATCH(1,MMULT(--(TTechTree=A190),TRANSPOSE(COLUMN(TTechTree)^0)),0))</f>
        <v>-2267.4000000000024</v>
      </c>
      <c r="H190" s="21">
        <f t="array" ref="H190">INDEX(NodeRows,MATCH(1,MMULT(--(TechTree=A190),TRANSPOSE(COLUMN(TechTree)^0)),0))</f>
        <v>721</v>
      </c>
      <c r="I190" s="63" t="str">
        <f>TEXT(G190,"0") &amp; ", " &amp; TEXT(H190,"0") &amp;", -2"</f>
        <v>-2267, 721, -2</v>
      </c>
      <c r="J190" s="63">
        <f>IF(T190="TRUE",VLOOKUP(A190,'Stock Nodes'!$A$1:$C$63,3,FALSE),IF(U190="TRUE",VLOOKUP(A190,'CTT Nodes'!$A$1:$G$83,7,FALSE),VLOOKUP(A190,'ETT Nodes'!$A$1:$E$87,5,FALSE)))</f>
        <v>0</v>
      </c>
      <c r="K190" s="21" t="s">
        <v>91</v>
      </c>
      <c r="L190" s="63" t="s">
        <v>2069</v>
      </c>
      <c r="M190" s="63" t="s">
        <v>2067</v>
      </c>
      <c r="N190" s="6"/>
      <c r="O190" s="63"/>
      <c r="P190" s="63"/>
      <c r="Q190" s="6"/>
      <c r="R190" s="63"/>
      <c r="S190" s="63"/>
      <c r="T190" s="25" t="str">
        <f>IF(ISNA(VLOOKUP(A190,'Stock Nodes'!$A$1:$C$63,1,FALSE)),"FALSE","TRUE")</f>
        <v>FALSE</v>
      </c>
      <c r="U190" s="25" t="str">
        <f>IF(ISNA(VLOOKUP(A190,'CTT Nodes'!$A$1:$D$83,1,FALSE)),"FALSE","TRUE")</f>
        <v>FALSE</v>
      </c>
      <c r="V190" s="25" t="str">
        <f>IF(OR(T190="TRUE",U190="TRUE"),"FALSE","TRUE")</f>
        <v>TRUE</v>
      </c>
      <c r="W190" s="63">
        <v>188</v>
      </c>
      <c r="X190" s="59">
        <v>3</v>
      </c>
      <c r="Y190" s="20"/>
      <c r="Z190" s="20"/>
      <c r="AA190" s="20"/>
      <c r="AB190" s="20"/>
      <c r="AC190" s="20"/>
      <c r="AD190" s="20"/>
      <c r="AE190" s="20"/>
      <c r="AF190" s="20"/>
      <c r="AG190" s="20"/>
      <c r="AH190" s="20"/>
      <c r="AI190" s="20"/>
      <c r="AJ190" s="20"/>
      <c r="AK190" s="20"/>
      <c r="AL190" s="20"/>
      <c r="AM190" s="20"/>
      <c r="AN190" s="20"/>
      <c r="AO190" s="20"/>
      <c r="AP190" s="20"/>
      <c r="AQ190" s="20"/>
      <c r="AR190" s="20"/>
      <c r="AS190" s="20"/>
      <c r="AT190" s="20"/>
      <c r="AU190" s="20"/>
      <c r="AV190" s="20"/>
      <c r="AW190" s="20"/>
      <c r="AX190" s="20"/>
      <c r="AY190" s="20"/>
      <c r="AZ190" s="20"/>
      <c r="BA190" s="20"/>
      <c r="BB190" s="20"/>
      <c r="BC190" s="20"/>
      <c r="BD190" s="20"/>
      <c r="BE190" s="20"/>
      <c r="BF190" s="20"/>
      <c r="BG190" s="20"/>
      <c r="BH190" s="20"/>
    </row>
    <row r="191" spans="1:60" x14ac:dyDescent="0.25">
      <c r="A191" s="63" t="s">
        <v>101</v>
      </c>
      <c r="B191" s="21" t="s">
        <v>471</v>
      </c>
      <c r="C191" s="21" t="str">
        <f>IF(T191="TRUE",VLOOKUP(A191,'Stock Nodes'!$A$1:$D$63,4,FALSE),IF(U191="TRUE",VLOOKUP(A191,'CTT Nodes'!$A$1:$D$83,4,FALSE),VLOOKUP(A191,'ETT Nodes'!$A$1:$D$87,3,FALSE)))</f>
        <v>Advanced Solar Technology</v>
      </c>
      <c r="D191" s="21" t="str">
        <f>"Node"&amp;TEXT(X191,"0")&amp;"_"&amp;A191</f>
        <v>Node5_advSolarTech</v>
      </c>
      <c r="E191" s="22" t="str">
        <f>IF(OR(V191="TRUE",B191&lt;&gt;C191),"#LOC_ETT_"&amp;A191&amp;"_description",IF(T191="TRUE",VLOOKUP(A191,'Stock Nodes'!$A$1:$C$63,2,FALSE),IF(U191="TRUE",VLOOKUP(A191,'CTT Nodes'!$A$1:$D$83,2,FALSE))))</f>
        <v>#LOC_ETT_advSolarTech_description</v>
      </c>
      <c r="F191" s="58">
        <v>95</v>
      </c>
      <c r="G191" s="21">
        <f t="array" ref="G191">INDEX(TNodeCols,MATCH(1,MMULT(--(TTechTree=A191),TRANSPOSE(COLUMN(TTechTree)^0)),0))</f>
        <v>-2267.4000000000024</v>
      </c>
      <c r="H191" s="21">
        <f t="array" ref="H191">INDEX(NodeRows,MATCH(1,MMULT(--(TechTree=A191),TRANSPOSE(COLUMN(TechTree)^0)),0))</f>
        <v>645</v>
      </c>
      <c r="I191" s="63" t="str">
        <f>TEXT(G191,"0") &amp; ", " &amp; TEXT(H191,"0") &amp;", -2"</f>
        <v>-2267, 645, -2</v>
      </c>
      <c r="J191" s="63" t="str">
        <f>IF(T191="TRUE",VLOOKUP(A191,'Stock Nodes'!$A$1:$C$63,3,FALSE),IF(U191="TRUE",VLOOKUP(A191,'CTT Nodes'!$A$1:$G$83,7,FALSE),VLOOKUP(A191,'ETT Nodes'!$A$1:$E$87,5,FALSE)))</f>
        <v>ETTR/UI/CTT/ctt_icon_advSolarTech</v>
      </c>
      <c r="K191" s="21" t="s">
        <v>470</v>
      </c>
      <c r="L191" s="63" t="s">
        <v>2070</v>
      </c>
      <c r="M191" s="63" t="s">
        <v>2067</v>
      </c>
      <c r="N191" s="6"/>
      <c r="O191" s="63"/>
      <c r="P191" s="63"/>
      <c r="Q191" s="6"/>
      <c r="R191" s="63"/>
      <c r="S191" s="63"/>
      <c r="T191" s="25" t="str">
        <f>IF(ISNA(VLOOKUP(A191,'Stock Nodes'!$A$1:$C$63,1,FALSE)),"FALSE","TRUE")</f>
        <v>FALSE</v>
      </c>
      <c r="U191" s="25" t="str">
        <f>IF(ISNA(VLOOKUP(A191,'CTT Nodes'!$A$1:$D$83,1,FALSE)),"FALSE","TRUE")</f>
        <v>TRUE</v>
      </c>
      <c r="V191" s="25" t="str">
        <f>IF(OR(T191="TRUE",U191="TRUE"),"FALSE","TRUE")</f>
        <v>FALSE</v>
      </c>
      <c r="W191" s="68">
        <v>189</v>
      </c>
      <c r="X191" s="59">
        <v>4.67</v>
      </c>
      <c r="Y191" s="20"/>
      <c r="Z191" s="20"/>
      <c r="AA191" s="20"/>
      <c r="AB191" s="20"/>
      <c r="AC191" s="20"/>
      <c r="AD191" s="20"/>
      <c r="AE191" s="20"/>
      <c r="AF191" s="20"/>
      <c r="AG191" s="20"/>
      <c r="AH191" s="20"/>
      <c r="AI191" s="20"/>
      <c r="AJ191" s="20"/>
      <c r="AK191" s="20"/>
      <c r="AL191" s="20"/>
      <c r="AM191" s="20"/>
      <c r="AN191" s="20"/>
      <c r="AO191" s="20"/>
      <c r="AP191" s="20"/>
      <c r="AQ191" s="20"/>
      <c r="AR191" s="20"/>
      <c r="AS191" s="20"/>
      <c r="AT191" s="20"/>
      <c r="AU191" s="20"/>
      <c r="AV191" s="20"/>
      <c r="AW191" s="20"/>
      <c r="AX191" s="20"/>
      <c r="AY191" s="20"/>
      <c r="AZ191" s="20"/>
      <c r="BA191" s="20"/>
      <c r="BB191" s="20"/>
      <c r="BC191" s="20"/>
      <c r="BD191" s="20"/>
      <c r="BE191" s="20"/>
      <c r="BF191" s="20"/>
      <c r="BG191" s="20"/>
      <c r="BH191" s="20"/>
    </row>
    <row r="192" spans="1:60" x14ac:dyDescent="0.25">
      <c r="A192" s="14" t="s">
        <v>130</v>
      </c>
      <c r="B192" s="21" t="s">
        <v>367</v>
      </c>
      <c r="C192" s="21" t="str">
        <f>IF(T192="TRUE",VLOOKUP(A192,'Stock Nodes'!$A$1:$D$63,4,FALSE),IF(U192="TRUE",VLOOKUP(A192,'CTT Nodes'!$A$1:$D$83,4,FALSE),VLOOKUP(A192,'ETT Nodes'!$A$1:$D$87,3,FALSE)))</f>
        <v>Advanced Photovoltaic Materials</v>
      </c>
      <c r="D192" s="21" t="str">
        <f>"Node"&amp;TEXT(X192,"0")&amp;"_"&amp;A192</f>
        <v>Node5_advPVMaterials</v>
      </c>
      <c r="E192" s="22" t="str">
        <f>IF(OR(V192="TRUE",B192&lt;&gt;C192),"#LOC_ETT_"&amp;A192&amp;"_description",IF(T192="TRUE",VLOOKUP(A192,'Stock Nodes'!$A$1:$C$63,2,FALSE),IF(U192="TRUE",VLOOKUP(A192,'CTT Nodes'!$A$1:$D$83,2,FALSE))))</f>
        <v>#LOC_CTT_advPVMaterials_description</v>
      </c>
      <c r="F192" s="58">
        <v>150</v>
      </c>
      <c r="G192" s="21">
        <f t="array" ref="G192">INDEX(TNodeCols,MATCH(1,MMULT(--(TTechTree=A192),TRANSPOSE(COLUMN(TTechTree)^0)),0))</f>
        <v>-2267.4000000000024</v>
      </c>
      <c r="H192" s="21">
        <f t="array" ref="H192">INDEX(NodeRows,MATCH(1,MMULT(--(TechTree=A192),TRANSPOSE(COLUMN(TechTree)^0)),0))</f>
        <v>569</v>
      </c>
      <c r="I192" s="63" t="str">
        <f>TEXT(G192,"0") &amp; ", " &amp; TEXT(H192,"0") &amp;", -2"</f>
        <v>-2267, 569, -2</v>
      </c>
      <c r="J192" s="63" t="str">
        <f>IF(T192="TRUE",VLOOKUP(A192,'Stock Nodes'!$A$1:$C$63,3,FALSE),IF(U192="TRUE",VLOOKUP(A192,'CTT Nodes'!$A$1:$G$83,7,FALSE),VLOOKUP(A192,'ETT Nodes'!$A$1:$E$87,5,FALSE)))</f>
        <v>ETTR/UI/CTT/ctt_icon_advPVMaterials</v>
      </c>
      <c r="K192" s="21" t="s">
        <v>101</v>
      </c>
      <c r="L192" s="63" t="s">
        <v>2070</v>
      </c>
      <c r="M192" s="63" t="s">
        <v>2067</v>
      </c>
      <c r="N192" s="6"/>
      <c r="O192" s="63"/>
      <c r="P192" s="63"/>
      <c r="Q192" s="6"/>
      <c r="R192" s="63"/>
      <c r="S192" s="63"/>
      <c r="T192" s="25" t="str">
        <f>IF(ISNA(VLOOKUP(A192,'Stock Nodes'!$A$1:$C$63,1,FALSE)),"FALSE","TRUE")</f>
        <v>FALSE</v>
      </c>
      <c r="U192" s="25" t="str">
        <f>IF(ISNA(VLOOKUP(A192,'CTT Nodes'!$A$1:$D$83,1,FALSE)),"FALSE","TRUE")</f>
        <v>TRUE</v>
      </c>
      <c r="V192" s="25" t="str">
        <f>IF(OR(T192="TRUE",U192="TRUE"),"FALSE","TRUE")</f>
        <v>FALSE</v>
      </c>
      <c r="W192" s="68">
        <v>190</v>
      </c>
      <c r="X192" s="59">
        <v>5.25</v>
      </c>
      <c r="Y192" s="20"/>
      <c r="Z192" s="20"/>
      <c r="AA192" s="20"/>
      <c r="AB192" s="20"/>
      <c r="AC192" s="20"/>
      <c r="AD192" s="20"/>
      <c r="AE192" s="20"/>
      <c r="AF192" s="20"/>
      <c r="AG192" s="20"/>
      <c r="AH192" s="20"/>
      <c r="AI192" s="20"/>
      <c r="AJ192" s="20"/>
      <c r="AK192" s="20"/>
      <c r="AL192" s="20"/>
      <c r="AM192" s="20"/>
      <c r="AN192" s="20"/>
      <c r="AO192" s="20"/>
      <c r="AP192" s="20"/>
      <c r="AQ192" s="20"/>
      <c r="AR192" s="20"/>
      <c r="AS192" s="20"/>
      <c r="AT192" s="20"/>
      <c r="AU192" s="20"/>
      <c r="AV192" s="20"/>
      <c r="AW192" s="20"/>
      <c r="AX192" s="20"/>
      <c r="AY192" s="20"/>
      <c r="AZ192" s="20"/>
      <c r="BA192" s="20"/>
      <c r="BB192" s="20"/>
      <c r="BC192" s="20"/>
      <c r="BD192" s="20"/>
      <c r="BE192" s="20"/>
      <c r="BF192" s="20"/>
      <c r="BG192" s="20"/>
      <c r="BH192" s="20"/>
    </row>
    <row r="193" spans="1:60" x14ac:dyDescent="0.25">
      <c r="A193" s="63" t="s">
        <v>178</v>
      </c>
      <c r="B193" s="21" t="s">
        <v>472</v>
      </c>
      <c r="C193" s="21" t="str">
        <f>IF(T193="TRUE",VLOOKUP(A193,'Stock Nodes'!$A$1:$D$63,4,FALSE),IF(U193="TRUE",VLOOKUP(A193,'CTT Nodes'!$A$1:$D$83,4,FALSE),VLOOKUP(A193,'ETT Nodes'!$A$1:$D$87,3,FALSE)))</f>
        <v>Cutting-Edge Solar Technology</v>
      </c>
      <c r="D193" s="21" t="str">
        <f>"Node"&amp;TEXT(X193,"0")&amp;"_"&amp;A193</f>
        <v>Node6_cuttingEdgeSolarTech</v>
      </c>
      <c r="E193" s="22" t="str">
        <f>IF(OR(V193="TRUE",B193&lt;&gt;C193),"#LOC_ETT_"&amp;A193&amp;"_description",IF(T193="TRUE",VLOOKUP(A193,'Stock Nodes'!$A$1:$C$63,2,FALSE),IF(U193="TRUE",VLOOKUP(A193,'CTT Nodes'!$A$1:$D$83,2,FALSE))))</f>
        <v>#LOC_ETT_cuttingEdgeSolarTech_description</v>
      </c>
      <c r="F193" s="58">
        <v>250</v>
      </c>
      <c r="G193" s="21">
        <f t="array" ref="G193">INDEX(TNodeCols,MATCH(1,MMULT(--(TTechTree=A193),TRANSPOSE(COLUMN(TTechTree)^0)),0))</f>
        <v>-2267.4000000000024</v>
      </c>
      <c r="H193" s="21">
        <f t="array" ref="H193">INDEX(NodeRows,MATCH(1,MMULT(--(TechTree=A193),TRANSPOSE(COLUMN(TechTree)^0)),0))</f>
        <v>493</v>
      </c>
      <c r="I193" s="63" t="str">
        <f>TEXT(G193,"0") &amp; ", " &amp; TEXT(H193,"0") &amp;", -2"</f>
        <v>-2267, 493, -2</v>
      </c>
      <c r="J193" s="63" t="str">
        <f>IF(T193="TRUE",VLOOKUP(A193,'Stock Nodes'!$A$1:$C$63,3,FALSE),IF(U193="TRUE",VLOOKUP(A193,'CTT Nodes'!$A$1:$G$83,7,FALSE),VLOOKUP(A193,'ETT Nodes'!$A$1:$E$87,5,FALSE)))</f>
        <v>ETTR/UI/CTT/ctt_icon_cuttingEdgeSolar</v>
      </c>
      <c r="K193" s="21" t="s">
        <v>130</v>
      </c>
      <c r="L193" s="63" t="s">
        <v>2070</v>
      </c>
      <c r="M193" s="63" t="s">
        <v>2067</v>
      </c>
      <c r="N193" s="6"/>
      <c r="O193" s="63"/>
      <c r="P193" s="63"/>
      <c r="Q193" s="6"/>
      <c r="R193" s="63"/>
      <c r="S193" s="63"/>
      <c r="T193" s="25" t="str">
        <f>IF(ISNA(VLOOKUP(A193,'Stock Nodes'!$A$1:$C$63,1,FALSE)),"FALSE","TRUE")</f>
        <v>FALSE</v>
      </c>
      <c r="U193" s="25" t="str">
        <f>IF(ISNA(VLOOKUP(A193,'CTT Nodes'!$A$1:$D$83,1,FALSE)),"FALSE","TRUE")</f>
        <v>TRUE</v>
      </c>
      <c r="V193" s="25" t="str">
        <f>IF(OR(T193="TRUE",U193="TRUE"),"FALSE","TRUE")</f>
        <v>FALSE</v>
      </c>
      <c r="W193" s="63">
        <v>191</v>
      </c>
      <c r="X193" s="59">
        <v>6</v>
      </c>
      <c r="Y193" s="20"/>
      <c r="Z193" s="20"/>
      <c r="AA193" s="20"/>
      <c r="AB193" s="20"/>
      <c r="AC193" s="20"/>
      <c r="AD193" s="20"/>
      <c r="AE193" s="20"/>
      <c r="AF193" s="20"/>
      <c r="AG193" s="20"/>
      <c r="AH193" s="20"/>
      <c r="AI193" s="20"/>
      <c r="AJ193" s="20"/>
      <c r="AK193" s="20"/>
      <c r="AL193" s="20"/>
      <c r="AM193" s="20"/>
      <c r="AN193" s="20"/>
      <c r="AO193" s="20"/>
      <c r="AP193" s="20"/>
      <c r="AQ193" s="20"/>
      <c r="AR193" s="20"/>
      <c r="AS193" s="20"/>
      <c r="AT193" s="20"/>
      <c r="AU193" s="20"/>
      <c r="AV193" s="20"/>
      <c r="AW193" s="20"/>
      <c r="AX193" s="20"/>
      <c r="AY193" s="20"/>
      <c r="AZ193" s="20"/>
      <c r="BA193" s="20"/>
      <c r="BB193" s="20"/>
      <c r="BC193" s="20"/>
      <c r="BD193" s="20"/>
      <c r="BE193" s="20"/>
      <c r="BF193" s="20"/>
      <c r="BG193" s="20"/>
      <c r="BH193" s="20"/>
    </row>
    <row r="194" spans="1:60" x14ac:dyDescent="0.25">
      <c r="A194" s="14" t="s">
        <v>473</v>
      </c>
      <c r="B194" s="21" t="s">
        <v>364</v>
      </c>
      <c r="C194" s="21" t="str">
        <f>IF(T194="TRUE",VLOOKUP(A194,'Stock Nodes'!$A$1:$D$63,4,FALSE),IF(U194="TRUE",VLOOKUP(A194,'CTT Nodes'!$A$1:$D$83,4,FALSE),VLOOKUP(A194,'ETT Nodes'!$A$1:$D$87,3,FALSE)))</f>
        <v>Experimental Renewable Energy</v>
      </c>
      <c r="D194" s="21" t="str">
        <f>"Node"&amp;TEXT(X194,"0")&amp;"_"&amp;A194</f>
        <v>Node7_expSolarTech</v>
      </c>
      <c r="E194" s="22" t="str">
        <f>IF(OR(V194="TRUE",B194&lt;&gt;C194),"#LOC_ETT_"&amp;A194&amp;"_description",IF(T194="TRUE",VLOOKUP(A194,'Stock Nodes'!$A$1:$C$63,2,FALSE),IF(U194="TRUE",VLOOKUP(A194,'CTT Nodes'!$A$1:$D$83,2,FALSE))))</f>
        <v>#LOC_ETT_expSolarTech_description</v>
      </c>
      <c r="F194" s="58">
        <v>375</v>
      </c>
      <c r="G194" s="21">
        <f t="array" ref="G194">INDEX(TNodeCols,MATCH(1,MMULT(--(TTechTree=A194),TRANSPOSE(COLUMN(TTechTree)^0)),0))</f>
        <v>-2267.4000000000024</v>
      </c>
      <c r="H194" s="21">
        <f t="array" ref="H194">INDEX(NodeRows,MATCH(1,MMULT(--(TechTree=A194),TRANSPOSE(COLUMN(TechTree)^0)),0))</f>
        <v>417</v>
      </c>
      <c r="I194" s="63" t="str">
        <f>TEXT(G194,"0") &amp; ", " &amp; TEXT(H194,"0") &amp;", -2"</f>
        <v>-2267, 417, -2</v>
      </c>
      <c r="J194" s="63">
        <f>IF(T194="TRUE",VLOOKUP(A194,'Stock Nodes'!$A$1:$C$63,3,FALSE),IF(U194="TRUE",VLOOKUP(A194,'CTT Nodes'!$A$1:$G$83,7,FALSE),VLOOKUP(A194,'ETT Nodes'!$A$1:$E$87,5,FALSE)))</f>
        <v>0</v>
      </c>
      <c r="K194" s="21"/>
      <c r="L194" s="63"/>
      <c r="M194" s="63"/>
      <c r="N194" s="21"/>
      <c r="O194" s="63"/>
      <c r="P194" s="63"/>
      <c r="Q194" s="6"/>
      <c r="R194" s="63"/>
      <c r="S194" s="63"/>
      <c r="T194" s="25" t="str">
        <f>IF(ISNA(VLOOKUP(A194,'Stock Nodes'!$A$1:$C$63,1,FALSE)),"FALSE","TRUE")</f>
        <v>FALSE</v>
      </c>
      <c r="U194" s="25" t="str">
        <f>IF(ISNA(VLOOKUP(A194,'CTT Nodes'!$A$1:$D$83,1,FALSE)),"FALSE","TRUE")</f>
        <v>FALSE</v>
      </c>
      <c r="V194" s="25" t="str">
        <f>IF(OR(T194="TRUE",U194="TRUE"),"FALSE","TRUE")</f>
        <v>TRUE</v>
      </c>
      <c r="W194" s="68">
        <v>192</v>
      </c>
      <c r="X194" s="59">
        <v>7</v>
      </c>
      <c r="Y194" s="20"/>
      <c r="Z194" s="20"/>
      <c r="AA194" s="20"/>
      <c r="AB194" s="20"/>
      <c r="AC194" s="20"/>
      <c r="AD194" s="20"/>
      <c r="AE194" s="20"/>
      <c r="AF194" s="20"/>
      <c r="AG194" s="20"/>
      <c r="AH194" s="20"/>
      <c r="AI194" s="20"/>
      <c r="AJ194" s="20"/>
      <c r="AK194" s="20"/>
      <c r="AL194" s="20"/>
      <c r="AM194" s="20"/>
      <c r="AN194" s="20"/>
      <c r="AO194" s="20"/>
      <c r="AP194" s="20"/>
      <c r="AQ194" s="20"/>
      <c r="AR194" s="20"/>
      <c r="AS194" s="20"/>
      <c r="AT194" s="20"/>
      <c r="AU194" s="20"/>
      <c r="AV194" s="20"/>
      <c r="AW194" s="20"/>
      <c r="AX194" s="20"/>
      <c r="AY194" s="20"/>
      <c r="AZ194" s="20"/>
      <c r="BA194" s="20"/>
      <c r="BB194" s="20"/>
      <c r="BC194" s="20"/>
      <c r="BD194" s="20"/>
      <c r="BE194" s="20"/>
      <c r="BF194" s="20"/>
      <c r="BG194" s="20"/>
      <c r="BH194" s="20"/>
    </row>
    <row r="195" spans="1:60" x14ac:dyDescent="0.25">
      <c r="A195" s="14" t="s">
        <v>431</v>
      </c>
      <c r="B195" s="21" t="s">
        <v>474</v>
      </c>
      <c r="C195" s="21" t="str">
        <f>IF(T195="TRUE",VLOOKUP(A195,'Stock Nodes'!$A$1:$D$63,4,FALSE),IF(U195="TRUE",VLOOKUP(A195,'CTT Nodes'!$A$1:$D$83,4,FALSE),VLOOKUP(A195,'ETT Nodes'!$A$1:$D$87,3,FALSE)))</f>
        <v>Exotic Solar Technology</v>
      </c>
      <c r="D195" s="21" t="str">
        <f>"Node"&amp;TEXT(X195,"0")&amp;"_"&amp;A195</f>
        <v>Node8_exoticSolarTech</v>
      </c>
      <c r="E195" s="22" t="str">
        <f>IF(OR(V195="TRUE",B195&lt;&gt;C195),"#LOC_ETT_"&amp;A195&amp;"_description",IF(T195="TRUE",VLOOKUP(A195,'Stock Nodes'!$A$1:$C$63,2,FALSE),IF(U195="TRUE",VLOOKUP(A195,'CTT Nodes'!$A$1:$D$83,2,FALSE))))</f>
        <v>#LOC_ETT_exoticSolarTech_description</v>
      </c>
      <c r="F195" s="58">
        <v>495</v>
      </c>
      <c r="G195" s="63">
        <f t="array" ref="G195">INDEX(TNodeCols,MATCH(1,MMULT(--(TTechTree=A195),TRANSPOSE(COLUMN(TTechTree)^0)),0))</f>
        <v>-2267.4000000000024</v>
      </c>
      <c r="H195" s="21">
        <f t="array" ref="H195">INDEX(NodeRows,MATCH(1,MMULT(--(TechTree=A195),TRANSPOSE(COLUMN(TechTree)^0)),0))</f>
        <v>341</v>
      </c>
      <c r="I195" s="63" t="str">
        <f>TEXT(G195,"0") &amp; ", " &amp; TEXT(H195,"0") &amp;", -2"</f>
        <v>-2267, 341, -2</v>
      </c>
      <c r="J195" s="63" t="str">
        <f>IF(T195="TRUE",VLOOKUP(A195,'Stock Nodes'!$A$1:$C$63,3,FALSE),IF(U195="TRUE",VLOOKUP(A195,'CTT Nodes'!$A$1:$G$83,7,FALSE),VLOOKUP(A195,'ETT Nodes'!$A$1:$E$87,5,FALSE)))</f>
        <v>ETTR/UI/CTT/ctt_icon_exoticSolarTech</v>
      </c>
      <c r="K195" s="63" t="s">
        <v>178</v>
      </c>
      <c r="L195" s="63" t="s">
        <v>2070</v>
      </c>
      <c r="M195" s="63" t="s">
        <v>2067</v>
      </c>
      <c r="N195" s="6"/>
      <c r="O195" s="63"/>
      <c r="P195" s="63"/>
      <c r="Q195" s="6"/>
      <c r="R195" s="63"/>
      <c r="S195" s="63"/>
      <c r="T195" s="25" t="str">
        <f>IF(ISNA(VLOOKUP(A195,'Stock Nodes'!$A$1:$C$63,1,FALSE)),"FALSE","TRUE")</f>
        <v>FALSE</v>
      </c>
      <c r="U195" s="25" t="str">
        <f>IF(ISNA(VLOOKUP(A195,'CTT Nodes'!$A$1:$D$83,1,FALSE)),"FALSE","TRUE")</f>
        <v>TRUE</v>
      </c>
      <c r="V195" s="25" t="str">
        <f>IF(OR(T195="TRUE",U195="TRUE"),"FALSE","TRUE")</f>
        <v>FALSE</v>
      </c>
      <c r="W195" s="68">
        <v>193</v>
      </c>
      <c r="X195" s="59">
        <v>8</v>
      </c>
      <c r="Y195" s="20"/>
      <c r="Z195" s="20"/>
      <c r="AA195" s="20"/>
      <c r="AB195" s="20"/>
      <c r="AC195" s="20"/>
      <c r="AD195" s="20"/>
      <c r="AE195" s="20"/>
      <c r="AF195" s="20"/>
      <c r="AG195" s="20"/>
      <c r="AH195" s="20"/>
      <c r="AI195" s="20"/>
      <c r="AJ195" s="20"/>
      <c r="AK195" s="20"/>
      <c r="AL195" s="20"/>
      <c r="AM195" s="20"/>
      <c r="AN195" s="20"/>
      <c r="AO195" s="20"/>
      <c r="AP195" s="20"/>
      <c r="AQ195" s="20"/>
      <c r="AR195" s="20"/>
      <c r="AS195" s="20"/>
      <c r="AT195" s="20"/>
      <c r="AU195" s="20"/>
      <c r="AV195" s="20"/>
      <c r="AW195" s="20"/>
      <c r="AX195" s="20"/>
      <c r="AY195" s="20"/>
      <c r="AZ195" s="20"/>
      <c r="BA195" s="20"/>
      <c r="BB195" s="20"/>
      <c r="BC195" s="20"/>
      <c r="BD195" s="20"/>
      <c r="BE195" s="20"/>
      <c r="BF195" s="20"/>
      <c r="BG195" s="20"/>
      <c r="BH195" s="20"/>
    </row>
    <row r="196" spans="1:60" x14ac:dyDescent="0.25">
      <c r="A196" s="21" t="s">
        <v>181</v>
      </c>
      <c r="B196" s="21" t="s">
        <v>182</v>
      </c>
      <c r="C196" s="21" t="str">
        <f>IF(T196="TRUE",VLOOKUP(A196,'Stock Nodes'!$A$1:$D$63,4,FALSE),IF(U196="TRUE",VLOOKUP(A196,'CTT Nodes'!$A$1:$D$83,4,FALSE),VLOOKUP(A196,'ETT Nodes'!$A$1:$D$87,3,FALSE)))</f>
        <v>Plasma Propulsion</v>
      </c>
      <c r="D196" s="21" t="str">
        <f>"Node"&amp;TEXT(X196,"0")&amp;"_"&amp;A196</f>
        <v>Node9_plasmaPropulsion</v>
      </c>
      <c r="E196" s="22" t="str">
        <f>IF(OR(V196="TRUE",B196&lt;&gt;C196),"#LOC_ETT_"&amp;A196&amp;"_description",IF(T196="TRUE",VLOOKUP(A196,'Stock Nodes'!$A$1:$C$63,2,FALSE),IF(U196="TRUE",VLOOKUP(A196,'CTT Nodes'!$A$1:$D$83,2,FALSE))))</f>
        <v>#LOC_CTT_plasmaPropulsion_description</v>
      </c>
      <c r="F196" s="58">
        <v>750</v>
      </c>
      <c r="G196" s="63">
        <f t="array" ref="G196">INDEX(TNodeCols,MATCH(1,MMULT(--(TTechTree=A196),TRANSPOSE(COLUMN(TTechTree)^0)),0))</f>
        <v>-2032.5000000000018</v>
      </c>
      <c r="H196" s="21">
        <f t="array" ref="H196">INDEX(NodeRows,MATCH(1,MMULT(--(TechTree=A196),TRANSPOSE(COLUMN(TechTree)^0)),0))</f>
        <v>417</v>
      </c>
      <c r="I196" s="63" t="str">
        <f>TEXT(G196,"0") &amp; ", " &amp; TEXT(H196,"0") &amp;", -2"</f>
        <v>-2033, 417, -2</v>
      </c>
      <c r="J196" s="63" t="str">
        <f>IF(T196="TRUE",VLOOKUP(A196,'Stock Nodes'!$A$1:$C$63,3,FALSE),IF(U196="TRUE",VLOOKUP(A196,'CTT Nodes'!$A$1:$G$83,7,FALSE),VLOOKUP(A196,'ETT Nodes'!$A$1:$E$87,5,FALSE)))</f>
        <v>ETTR/UI/CTT/ctt_icon_plasmaPropulsion</v>
      </c>
      <c r="K196" s="21" t="s">
        <v>477</v>
      </c>
      <c r="L196" s="63" t="s">
        <v>2068</v>
      </c>
      <c r="M196" s="63" t="s">
        <v>2067</v>
      </c>
      <c r="N196" s="63"/>
      <c r="O196" s="63"/>
      <c r="P196" s="63"/>
      <c r="Q196" s="21"/>
      <c r="R196" s="63"/>
      <c r="S196" s="63"/>
      <c r="T196" s="25" t="str">
        <f>IF(ISNA(VLOOKUP(A196,'Stock Nodes'!$A$1:$C$63,1,FALSE)),"FALSE","TRUE")</f>
        <v>FALSE</v>
      </c>
      <c r="U196" s="25" t="str">
        <f>IF(ISNA(VLOOKUP(A196,'CTT Nodes'!$A$1:$D$83,1,FALSE)),"FALSE","TRUE")</f>
        <v>TRUE</v>
      </c>
      <c r="V196" s="25" t="str">
        <f>IF(OR(T196="TRUE",U196="TRUE"),"FALSE","TRUE")</f>
        <v>FALSE</v>
      </c>
      <c r="W196" s="63">
        <v>194</v>
      </c>
      <c r="X196" s="59">
        <v>9</v>
      </c>
      <c r="Y196" s="20"/>
      <c r="Z196" s="20"/>
      <c r="AA196" s="20"/>
      <c r="AB196" s="20"/>
      <c r="AC196" s="20"/>
      <c r="AD196" s="20"/>
      <c r="AE196" s="20"/>
      <c r="AF196" s="20"/>
      <c r="AG196" s="20"/>
      <c r="AH196" s="20"/>
      <c r="AI196" s="20"/>
      <c r="AJ196" s="20"/>
      <c r="AK196" s="20"/>
      <c r="AL196" s="20"/>
      <c r="AM196" s="20"/>
      <c r="AN196" s="20"/>
      <c r="AO196" s="20"/>
      <c r="AP196" s="20"/>
      <c r="AQ196" s="20"/>
      <c r="AR196" s="20"/>
      <c r="AS196" s="20"/>
      <c r="AT196" s="20"/>
      <c r="AU196" s="20"/>
      <c r="AV196" s="20"/>
      <c r="AW196" s="20"/>
      <c r="AX196" s="20"/>
      <c r="AY196" s="20"/>
      <c r="AZ196" s="20"/>
      <c r="BA196" s="20"/>
      <c r="BB196" s="20"/>
      <c r="BC196" s="20"/>
      <c r="BD196" s="20"/>
      <c r="BE196" s="20"/>
      <c r="BF196" s="20"/>
      <c r="BG196" s="20"/>
      <c r="BH196" s="20"/>
    </row>
    <row r="197" spans="1:60" s="20" customFormat="1" x14ac:dyDescent="0.25">
      <c r="A197" s="21" t="s">
        <v>191</v>
      </c>
      <c r="B197" s="21" t="s">
        <v>368</v>
      </c>
      <c r="C197" s="21" t="str">
        <f>IF(T197="TRUE",VLOOKUP(A197,'Stock Nodes'!$A$1:$D$63,4,FALSE),IF(U197="TRUE",VLOOKUP(A197,'CTT Nodes'!$A$1:$D$83,4,FALSE),VLOOKUP(A197,'ETT Nodes'!$A$1:$D$87,3,FALSE)))</f>
        <v>Advanced Plasma Propulsion</v>
      </c>
      <c r="D197" s="21" t="str">
        <f>"Node"&amp;TEXT(X197,"0")&amp;"_"&amp;A197</f>
        <v>Node11_advEMSystems</v>
      </c>
      <c r="E197" s="22" t="str">
        <f>IF(OR(V197="TRUE",B197&lt;&gt;C197),"#LOC_ETT_"&amp;A197&amp;"_description",IF(T197="TRUE",VLOOKUP(A197,'Stock Nodes'!$A$1:$C$63,2,FALSE),IF(U197="TRUE",VLOOKUP(A197,'CTT Nodes'!$A$1:$D$83,2,FALSE))))</f>
        <v>#LOC_CTT_advEMSystems_description</v>
      </c>
      <c r="F197" s="58">
        <v>1500</v>
      </c>
      <c r="G197" s="21">
        <f t="array" ref="G197">INDEX(TNodeCols,MATCH(1,MMULT(--(TTechTree=A197),TRANSPOSE(COLUMN(TTechTree)^0)),0))</f>
        <v>-2032.5000000000018</v>
      </c>
      <c r="H197" s="21">
        <f t="array" ref="H197">INDEX(NodeRows,MATCH(1,MMULT(--(TechTree=A197),TRANSPOSE(COLUMN(TechTree)^0)),0))</f>
        <v>341</v>
      </c>
      <c r="I197" s="63" t="str">
        <f>TEXT(G197,"0") &amp; ", " &amp; TEXT(H197,"0") &amp;", -2"</f>
        <v>-2033, 341, -2</v>
      </c>
      <c r="J197" s="63" t="str">
        <f>IF(T197="TRUE",VLOOKUP(A197,'Stock Nodes'!$A$1:$C$63,3,FALSE),IF(U197="TRUE",VLOOKUP(A197,'CTT Nodes'!$A$1:$G$83,7,FALSE),VLOOKUP(A197,'ETT Nodes'!$A$1:$E$87,5,FALSE)))</f>
        <v>ETTR/UI/CTT/ctt_icon_advancedPlasmaPropulsion</v>
      </c>
      <c r="K197" s="66" t="s">
        <v>181</v>
      </c>
      <c r="L197" s="63" t="s">
        <v>2070</v>
      </c>
      <c r="M197" s="63" t="s">
        <v>2067</v>
      </c>
      <c r="N197" s="21"/>
      <c r="O197" s="63"/>
      <c r="P197" s="63"/>
      <c r="Q197" s="21"/>
      <c r="R197" s="63"/>
      <c r="S197" s="63"/>
      <c r="T197" s="25" t="str">
        <f>IF(ISNA(VLOOKUP(A197,'Stock Nodes'!$A$1:$C$63,1,FALSE)),"FALSE","TRUE")</f>
        <v>FALSE</v>
      </c>
      <c r="U197" s="25" t="str">
        <f>IF(ISNA(VLOOKUP(A197,'CTT Nodes'!$A$1:$D$83,1,FALSE)),"FALSE","TRUE")</f>
        <v>TRUE</v>
      </c>
      <c r="V197" s="25" t="str">
        <f>IF(OR(T197="TRUE",U197="TRUE"),"FALSE","TRUE")</f>
        <v>FALSE</v>
      </c>
      <c r="W197" s="68">
        <v>195</v>
      </c>
      <c r="X197" s="59">
        <v>11</v>
      </c>
    </row>
    <row r="198" spans="1:60" s="20" customFormat="1" x14ac:dyDescent="0.25">
      <c r="A198" s="21" t="s">
        <v>185</v>
      </c>
      <c r="B198" s="21" t="s">
        <v>344</v>
      </c>
      <c r="C198" s="21" t="str">
        <f>IF(T198="TRUE",VLOOKUP(A198,'Stock Nodes'!$A$1:$D$63,4,FALSE),IF(U198="TRUE",VLOOKUP(A198,'CTT Nodes'!$A$1:$D$83,4,FALSE),VLOOKUP(A198,'ETT Nodes'!$A$1:$D$87,3,FALSE)))</f>
        <v>Specialized Plasma Propulsion</v>
      </c>
      <c r="D198" s="21" t="str">
        <f>"Node"&amp;TEXT(X198,"0")&amp;"_"&amp;A198</f>
        <v>Node13_specializedPlasmaGeneration</v>
      </c>
      <c r="E198" s="22" t="str">
        <f>IF(OR(V198="TRUE",B198&lt;&gt;C198),"#LOC_ETT_"&amp;A198&amp;"_description",IF(T198="TRUE",VLOOKUP(A198,'Stock Nodes'!$A$1:$C$63,2,FALSE),IF(U198="TRUE",VLOOKUP(A198,'CTT Nodes'!$A$1:$D$83,2,FALSE))))</f>
        <v>#LOC_CTT_specializedPlasmaGeneration_description</v>
      </c>
      <c r="F198" s="58">
        <v>2250</v>
      </c>
      <c r="G198" s="21">
        <f t="array" ref="G198">INDEX(TNodeCols,MATCH(1,MMULT(--(TTechTree=A198),TRANSPOSE(COLUMN(TTechTree)^0)),0))</f>
        <v>-2032.5000000000018</v>
      </c>
      <c r="H198" s="21">
        <f t="array" ref="H198">INDEX(NodeRows,MATCH(1,MMULT(--(TechTree=A198),TRANSPOSE(COLUMN(TechTree)^0)),0))</f>
        <v>265</v>
      </c>
      <c r="I198" s="63" t="str">
        <f>TEXT(G198,"0") &amp; ", " &amp; TEXT(H198,"0") &amp;", -2"</f>
        <v>-2033, 265, -2</v>
      </c>
      <c r="J198" s="63" t="str">
        <f>IF(T198="TRUE",VLOOKUP(A198,'Stock Nodes'!$A$1:$C$63,3,FALSE),IF(U198="TRUE",VLOOKUP(A198,'CTT Nodes'!$A$1:$G$83,7,FALSE),VLOOKUP(A198,'ETT Nodes'!$A$1:$E$87,5,FALSE)))</f>
        <v>ETTR/UI/CTT/ctt_icon_specializedPlasmaPropulsion</v>
      </c>
      <c r="K198" s="21" t="s">
        <v>191</v>
      </c>
      <c r="L198" s="63" t="s">
        <v>2070</v>
      </c>
      <c r="M198" s="63" t="s">
        <v>2067</v>
      </c>
      <c r="N198" s="63"/>
      <c r="O198" s="63"/>
      <c r="P198" s="63"/>
      <c r="Q198" s="21"/>
      <c r="R198" s="63"/>
      <c r="S198" s="63"/>
      <c r="T198" s="25" t="str">
        <f>IF(ISNA(VLOOKUP(A198,'Stock Nodes'!$A$1:$C$63,1,FALSE)),"FALSE","TRUE")</f>
        <v>FALSE</v>
      </c>
      <c r="U198" s="25" t="str">
        <f>IF(ISNA(VLOOKUP(A198,'CTT Nodes'!$A$1:$D$83,1,FALSE)),"FALSE","TRUE")</f>
        <v>TRUE</v>
      </c>
      <c r="V198" s="25" t="str">
        <f>IF(OR(T198="TRUE",U198="TRUE"),"FALSE","TRUE")</f>
        <v>FALSE</v>
      </c>
      <c r="W198" s="68">
        <v>196</v>
      </c>
      <c r="X198" s="59">
        <v>13</v>
      </c>
    </row>
    <row r="199" spans="1:60" s="20" customFormat="1" x14ac:dyDescent="0.25">
      <c r="A199" s="63" t="s">
        <v>429</v>
      </c>
      <c r="B199" s="21" t="s">
        <v>428</v>
      </c>
      <c r="C199" s="21" t="str">
        <f>IF(T199="TRUE",VLOOKUP(A199,'Stock Nodes'!$A$1:$D$63,4,FALSE),IF(U199="TRUE",VLOOKUP(A199,'CTT Nodes'!$A$1:$D$83,4,FALSE),VLOOKUP(A199,'ETT Nodes'!$A$1:$D$87,3,FALSE)))</f>
        <v>Exotic Plasma Propulsion</v>
      </c>
      <c r="D199" s="21" t="str">
        <f>"Node"&amp;TEXT(X199,"0")&amp;"_"&amp;A199</f>
        <v>Node16_exoticPlasmaPropulsion</v>
      </c>
      <c r="E199" s="22" t="str">
        <f>IF(OR(V199="TRUE",B199&lt;&gt;C199),"#LOC_ETT_"&amp;A199&amp;"_description",IF(T199="TRUE",VLOOKUP(A199,'Stock Nodes'!$A$1:$C$63,2,FALSE),IF(U199="TRUE",VLOOKUP(A199,'CTT Nodes'!$A$1:$D$83,2,FALSE))))</f>
        <v>#LOC_CTT_exoticPlasmaPropulsion_description</v>
      </c>
      <c r="F199" s="58">
        <v>4000</v>
      </c>
      <c r="G199" s="21">
        <f t="array" ref="G199">INDEX(TNodeCols,MATCH(1,MMULT(--(TTechTree=A199),TRANSPOSE(COLUMN(TTechTree)^0)),0))</f>
        <v>-2032.5000000000018</v>
      </c>
      <c r="H199" s="21">
        <f t="array" ref="H199">INDEX(NodeRows,MATCH(1,MMULT(--(TechTree=A199),TRANSPOSE(COLUMN(TechTree)^0)),0))</f>
        <v>189</v>
      </c>
      <c r="I199" s="63" t="str">
        <f>TEXT(G199,"0") &amp; ", " &amp; TEXT(H199,"0") &amp;", -2"</f>
        <v>-2033, 189, -2</v>
      </c>
      <c r="J199" s="63" t="str">
        <f>IF(T199="TRUE",VLOOKUP(A199,'Stock Nodes'!$A$1:$C$63,3,FALSE),IF(U199="TRUE",VLOOKUP(A199,'CTT Nodes'!$A$1:$G$83,7,FALSE),VLOOKUP(A199,'ETT Nodes'!$A$1:$E$87,5,FALSE)))</f>
        <v>ETTR/UI/CTT/ctt_icon_specializedPlasmaPropulsion</v>
      </c>
      <c r="K199" s="21" t="s">
        <v>185</v>
      </c>
      <c r="L199" s="63" t="s">
        <v>2070</v>
      </c>
      <c r="M199" s="63" t="s">
        <v>2067</v>
      </c>
      <c r="N199" s="21"/>
      <c r="O199" s="63"/>
      <c r="P199" s="63"/>
      <c r="Q199" s="21"/>
      <c r="R199" s="63"/>
      <c r="S199" s="63"/>
      <c r="T199" s="25" t="str">
        <f>IF(ISNA(VLOOKUP(A199,'Stock Nodes'!$A$1:$C$63,1,FALSE)),"FALSE","TRUE")</f>
        <v>FALSE</v>
      </c>
      <c r="U199" s="25" t="str">
        <f>IF(ISNA(VLOOKUP(A199,'CTT Nodes'!$A$1:$D$83,1,FALSE)),"FALSE","TRUE")</f>
        <v>TRUE</v>
      </c>
      <c r="V199" s="25" t="str">
        <f>IF(OR(T199="TRUE",U199="TRUE"),"FALSE","TRUE")</f>
        <v>FALSE</v>
      </c>
      <c r="W199" s="63">
        <v>197</v>
      </c>
      <c r="X199" s="59">
        <v>16</v>
      </c>
    </row>
    <row r="200" spans="1:60" s="20" customFormat="1" x14ac:dyDescent="0.25">
      <c r="A200" s="63" t="s">
        <v>500</v>
      </c>
      <c r="B200" s="21" t="s">
        <v>355</v>
      </c>
      <c r="C200" s="21" t="str">
        <f>IF(T200="TRUE",VLOOKUP(A200,'Stock Nodes'!$A$1:$D$63,4,FALSE),IF(U200="TRUE",VLOOKUP(A200,'CTT Nodes'!$A$1:$D$83,4,FALSE),VLOOKUP(A200,'ETT Nodes'!$A$1:$D$87,3,FALSE)))</f>
        <v>Short Range Antennas</v>
      </c>
      <c r="D200" s="21" t="str">
        <f>"Node"&amp;TEXT(X200,"0")&amp;"_"&amp;A200</f>
        <v>Node3_communications</v>
      </c>
      <c r="E200" s="22" t="str">
        <f>IF(OR(V200="TRUE",B200&lt;&gt;C200),"#LOC_ETT_"&amp;A200&amp;"_description",IF(T200="TRUE",VLOOKUP(A200,'Stock Nodes'!$A$1:$C$63,2,FALSE),IF(U200="TRUE",VLOOKUP(A200,'CTT Nodes'!$A$1:$D$83,2,FALSE))))</f>
        <v>#LOC_ETT_communications_description</v>
      </c>
      <c r="F200" s="58">
        <v>25</v>
      </c>
      <c r="G200" s="21">
        <f t="array" ref="G200">INDEX(TNodeCols,MATCH(1,MMULT(--(TTechTree=A200),TRANSPOSE(COLUMN(TTechTree)^0)),0))</f>
        <v>-2345.7000000000025</v>
      </c>
      <c r="H200" s="21">
        <f t="array" ref="H200">INDEX(NodeRows,MATCH(1,MMULT(--(TechTree=A200),TRANSPOSE(COLUMN(TechTree)^0)),0))</f>
        <v>797</v>
      </c>
      <c r="I200" s="63" t="str">
        <f>TEXT(G200,"0") &amp; ", " &amp; TEXT(H200,"0") &amp;", -2"</f>
        <v>-2346, 797, -2</v>
      </c>
      <c r="J200" s="63">
        <f>IF(T200="TRUE",VLOOKUP(A200,'Stock Nodes'!$A$1:$C$63,3,FALSE),IF(U200="TRUE",VLOOKUP(A200,'CTT Nodes'!$A$1:$G$83,7,FALSE),VLOOKUP(A200,'ETT Nodes'!$A$1:$E$87,5,FALSE)))</f>
        <v>0</v>
      </c>
      <c r="K200" s="63" t="s">
        <v>85</v>
      </c>
      <c r="L200" s="63" t="s">
        <v>2070</v>
      </c>
      <c r="M200" s="63" t="s">
        <v>2067</v>
      </c>
      <c r="N200" s="21"/>
      <c r="O200" s="63"/>
      <c r="P200" s="63"/>
      <c r="Q200" s="21"/>
      <c r="R200" s="63"/>
      <c r="S200" s="63"/>
      <c r="T200" s="25" t="str">
        <f>IF(ISNA(VLOOKUP(A200,'Stock Nodes'!$A$1:$C$63,1,FALSE)),"FALSE","TRUE")</f>
        <v>FALSE</v>
      </c>
      <c r="U200" s="25" t="str">
        <f>IF(ISNA(VLOOKUP(A200,'CTT Nodes'!$A$1:$D$83,1,FALSE)),"FALSE","TRUE")</f>
        <v>FALSE</v>
      </c>
      <c r="V200" s="25" t="str">
        <f>IF(OR(T200="TRUE",U200="TRUE"),"FALSE","TRUE")</f>
        <v>TRUE</v>
      </c>
      <c r="W200" s="68">
        <v>198</v>
      </c>
      <c r="X200" s="59">
        <v>3</v>
      </c>
    </row>
    <row r="201" spans="1:60" x14ac:dyDescent="0.25">
      <c r="A201" s="14" t="s">
        <v>547</v>
      </c>
      <c r="B201" s="21" t="s">
        <v>283</v>
      </c>
      <c r="C201" s="21" t="str">
        <f>IF(T201="TRUE",VLOOKUP(A201,'Stock Nodes'!$A$1:$D$63,4,FALSE),IF(U201="TRUE",VLOOKUP(A201,'CTT Nodes'!$A$1:$D$83,4,FALSE),VLOOKUP(A201,'ETT Nodes'!$A$1:$D$87,3,FALSE)))</f>
        <v>Medium Range Antennas</v>
      </c>
      <c r="D201" s="21" t="str">
        <f>"Node"&amp;TEXT(X201,"0")&amp;"_"&amp;A201</f>
        <v>Node5_advCommunications</v>
      </c>
      <c r="E201" s="22" t="str">
        <f>IF(OR(V201="TRUE",B201&lt;&gt;C201),"#LOC_ETT_"&amp;A201&amp;"_description",IF(T201="TRUE",VLOOKUP(A201,'Stock Nodes'!$A$1:$C$63,2,FALSE),IF(U201="TRUE",VLOOKUP(A201,'CTT Nodes'!$A$1:$D$83,2,FALSE))))</f>
        <v>#LOC_ETT_advCommunications_description</v>
      </c>
      <c r="F201" s="58">
        <v>95</v>
      </c>
      <c r="G201" s="21">
        <f t="array" ref="G201">INDEX(TNodeCols,MATCH(1,MMULT(--(TTechTree=A201),TRANSPOSE(COLUMN(TTechTree)^0)),0))</f>
        <v>-2345.7000000000025</v>
      </c>
      <c r="H201" s="21">
        <f t="array" ref="H201">INDEX(NodeRows,MATCH(1,MMULT(--(TechTree=A201),TRANSPOSE(COLUMN(TechTree)^0)),0))</f>
        <v>645</v>
      </c>
      <c r="I201" s="63" t="str">
        <f>TEXT(G201,"0") &amp; ", " &amp; TEXT(H201,"0") &amp;", -2"</f>
        <v>-2346, 645, -2</v>
      </c>
      <c r="J201" s="63">
        <f>IF(T201="TRUE",VLOOKUP(A201,'Stock Nodes'!$A$1:$C$63,3,FALSE),IF(U201="TRUE",VLOOKUP(A201,'CTT Nodes'!$A$1:$G$83,7,FALSE),VLOOKUP(A201,'ETT Nodes'!$A$1:$E$87,5,FALSE)))</f>
        <v>0</v>
      </c>
      <c r="K201" s="63" t="s">
        <v>500</v>
      </c>
      <c r="L201" s="63" t="s">
        <v>2070</v>
      </c>
      <c r="M201" s="63" t="s">
        <v>2067</v>
      </c>
      <c r="N201" s="6"/>
      <c r="O201" s="63"/>
      <c r="P201" s="63"/>
      <c r="Q201" s="6"/>
      <c r="R201" s="63"/>
      <c r="S201" s="63"/>
      <c r="T201" s="25" t="str">
        <f>IF(ISNA(VLOOKUP(A201,'Stock Nodes'!$A$1:$C$63,1,FALSE)),"FALSE","TRUE")</f>
        <v>FALSE</v>
      </c>
      <c r="U201" s="25" t="str">
        <f>IF(ISNA(VLOOKUP(A201,'CTT Nodes'!$A$1:$D$83,1,FALSE)),"FALSE","TRUE")</f>
        <v>FALSE</v>
      </c>
      <c r="V201" s="25" t="str">
        <f>IF(OR(T201="TRUE",U201="TRUE"),"FALSE","TRUE")</f>
        <v>TRUE</v>
      </c>
      <c r="W201" s="68">
        <v>199</v>
      </c>
      <c r="X201" s="59">
        <v>4.67</v>
      </c>
      <c r="Y201" s="20"/>
      <c r="Z201" s="20"/>
      <c r="AA201" s="20"/>
      <c r="AB201" s="20"/>
      <c r="AC201" s="20"/>
      <c r="AD201" s="20"/>
      <c r="AE201" s="20"/>
      <c r="AF201" s="20"/>
      <c r="AG201" s="20"/>
      <c r="AH201" s="20"/>
      <c r="AI201" s="20"/>
      <c r="AJ201" s="20"/>
      <c r="AK201" s="20"/>
      <c r="AL201" s="20"/>
      <c r="AM201" s="20"/>
      <c r="AN201" s="20"/>
      <c r="AO201" s="20"/>
      <c r="AP201" s="20"/>
      <c r="AQ201" s="20"/>
      <c r="AR201" s="20"/>
      <c r="AS201" s="20"/>
      <c r="AT201" s="20"/>
      <c r="AU201" s="20"/>
      <c r="AV201" s="20"/>
      <c r="AW201" s="20"/>
      <c r="AX201" s="20"/>
      <c r="AY201" s="20"/>
      <c r="AZ201" s="20"/>
      <c r="BA201" s="20"/>
      <c r="BB201" s="20"/>
      <c r="BC201" s="20"/>
      <c r="BD201" s="20"/>
      <c r="BE201" s="20"/>
      <c r="BF201" s="20"/>
      <c r="BG201" s="20"/>
      <c r="BH201" s="20"/>
    </row>
    <row r="202" spans="1:60" x14ac:dyDescent="0.25">
      <c r="A202" s="63" t="s">
        <v>501</v>
      </c>
      <c r="B202" s="21" t="s">
        <v>347</v>
      </c>
      <c r="C202" s="21" t="str">
        <f>IF(T202="TRUE",VLOOKUP(A202,'Stock Nodes'!$A$1:$D$63,4,FALSE),IF(U202="TRUE",VLOOKUP(A202,'CTT Nodes'!$A$1:$D$83,4,FALSE),VLOOKUP(A202,'ETT Nodes'!$A$1:$D$87,3,FALSE)))</f>
        <v>Long Range Antennas</v>
      </c>
      <c r="D202" s="21" t="str">
        <f>"Node"&amp;TEXT(X202,"0")&amp;"_"&amp;A202</f>
        <v>Node6_experimentalCommunications</v>
      </c>
      <c r="E202" s="22" t="str">
        <f>IF(OR(V202="TRUE",B202&lt;&gt;C202),"#LOC_ETT_"&amp;A202&amp;"_description",IF(T202="TRUE",VLOOKUP(A202,'Stock Nodes'!$A$1:$C$63,2,FALSE),IF(U202="TRUE",VLOOKUP(A202,'CTT Nodes'!$A$1:$D$83,2,FALSE))))</f>
        <v>#LOC_ETT_experimentalCommunications_description</v>
      </c>
      <c r="F202" s="58">
        <v>200</v>
      </c>
      <c r="G202" s="21">
        <f t="array" ref="G202">INDEX(TNodeCols,MATCH(1,MMULT(--(TTechTree=A202),TRANSPOSE(COLUMN(TTechTree)^0)),0))</f>
        <v>-2345.7000000000025</v>
      </c>
      <c r="H202" s="21">
        <f t="array" ref="H202">INDEX(NodeRows,MATCH(1,MMULT(--(TechTree=A202),TRANSPOSE(COLUMN(TechTree)^0)),0))</f>
        <v>569</v>
      </c>
      <c r="I202" s="63" t="str">
        <f>TEXT(G202,"0") &amp; ", " &amp; TEXT(H202,"0") &amp;", -2"</f>
        <v>-2346, 569, -2</v>
      </c>
      <c r="J202" s="63">
        <f>IF(T202="TRUE",VLOOKUP(A202,'Stock Nodes'!$A$1:$C$63,3,FALSE),IF(U202="TRUE",VLOOKUP(A202,'CTT Nodes'!$A$1:$G$83,7,FALSE),VLOOKUP(A202,'ETT Nodes'!$A$1:$E$87,5,FALSE)))</f>
        <v>0</v>
      </c>
      <c r="K202" s="21" t="s">
        <v>547</v>
      </c>
      <c r="L202" s="63" t="s">
        <v>2070</v>
      </c>
      <c r="M202" s="63" t="s">
        <v>2067</v>
      </c>
      <c r="N202" s="67"/>
      <c r="O202" s="63"/>
      <c r="P202" s="63"/>
      <c r="Q202" s="6"/>
      <c r="R202" s="63"/>
      <c r="S202" s="63"/>
      <c r="T202" s="25" t="str">
        <f>IF(ISNA(VLOOKUP(A202,'Stock Nodes'!$A$1:$C$63,1,FALSE)),"FALSE","TRUE")</f>
        <v>FALSE</v>
      </c>
      <c r="U202" s="25" t="str">
        <f>IF(ISNA(VLOOKUP(A202,'CTT Nodes'!$A$1:$D$83,1,FALSE)),"FALSE","TRUE")</f>
        <v>FALSE</v>
      </c>
      <c r="V202" s="25" t="str">
        <f>IF(OR(T202="TRUE",U202="TRUE"),"FALSE","TRUE")</f>
        <v>TRUE</v>
      </c>
      <c r="W202" s="63">
        <v>200</v>
      </c>
      <c r="X202" s="59">
        <v>5.75</v>
      </c>
      <c r="Y202" s="20"/>
      <c r="Z202" s="20"/>
      <c r="AA202" s="20"/>
      <c r="AB202" s="20"/>
      <c r="AC202" s="20"/>
      <c r="AD202" s="20"/>
      <c r="AE202" s="20"/>
      <c r="AF202" s="20"/>
      <c r="AG202" s="20"/>
      <c r="AH202" s="20"/>
      <c r="AI202" s="20"/>
      <c r="AJ202" s="20"/>
      <c r="AK202" s="20"/>
      <c r="AL202" s="20"/>
      <c r="AM202" s="20"/>
      <c r="AN202" s="20"/>
      <c r="AO202" s="20"/>
      <c r="AP202" s="20"/>
      <c r="AQ202" s="20"/>
      <c r="AR202" s="20"/>
      <c r="AS202" s="20"/>
      <c r="AT202" s="20"/>
      <c r="AU202" s="20"/>
      <c r="AV202" s="20"/>
      <c r="AW202" s="20"/>
      <c r="AX202" s="20"/>
      <c r="AY202" s="20"/>
      <c r="AZ202" s="20"/>
      <c r="BA202" s="20"/>
      <c r="BB202" s="20"/>
      <c r="BC202" s="20"/>
      <c r="BD202" s="20"/>
      <c r="BE202" s="20"/>
      <c r="BF202" s="20"/>
      <c r="BG202" s="20"/>
      <c r="BH202" s="20"/>
    </row>
    <row r="203" spans="1:60" x14ac:dyDescent="0.25">
      <c r="A203" s="14" t="s">
        <v>502</v>
      </c>
      <c r="B203" s="21" t="s">
        <v>348</v>
      </c>
      <c r="C203" s="21" t="str">
        <f>IF(T203="TRUE",VLOOKUP(A203,'Stock Nodes'!$A$1:$D$63,4,FALSE),IF(U203="TRUE",VLOOKUP(A203,'CTT Nodes'!$A$1:$D$83,4,FALSE),VLOOKUP(A203,'ETT Nodes'!$A$1:$D$87,3,FALSE)))</f>
        <v>Ultra-long Range Antennas</v>
      </c>
      <c r="D203" s="21" t="str">
        <f>"Node"&amp;TEXT(X203,"0")&amp;"_"&amp;A203</f>
        <v>Node7_exoticCommunications</v>
      </c>
      <c r="E203" s="22" t="str">
        <f>IF(OR(V203="TRUE",B203&lt;&gt;C203),"#LOC_ETT_"&amp;A203&amp;"_description",IF(T203="TRUE",VLOOKUP(A203,'Stock Nodes'!$A$1:$C$63,2,FALSE),IF(U203="TRUE",VLOOKUP(A203,'CTT Nodes'!$A$1:$D$83,2,FALSE))))</f>
        <v>#LOC_ETT_exoticCommunications_description</v>
      </c>
      <c r="F203" s="58">
        <v>375</v>
      </c>
      <c r="G203" s="21">
        <f t="array" ref="G203">INDEX(TNodeCols,MATCH(1,MMULT(--(TTechTree=A203),TRANSPOSE(COLUMN(TTechTree)^0)),0))</f>
        <v>-2345.7000000000025</v>
      </c>
      <c r="H203" s="21">
        <f t="array" ref="H203">INDEX(NodeRows,MATCH(1,MMULT(--(TechTree=A203),TRANSPOSE(COLUMN(TechTree)^0)),0))</f>
        <v>493</v>
      </c>
      <c r="I203" s="63" t="str">
        <f>TEXT(G203,"0") &amp; ", " &amp; TEXT(H203,"0") &amp;", -2"</f>
        <v>-2346, 493, -2</v>
      </c>
      <c r="J203" s="63">
        <f>IF(T203="TRUE",VLOOKUP(A203,'Stock Nodes'!$A$1:$C$63,3,FALSE),IF(U203="TRUE",VLOOKUP(A203,'CTT Nodes'!$A$1:$G$83,7,FALSE),VLOOKUP(A203,'ETT Nodes'!$A$1:$E$87,5,FALSE)))</f>
        <v>0</v>
      </c>
      <c r="K203" s="63" t="s">
        <v>501</v>
      </c>
      <c r="L203" s="63" t="s">
        <v>2070</v>
      </c>
      <c r="M203" s="63" t="s">
        <v>2067</v>
      </c>
      <c r="N203" s="67"/>
      <c r="O203" s="63"/>
      <c r="P203" s="63"/>
      <c r="Q203" s="6"/>
      <c r="R203" s="63"/>
      <c r="S203" s="63"/>
      <c r="T203" s="25" t="str">
        <f>IF(ISNA(VLOOKUP(A203,'Stock Nodes'!$A$1:$C$63,1,FALSE)),"FALSE","TRUE")</f>
        <v>FALSE</v>
      </c>
      <c r="U203" s="25" t="str">
        <f>IF(ISNA(VLOOKUP(A203,'CTT Nodes'!$A$1:$D$83,1,FALSE)),"FALSE","TRUE")</f>
        <v>FALSE</v>
      </c>
      <c r="V203" s="25" t="str">
        <f>IF(OR(T203="TRUE",U203="TRUE"),"FALSE","TRUE")</f>
        <v>TRUE</v>
      </c>
      <c r="W203" s="68">
        <v>201</v>
      </c>
      <c r="X203" s="59">
        <v>7</v>
      </c>
      <c r="Y203" s="20"/>
      <c r="Z203" s="20"/>
      <c r="AA203" s="20"/>
      <c r="AB203" s="20"/>
      <c r="AC203" s="20"/>
      <c r="AD203" s="20"/>
      <c r="AE203" s="20"/>
      <c r="AF203" s="20"/>
      <c r="AG203" s="20"/>
      <c r="AH203" s="20"/>
      <c r="AI203" s="20"/>
      <c r="AJ203" s="20"/>
      <c r="AK203" s="20"/>
      <c r="AL203" s="20"/>
      <c r="AM203" s="20"/>
      <c r="AN203" s="20"/>
      <c r="AO203" s="20"/>
      <c r="AP203" s="20"/>
      <c r="AQ203" s="20"/>
      <c r="AR203" s="20"/>
      <c r="AS203" s="20"/>
      <c r="AT203" s="20"/>
      <c r="AU203" s="20"/>
      <c r="AV203" s="20"/>
      <c r="AW203" s="20"/>
      <c r="AX203" s="20"/>
      <c r="AY203" s="20"/>
      <c r="AZ203" s="20"/>
      <c r="BA203" s="20"/>
      <c r="BB203" s="20"/>
      <c r="BC203" s="20"/>
      <c r="BD203" s="20"/>
      <c r="BE203" s="20"/>
      <c r="BF203" s="20"/>
      <c r="BG203" s="20"/>
      <c r="BH203" s="20"/>
    </row>
    <row r="204" spans="1:60" x14ac:dyDescent="0.25">
      <c r="A204" s="60" t="s">
        <v>469</v>
      </c>
      <c r="B204" s="63" t="s">
        <v>315</v>
      </c>
      <c r="C204" s="21" t="str">
        <f>IF(T204="TRUE",VLOOKUP(A204,'Stock Nodes'!$A$1:$D$63,4,FALSE),IF(U204="TRUE",VLOOKUP(A204,'CTT Nodes'!$A$1:$D$83,4,FALSE),VLOOKUP(A204,'ETT Nodes'!$A$1:$D$87,3,FALSE)))</f>
        <v>Electric Motors</v>
      </c>
      <c r="D204" s="21" t="str">
        <f>"Node"&amp;TEXT(X204,"0")&amp;"_"&amp;A204</f>
        <v>Node3_rovers</v>
      </c>
      <c r="E204" s="22" t="str">
        <f>IF(OR(V204="TRUE",B204&lt;&gt;C204),"#LOC_ETT_"&amp;A204&amp;"_description",IF(T204="TRUE",VLOOKUP(A204,'Stock Nodes'!$A$1:$C$63,2,FALSE),IF(U204="TRUE",VLOOKUP(A204,'CTT Nodes'!$A$1:$D$83,2,FALSE))))</f>
        <v>#LOC_ETT_rovers_description</v>
      </c>
      <c r="F204" s="58">
        <v>25</v>
      </c>
      <c r="G204" s="21">
        <f t="array" ref="G204">INDEX(TNodeCols,MATCH(1,MMULT(--(TTechTree=A204),TRANSPOSE(COLUMN(TTechTree)^0)),0))</f>
        <v>-2110.800000000002</v>
      </c>
      <c r="H204" s="21">
        <f t="array" ref="H204">INDEX(NodeRows,MATCH(1,MMULT(--(TechTree=A204),TRANSPOSE(COLUMN(TechTree)^0)),0))</f>
        <v>721</v>
      </c>
      <c r="I204" s="63" t="str">
        <f>TEXT(G204,"0") &amp; ", " &amp; TEXT(H204,"0") &amp;", -2"</f>
        <v>-2111, 721, -2</v>
      </c>
      <c r="J204" s="63" t="str">
        <f>IF(T204="TRUE",VLOOKUP(A204,'Stock Nodes'!$A$1:$C$63,3,FALSE),IF(U204="TRUE",VLOOKUP(A204,'CTT Nodes'!$A$1:$G$83,7,FALSE),VLOOKUP(A204,'ETT Nodes'!$A$1:$E$87,5,FALSE)))</f>
        <v>ETTR/UI/USI/Rovers_S</v>
      </c>
      <c r="K204" s="63" t="s">
        <v>85</v>
      </c>
      <c r="L204" s="63" t="s">
        <v>2070</v>
      </c>
      <c r="M204" s="63" t="s">
        <v>2067</v>
      </c>
      <c r="N204" s="6" t="s">
        <v>132</v>
      </c>
      <c r="O204" s="63" t="s">
        <v>2069</v>
      </c>
      <c r="P204" s="63" t="s">
        <v>2067</v>
      </c>
      <c r="Q204" s="6"/>
      <c r="R204" s="63"/>
      <c r="S204" s="63"/>
      <c r="T204" s="25" t="str">
        <f>IF(ISNA(VLOOKUP(A204,'Stock Nodes'!$A$1:$C$63,1,FALSE)),"FALSE","TRUE")</f>
        <v>FALSE</v>
      </c>
      <c r="U204" s="25" t="str">
        <f>IF(ISNA(VLOOKUP(A204,'CTT Nodes'!$A$1:$D$83,1,FALSE)),"FALSE","TRUE")</f>
        <v>FALSE</v>
      </c>
      <c r="V204" s="25" t="str">
        <f>IF(OR(T204="TRUE",U204="TRUE"),"FALSE","TRUE")</f>
        <v>TRUE</v>
      </c>
      <c r="W204" s="68">
        <v>202</v>
      </c>
      <c r="X204" s="59">
        <v>3</v>
      </c>
      <c r="Y204" s="20"/>
      <c r="Z204" s="20"/>
      <c r="AA204" s="20"/>
      <c r="AB204" s="20"/>
      <c r="AC204" s="20"/>
      <c r="AD204" s="20"/>
      <c r="AE204" s="20"/>
      <c r="AF204" s="20"/>
      <c r="AG204" s="20"/>
      <c r="AH204" s="20"/>
      <c r="AI204" s="20"/>
      <c r="AJ204" s="20"/>
      <c r="AK204" s="20"/>
      <c r="AL204" s="20"/>
      <c r="AM204" s="20"/>
      <c r="AN204" s="20"/>
      <c r="AO204" s="20"/>
      <c r="AP204" s="20"/>
      <c r="AQ204" s="20"/>
      <c r="AR204" s="20"/>
      <c r="AS204" s="20"/>
      <c r="AT204" s="20"/>
      <c r="AU204" s="20"/>
      <c r="AV204" s="20"/>
      <c r="AW204" s="20"/>
      <c r="AX204" s="20"/>
      <c r="AY204" s="20"/>
      <c r="AZ204" s="20"/>
      <c r="BA204" s="20"/>
      <c r="BB204" s="20"/>
      <c r="BC204" s="20"/>
      <c r="BD204" s="20"/>
      <c r="BE204" s="20"/>
      <c r="BF204" s="20"/>
      <c r="BG204" s="20"/>
      <c r="BH204" s="20"/>
    </row>
    <row r="205" spans="1:60" x14ac:dyDescent="0.25">
      <c r="A205" s="63" t="s">
        <v>136</v>
      </c>
      <c r="B205" s="63" t="s">
        <v>356</v>
      </c>
      <c r="C205" s="21" t="str">
        <f>IF(T205="TRUE",VLOOKUP(A205,'Stock Nodes'!$A$1:$D$63,4,FALSE),IF(U205="TRUE",VLOOKUP(A205,'CTT Nodes'!$A$1:$D$83,4,FALSE),VLOOKUP(A205,'ETT Nodes'!$A$1:$D$87,3,FALSE)))</f>
        <v>Advanced Motors</v>
      </c>
      <c r="D205" s="21" t="str">
        <f>"Node"&amp;TEXT(X205,"0")&amp;"_"&amp;A205</f>
        <v>Node4_advancedMotors</v>
      </c>
      <c r="E205" s="22" t="str">
        <f>IF(OR(V205="TRUE",B205&lt;&gt;C205),"#LOC_ETT_"&amp;A205&amp;"_description",IF(T205="TRUE",VLOOKUP(A205,'Stock Nodes'!$A$1:$C$63,2,FALSE),IF(U205="TRUE",VLOOKUP(A205,'CTT Nodes'!$A$1:$D$83,2,FALSE))))</f>
        <v>#LOC_ETT_advancedMotors_description</v>
      </c>
      <c r="F205" s="58">
        <v>50</v>
      </c>
      <c r="G205" s="21">
        <f t="array" ref="G205">INDEX(TNodeCols,MATCH(1,MMULT(--(TTechTree=A205),TRANSPOSE(COLUMN(TTechTree)^0)),0))</f>
        <v>-2032.5000000000018</v>
      </c>
      <c r="H205" s="21">
        <f t="array" ref="H205">INDEX(NodeRows,MATCH(1,MMULT(--(TechTree=A205),TRANSPOSE(COLUMN(TechTree)^0)),0))</f>
        <v>721</v>
      </c>
      <c r="I205" s="63" t="str">
        <f>TEXT(G205,"0") &amp; ", " &amp; TEXT(H205,"0") &amp;", -2"</f>
        <v>-2033, 721, -2</v>
      </c>
      <c r="J205" s="63" t="str">
        <f>IF(T205="TRUE",VLOOKUP(A205,'Stock Nodes'!$A$1:$C$63,3,FALSE),IF(U205="TRUE",VLOOKUP(A205,'CTT Nodes'!$A$1:$G$83,7,FALSE),VLOOKUP(A205,'ETT Nodes'!$A$1:$E$87,5,FALSE)))</f>
        <v>RDicon_motors-advanced</v>
      </c>
      <c r="K205" s="67" t="s">
        <v>469</v>
      </c>
      <c r="L205" s="63" t="s">
        <v>2068</v>
      </c>
      <c r="M205" s="63" t="s">
        <v>2069</v>
      </c>
      <c r="N205" s="63"/>
      <c r="O205" s="63"/>
      <c r="P205" s="63"/>
      <c r="Q205" s="63"/>
      <c r="R205" s="63"/>
      <c r="S205" s="63"/>
      <c r="T205" s="25" t="str">
        <f>IF(ISNA(VLOOKUP(A205,'Stock Nodes'!$A$1:$C$63,1,FALSE)),"FALSE","TRUE")</f>
        <v>TRUE</v>
      </c>
      <c r="U205" s="25" t="str">
        <f>IF(ISNA(VLOOKUP(A205,'CTT Nodes'!$A$1:$D$83,1,FALSE)),"FALSE","TRUE")</f>
        <v>FALSE</v>
      </c>
      <c r="V205" s="25" t="str">
        <f>IF(OR(T205="TRUE",U205="TRUE"),"FALSE","TRUE")</f>
        <v>FALSE</v>
      </c>
      <c r="W205" s="63">
        <v>203</v>
      </c>
      <c r="X205" s="59">
        <v>3.67</v>
      </c>
      <c r="Y205" s="20"/>
      <c r="Z205" s="20"/>
      <c r="AA205" s="20"/>
      <c r="AB205" s="20"/>
      <c r="AC205" s="20"/>
      <c r="AD205" s="20"/>
      <c r="AE205" s="20"/>
      <c r="AF205" s="20"/>
      <c r="AG205" s="20"/>
      <c r="AH205" s="20"/>
      <c r="AI205" s="20"/>
      <c r="AJ205" s="20"/>
      <c r="AK205" s="20"/>
      <c r="AL205" s="20"/>
      <c r="AM205" s="20"/>
      <c r="AN205" s="20"/>
      <c r="AO205" s="20"/>
      <c r="AP205" s="20"/>
      <c r="AQ205" s="20"/>
      <c r="AR205" s="20"/>
      <c r="AS205" s="20"/>
      <c r="AT205" s="20"/>
      <c r="AU205" s="20"/>
      <c r="AV205" s="20"/>
      <c r="AW205" s="20"/>
      <c r="AX205" s="20"/>
      <c r="AY205" s="20"/>
      <c r="AZ205" s="20"/>
      <c r="BA205" s="20"/>
      <c r="BB205" s="20"/>
      <c r="BC205" s="20"/>
      <c r="BD205" s="20"/>
      <c r="BE205" s="20"/>
      <c r="BF205" s="20"/>
      <c r="BG205" s="20"/>
      <c r="BH205" s="20"/>
    </row>
    <row r="206" spans="1:60" s="20" customFormat="1" x14ac:dyDescent="0.25">
      <c r="A206" s="63" t="s">
        <v>138</v>
      </c>
      <c r="B206" s="63" t="s">
        <v>139</v>
      </c>
      <c r="C206" s="21" t="str">
        <f>IF(T206="TRUE",VLOOKUP(A206,'Stock Nodes'!$A$1:$D$63,4,FALSE),IF(U206="TRUE",VLOOKUP(A206,'CTT Nodes'!$A$1:$D$83,4,FALSE),VLOOKUP(A206,'ETT Nodes'!$A$1:$D$87,3,FALSE)))</f>
        <v>Experimental Motors</v>
      </c>
      <c r="D206" s="21" t="str">
        <f>"Node"&amp;TEXT(X206,"0")&amp;"_"&amp;A206</f>
        <v>Node5_experimentalMotors</v>
      </c>
      <c r="E206" s="22" t="str">
        <f>IF(OR(V206="TRUE",B206&lt;&gt;C206),"#LOC_ETT_"&amp;A206&amp;"_description",IF(T206="TRUE",VLOOKUP(A206,'Stock Nodes'!$A$1:$C$63,2,FALSE),IF(U206="TRUE",VLOOKUP(A206,'CTT Nodes'!$A$1:$D$83,2,FALSE))))</f>
        <v>#autoLOC_501143 //#autoLOC_501143 = The latest breakthroughs that are driving motor technology forwards, and in reverse, and steering too.</v>
      </c>
      <c r="F206" s="58">
        <v>150</v>
      </c>
      <c r="G206" s="21">
        <f t="array" ref="G206">INDEX(TNodeCols,MATCH(1,MMULT(--(TTechTree=A206),TRANSPOSE(COLUMN(TTechTree)^0)),0))</f>
        <v>-1954.2000000000016</v>
      </c>
      <c r="H206" s="21">
        <f t="array" ref="H206">INDEX(NodeRows,MATCH(1,MMULT(--(TechTree=A206),TRANSPOSE(COLUMN(TechTree)^0)),0))</f>
        <v>721</v>
      </c>
      <c r="I206" s="63" t="str">
        <f>TEXT(G206,"0") &amp; ", " &amp; TEXT(H206,"0") &amp;", -2"</f>
        <v>-1954, 721, -2</v>
      </c>
      <c r="J206" s="63" t="str">
        <f>IF(T206="TRUE",VLOOKUP(A206,'Stock Nodes'!$A$1:$C$63,3,FALSE),IF(U206="TRUE",VLOOKUP(A206,'CTT Nodes'!$A$1:$G$83,7,FALSE),VLOOKUP(A206,'ETT Nodes'!$A$1:$E$87,5,FALSE)))</f>
        <v>RDicon_generic</v>
      </c>
      <c r="K206" s="21" t="s">
        <v>136</v>
      </c>
      <c r="L206" s="63" t="s">
        <v>2068</v>
      </c>
      <c r="M206" s="63" t="s">
        <v>2069</v>
      </c>
      <c r="N206" s="63"/>
      <c r="O206" s="63"/>
      <c r="P206" s="63"/>
      <c r="Q206" s="21"/>
      <c r="R206" s="63"/>
      <c r="S206" s="63"/>
      <c r="T206" s="25" t="str">
        <f>IF(ISNA(VLOOKUP(A206,'Stock Nodes'!$A$1:$C$63,1,FALSE)),"FALSE","TRUE")</f>
        <v>TRUE</v>
      </c>
      <c r="U206" s="25" t="str">
        <f>IF(ISNA(VLOOKUP(A206,'CTT Nodes'!$A$1:$D$83,1,FALSE)),"FALSE","TRUE")</f>
        <v>FALSE</v>
      </c>
      <c r="V206" s="25" t="str">
        <f>IF(OR(T206="TRUE",U206="TRUE"),"FALSE","TRUE")</f>
        <v>FALSE</v>
      </c>
      <c r="W206" s="68">
        <v>204</v>
      </c>
      <c r="X206" s="59">
        <v>5.25</v>
      </c>
    </row>
    <row r="207" spans="1:60" x14ac:dyDescent="0.25">
      <c r="A207" s="63" t="s">
        <v>109</v>
      </c>
      <c r="B207" s="21" t="s">
        <v>216</v>
      </c>
      <c r="C207" s="21" t="str">
        <f>IF(T207="TRUE",VLOOKUP(A207,'Stock Nodes'!$A$1:$D$63,4,FALSE),IF(U207="TRUE",VLOOKUP(A207,'CTT Nodes'!$A$1:$D$83,4,FALSE),VLOOKUP(A207,'ETT Nodes'!$A$1:$D$87,3,FALSE)))</f>
        <v>Recycling</v>
      </c>
      <c r="D207" s="21" t="str">
        <f>"Node"&amp;TEXT(X207,"0")&amp;"_"&amp;A207</f>
        <v>Node8_recycling</v>
      </c>
      <c r="E207" s="22" t="str">
        <f>IF(OR(V207="TRUE",B207&lt;&gt;C207),"#LOC_ETT_"&amp;A207&amp;"_description",IF(T207="TRUE",VLOOKUP(A207,'Stock Nodes'!$A$1:$C$63,2,FALSE),IF(U207="TRUE",VLOOKUP(A207,'CTT Nodes'!$A$1:$D$83,2,FALSE))))</f>
        <v>#LOC_ETT_recycling_description</v>
      </c>
      <c r="F207" s="58">
        <v>495</v>
      </c>
      <c r="G207" s="21">
        <f t="array" ref="G207">INDEX(TNodeCols,MATCH(1,MMULT(--(TTechTree=A207),TRANSPOSE(COLUMN(TTechTree)^0)),0))</f>
        <v>-1641.0000000000009</v>
      </c>
      <c r="H207" s="21">
        <f t="array" ref="H207">INDEX(NodeRows,MATCH(1,MMULT(--(TechTree=A207),TRANSPOSE(COLUMN(TechTree)^0)),0))</f>
        <v>569</v>
      </c>
      <c r="I207" s="63" t="str">
        <f>TEXT(G207,"0") &amp; ", " &amp; TEXT(H207,"0") &amp;", -2"</f>
        <v>-1641, 569, -2</v>
      </c>
      <c r="J207" s="63" t="str">
        <f>IF(T207="TRUE",VLOOKUP(A207,'Stock Nodes'!$A$1:$C$63,3,FALSE),IF(U207="TRUE",VLOOKUP(A207,'CTT Nodes'!$A$1:$G$83,7,FALSE),VLOOKUP(A207,'ETT Nodes'!$A$1:$E$87,5,FALSE)))</f>
        <v>ETTR/UI/CTT/ctt_icon_recycling</v>
      </c>
      <c r="K207" s="21" t="s">
        <v>8</v>
      </c>
      <c r="L207" s="63" t="s">
        <v>2068</v>
      </c>
      <c r="M207" s="63" t="s">
        <v>2069</v>
      </c>
      <c r="N207" s="6"/>
      <c r="O207" s="63"/>
      <c r="P207" s="63"/>
      <c r="Q207" s="6"/>
      <c r="R207" s="63"/>
      <c r="S207" s="63"/>
      <c r="T207" s="25" t="str">
        <f>IF(ISNA(VLOOKUP(A207,'Stock Nodes'!$A$1:$C$63,1,FALSE)),"FALSE","TRUE")</f>
        <v>FALSE</v>
      </c>
      <c r="U207" s="25" t="str">
        <f>IF(ISNA(VLOOKUP(A207,'CTT Nodes'!$A$1:$D$83,1,FALSE)),"FALSE","TRUE")</f>
        <v>TRUE</v>
      </c>
      <c r="V207" s="25" t="str">
        <f>IF(OR(T207="TRUE",U207="TRUE"),"FALSE","TRUE")</f>
        <v>FALSE</v>
      </c>
      <c r="W207" s="68">
        <v>205</v>
      </c>
      <c r="X207" s="59">
        <v>8</v>
      </c>
      <c r="Y207" s="20"/>
      <c r="Z207" s="20"/>
      <c r="AA207" s="20"/>
      <c r="AB207" s="20"/>
      <c r="AC207" s="20"/>
      <c r="AD207" s="20"/>
      <c r="AE207" s="20"/>
      <c r="AF207" s="20"/>
      <c r="AG207" s="20"/>
      <c r="AH207" s="20"/>
      <c r="AI207" s="20"/>
      <c r="AJ207" s="20"/>
      <c r="AK207" s="20"/>
      <c r="AL207" s="20"/>
      <c r="AM207" s="20"/>
      <c r="AN207" s="20"/>
      <c r="AO207" s="20"/>
      <c r="AP207" s="20"/>
      <c r="AQ207" s="20"/>
      <c r="AR207" s="20"/>
      <c r="AS207" s="20"/>
      <c r="AT207" s="20"/>
      <c r="AU207" s="20"/>
      <c r="AV207" s="20"/>
      <c r="AW207" s="20"/>
      <c r="AX207" s="20"/>
      <c r="AY207" s="20"/>
      <c r="AZ207" s="20"/>
      <c r="BA207" s="20"/>
      <c r="BB207" s="20"/>
      <c r="BC207" s="20"/>
      <c r="BD207" s="20"/>
      <c r="BE207" s="20"/>
      <c r="BF207" s="20"/>
      <c r="BG207" s="20"/>
      <c r="BH207" s="20"/>
    </row>
    <row r="208" spans="1:60" x14ac:dyDescent="0.25">
      <c r="A208" s="21" t="s">
        <v>46</v>
      </c>
      <c r="B208" s="21" t="s">
        <v>47</v>
      </c>
      <c r="C208" s="21" t="str">
        <f>IF(T208="TRUE",VLOOKUP(A208,'Stock Nodes'!$A$1:$D$63,4,FALSE),IF(U208="TRUE",VLOOKUP(A208,'CTT Nodes'!$A$1:$D$83,4,FALSE),VLOOKUP(A208,'ETT Nodes'!$A$1:$D$87,3,FALSE)))</f>
        <v>Hydroponics</v>
      </c>
      <c r="D208" s="21" t="str">
        <f>"Node"&amp;TEXT(X208,"0")&amp;"_"&amp;A208</f>
        <v>Node10_hydroponics</v>
      </c>
      <c r="E208" s="22" t="str">
        <f>IF(OR(V208="TRUE",B208&lt;&gt;C208),"#LOC_ETT_"&amp;A208&amp;"_description",IF(T208="TRUE",VLOOKUP(A208,'Stock Nodes'!$A$1:$C$63,2,FALSE),IF(U208="TRUE",VLOOKUP(A208,'CTT Nodes'!$A$1:$D$83,2,FALSE))))</f>
        <v>#LOC_CTT_hydroponics_description</v>
      </c>
      <c r="F208" s="58">
        <v>1000</v>
      </c>
      <c r="G208" s="63">
        <f t="array" ref="G208">INDEX(TNodeCols,MATCH(1,MMULT(--(TTechTree=A208),TRANSPOSE(COLUMN(TTechTree)^0)),0))</f>
        <v>-1562.7000000000007</v>
      </c>
      <c r="H208" s="21">
        <f t="array" ref="H208">INDEX(NodeRows,MATCH(1,MMULT(--(TechTree=A208),TRANSPOSE(COLUMN(TechTree)^0)),0))</f>
        <v>569</v>
      </c>
      <c r="I208" s="63" t="str">
        <f>TEXT(G208,"0") &amp; ", " &amp; TEXT(H208,"0") &amp;", -2"</f>
        <v>-1563, 569, -2</v>
      </c>
      <c r="J208" s="63" t="str">
        <f>IF(T208="TRUE",VLOOKUP(A208,'Stock Nodes'!$A$1:$C$63,3,FALSE),IF(U208="TRUE",VLOOKUP(A208,'CTT Nodes'!$A$1:$G$83,7,FALSE),VLOOKUP(A208,'ETT Nodes'!$A$1:$E$87,5,FALSE)))</f>
        <v>ETTR/UI/CTT/ctt_icon_hydroponics</v>
      </c>
      <c r="K208" s="21" t="s">
        <v>109</v>
      </c>
      <c r="L208" s="63" t="s">
        <v>2068</v>
      </c>
      <c r="M208" s="63" t="s">
        <v>2069</v>
      </c>
      <c r="N208" s="21"/>
      <c r="O208" s="63"/>
      <c r="P208" s="63"/>
      <c r="Q208" s="21"/>
      <c r="R208" s="63"/>
      <c r="S208" s="63"/>
      <c r="T208" s="25" t="str">
        <f>IF(ISNA(VLOOKUP(A208,'Stock Nodes'!$A$1:$C$63,1,FALSE)),"FALSE","TRUE")</f>
        <v>FALSE</v>
      </c>
      <c r="U208" s="25" t="str">
        <f>IF(ISNA(VLOOKUP(A208,'CTT Nodes'!$A$1:$D$83,1,FALSE)),"FALSE","TRUE")</f>
        <v>TRUE</v>
      </c>
      <c r="V208" s="25" t="str">
        <f>IF(OR(T208="TRUE",U208="TRUE"),"FALSE","TRUE")</f>
        <v>FALSE</v>
      </c>
      <c r="W208" s="63">
        <v>206</v>
      </c>
      <c r="X208" s="59">
        <v>10</v>
      </c>
      <c r="Y208" s="20"/>
      <c r="Z208" s="20"/>
      <c r="AA208" s="20"/>
      <c r="AB208" s="20"/>
      <c r="AC208" s="20"/>
      <c r="AD208" s="20"/>
      <c r="AE208" s="20"/>
      <c r="AF208" s="20"/>
      <c r="AG208" s="20"/>
      <c r="AH208" s="20"/>
      <c r="AI208" s="20"/>
      <c r="AJ208" s="20"/>
      <c r="AK208" s="20"/>
      <c r="AL208" s="20"/>
      <c r="AM208" s="20"/>
      <c r="AN208" s="20"/>
      <c r="AO208" s="20"/>
      <c r="AP208" s="20"/>
      <c r="AQ208" s="20"/>
      <c r="AR208" s="20"/>
      <c r="AS208" s="20"/>
      <c r="AT208" s="20"/>
      <c r="AU208" s="20"/>
      <c r="AV208" s="20"/>
      <c r="AW208" s="20"/>
      <c r="AX208" s="20"/>
      <c r="AY208" s="20"/>
      <c r="AZ208" s="20"/>
      <c r="BA208" s="20"/>
      <c r="BB208" s="20"/>
      <c r="BC208" s="20"/>
      <c r="BD208" s="20"/>
      <c r="BE208" s="20"/>
      <c r="BF208" s="20"/>
      <c r="BG208" s="20"/>
      <c r="BH208" s="20"/>
    </row>
    <row r="209" spans="1:60" x14ac:dyDescent="0.25">
      <c r="A209" s="64" t="s">
        <v>6</v>
      </c>
      <c r="B209" s="63" t="s">
        <v>552</v>
      </c>
      <c r="C209" s="21" t="str">
        <f>IF(T209="TRUE",VLOOKUP(A209,'Stock Nodes'!$A$1:$D$63,4,FALSE),IF(U209="TRUE",VLOOKUP(A209,'CTT Nodes'!$A$1:$D$83,4,FALSE),VLOOKUP(A209,'ETT Nodes'!$A$1:$D$87,3,FALSE)))</f>
        <v>Long Term Science Tech</v>
      </c>
      <c r="D209" s="21" t="str">
        <f>"Node"&amp;TEXT(X209,"0")&amp;"_"&amp;A209</f>
        <v>Node8_longTermScienceTech</v>
      </c>
      <c r="E209" s="22" t="str">
        <f>IF(OR(V209="TRUE",B209&lt;&gt;C209),"#LOC_ETT_"&amp;A209&amp;"_description",IF(T209="TRUE",VLOOKUP(A209,'Stock Nodes'!$A$1:$C$63,2,FALSE),IF(U209="TRUE",VLOOKUP(A209,'CTT Nodes'!$A$1:$D$83,2,FALSE))))</f>
        <v>#LOC_ETT_longTermScienceTech_description</v>
      </c>
      <c r="F209" s="58">
        <v>495</v>
      </c>
      <c r="G209" s="63">
        <f t="array" ref="G209">INDEX(TNodeCols,MATCH(1,MMULT(--(TTechTree=A209),TRANSPOSE(COLUMN(TTechTree)^0)),0))</f>
        <v>-1797.6000000000013</v>
      </c>
      <c r="H209" s="21">
        <f t="array" ref="H209">INDEX(NodeRows,MATCH(1,MMULT(--(TechTree=A209),TRANSPOSE(COLUMN(TechTree)^0)),0))</f>
        <v>569</v>
      </c>
      <c r="I209" s="63" t="str">
        <f>TEXT(G209,"0") &amp; ", " &amp; TEXT(H209,"0") &amp;", -2"</f>
        <v>-1798, 569, -2</v>
      </c>
      <c r="J209" s="63" t="str">
        <f>IF(T209="TRUE",VLOOKUP(A209,'Stock Nodes'!$A$1:$C$63,3,FALSE),IF(U209="TRUE",VLOOKUP(A209,'CTT Nodes'!$A$1:$G$83,7,FALSE),VLOOKUP(A209,'ETT Nodes'!$A$1:$E$87,5,FALSE)))</f>
        <v>ETTR/UI/CTT/RDicon_telescope</v>
      </c>
      <c r="K209" s="63" t="s">
        <v>45</v>
      </c>
      <c r="L209" s="63" t="s">
        <v>2068</v>
      </c>
      <c r="M209" s="63" t="s">
        <v>2069</v>
      </c>
      <c r="N209" s="63"/>
      <c r="O209" s="63"/>
      <c r="P209" s="63"/>
      <c r="Q209" s="63"/>
      <c r="R209" s="63"/>
      <c r="S209" s="63"/>
      <c r="T209" s="25" t="str">
        <f>IF(ISNA(VLOOKUP(A209,'Stock Nodes'!$A$1:$C$63,1,FALSE)),"FALSE","TRUE")</f>
        <v>FALSE</v>
      </c>
      <c r="U209" s="25" t="str">
        <f>IF(ISNA(VLOOKUP(A209,'CTT Nodes'!$A$1:$D$83,1,FALSE)),"FALSE","TRUE")</f>
        <v>TRUE</v>
      </c>
      <c r="V209" s="25" t="str">
        <f>IF(OR(T209="TRUE",U209="TRUE"),"FALSE","TRUE")</f>
        <v>FALSE</v>
      </c>
      <c r="W209" s="68">
        <v>207</v>
      </c>
      <c r="X209" s="59">
        <v>8</v>
      </c>
      <c r="Y209" s="20"/>
      <c r="Z209" s="20"/>
      <c r="AA209" s="20"/>
      <c r="AB209" s="20"/>
      <c r="AC209" s="20"/>
      <c r="AD209" s="20"/>
      <c r="AE209" s="20"/>
      <c r="AF209" s="20"/>
      <c r="AG209" s="20"/>
      <c r="AH209" s="20"/>
      <c r="AI209" s="20"/>
      <c r="AJ209" s="20"/>
      <c r="AK209" s="20"/>
      <c r="AL209" s="20"/>
      <c r="AM209" s="20"/>
      <c r="AN209" s="20"/>
      <c r="AO209" s="20"/>
      <c r="AP209" s="20"/>
      <c r="AQ209" s="20"/>
      <c r="AR209" s="20"/>
      <c r="AS209" s="20"/>
      <c r="AT209" s="20"/>
      <c r="AU209" s="20"/>
      <c r="AV209" s="20"/>
      <c r="AW209" s="20"/>
      <c r="AX209" s="20"/>
      <c r="AY209" s="20"/>
      <c r="AZ209" s="20"/>
      <c r="BA209" s="20"/>
      <c r="BB209" s="20"/>
      <c r="BC209" s="20"/>
      <c r="BD209" s="20"/>
      <c r="BE209" s="20"/>
      <c r="BF209" s="20"/>
      <c r="BG209" s="20"/>
      <c r="BH209" s="20"/>
    </row>
    <row r="210" spans="1:60" x14ac:dyDescent="0.25">
      <c r="A210" s="21" t="s">
        <v>8</v>
      </c>
      <c r="B210" s="21" t="s">
        <v>44</v>
      </c>
      <c r="C210" s="21" t="str">
        <f>IF(T210="TRUE",VLOOKUP(A210,'Stock Nodes'!$A$1:$D$63,4,FALSE),IF(U210="TRUE",VLOOKUP(A210,'CTT Nodes'!$A$1:$D$83,4,FALSE),VLOOKUP(A210,'ETT Nodes'!$A$1:$D$87,3,FALSE)))</f>
        <v>Scientific Outposts</v>
      </c>
      <c r="D210" s="21" t="str">
        <f>"Node"&amp;TEXT(X210,"0")&amp;"_"&amp;A210</f>
        <v>Node11_scientificOutposts</v>
      </c>
      <c r="E210" s="22" t="str">
        <f>IF(OR(V210="TRUE",B210&lt;&gt;C210),"#LOC_ETT_"&amp;A210&amp;"_description",IF(T210="TRUE",VLOOKUP(A210,'Stock Nodes'!$A$1:$C$63,2,FALSE),IF(U210="TRUE",VLOOKUP(A210,'CTT Nodes'!$A$1:$D$83,2,FALSE))))</f>
        <v>#LOC_CTT_scientificOutposts_description</v>
      </c>
      <c r="F210" s="58">
        <v>1500</v>
      </c>
      <c r="G210" s="63">
        <f t="array" ref="G210">INDEX(TNodeCols,MATCH(1,MMULT(--(TTechTree=A210),TRANSPOSE(COLUMN(TTechTree)^0)),0))</f>
        <v>-1719.3000000000011</v>
      </c>
      <c r="H210" s="21">
        <f t="array" ref="H210">INDEX(NodeRows,MATCH(1,MMULT(--(TechTree=A210),TRANSPOSE(COLUMN(TechTree)^0)),0))</f>
        <v>569</v>
      </c>
      <c r="I210" s="63" t="str">
        <f>TEXT(G210,"0") &amp; ", " &amp; TEXT(H210,"0") &amp;", -2"</f>
        <v>-1719, 569, -2</v>
      </c>
      <c r="J210" s="63" t="str">
        <f>IF(T210="TRUE",VLOOKUP(A210,'Stock Nodes'!$A$1:$C$63,3,FALSE),IF(U210="TRUE",VLOOKUP(A210,'CTT Nodes'!$A$1:$G$83,7,FALSE),VLOOKUP(A210,'ETT Nodes'!$A$1:$E$87,5,FALSE)))</f>
        <v>ETTR/UI/CTT/ctt_icon_scientificOutposts</v>
      </c>
      <c r="K210" s="63" t="s">
        <v>6</v>
      </c>
      <c r="L210" s="63" t="s">
        <v>2068</v>
      </c>
      <c r="M210" s="63" t="s">
        <v>2069</v>
      </c>
      <c r="N210" s="21"/>
      <c r="O210" s="63"/>
      <c r="P210" s="63"/>
      <c r="Q210" s="21"/>
      <c r="R210" s="63"/>
      <c r="S210" s="63"/>
      <c r="T210" s="25" t="str">
        <f>IF(ISNA(VLOOKUP(A210,'Stock Nodes'!$A$1:$C$63,1,FALSE)),"FALSE","TRUE")</f>
        <v>FALSE</v>
      </c>
      <c r="U210" s="25" t="str">
        <f>IF(ISNA(VLOOKUP(A210,'CTT Nodes'!$A$1:$D$83,1,FALSE)),"FALSE","TRUE")</f>
        <v>TRUE</v>
      </c>
      <c r="V210" s="25" t="str">
        <f>IF(OR(T210="TRUE",U210="TRUE"),"FALSE","TRUE")</f>
        <v>FALSE</v>
      </c>
      <c r="W210" s="68">
        <v>208</v>
      </c>
      <c r="X210" s="59">
        <v>11</v>
      </c>
      <c r="Y210" s="20"/>
      <c r="Z210" s="20"/>
      <c r="AA210" s="20"/>
      <c r="AB210" s="20"/>
      <c r="AC210" s="20"/>
      <c r="AD210" s="20"/>
      <c r="AE210" s="20"/>
      <c r="AF210" s="20"/>
      <c r="AG210" s="20"/>
      <c r="AH210" s="20"/>
      <c r="AI210" s="20"/>
      <c r="AJ210" s="20"/>
      <c r="AK210" s="20"/>
      <c r="AL210" s="20"/>
      <c r="AM210" s="20"/>
      <c r="AN210" s="20"/>
      <c r="AO210" s="20"/>
      <c r="AP210" s="20"/>
      <c r="AQ210" s="20"/>
      <c r="AR210" s="20"/>
      <c r="AS210" s="20"/>
      <c r="AT210" s="20"/>
      <c r="AU210" s="20"/>
      <c r="AV210" s="20"/>
      <c r="AW210" s="20"/>
      <c r="AX210" s="20"/>
      <c r="AY210" s="20"/>
      <c r="AZ210" s="20"/>
      <c r="BA210" s="20"/>
      <c r="BB210" s="20"/>
      <c r="BC210" s="20"/>
      <c r="BD210" s="20"/>
      <c r="BE210" s="20"/>
      <c r="BF210" s="20"/>
      <c r="BG210" s="20"/>
      <c r="BH210" s="20"/>
    </row>
    <row r="211" spans="1:60" x14ac:dyDescent="0.25">
      <c r="A211" s="64" t="s">
        <v>49</v>
      </c>
      <c r="B211" s="21" t="s">
        <v>1340</v>
      </c>
      <c r="C211" s="21" t="str">
        <f>IF(T211="TRUE",VLOOKUP(A211,'Stock Nodes'!$A$1:$D$63,4,FALSE),IF(U211="TRUE",VLOOKUP(A211,'CTT Nodes'!$A$1:$D$83,4,FALSE),VLOOKUP(A211,'ETT Nodes'!$A$1:$D$87,3,FALSE)))</f>
        <v>Basic Science</v>
      </c>
      <c r="D211" s="21" t="str">
        <f>"Node"&amp;TEXT(X211,"0")&amp;"_"&amp;A211</f>
        <v>Node0_basicScience</v>
      </c>
      <c r="E211" s="22" t="str">
        <f>IF(OR(V211="TRUE",B211&lt;&gt;C211),"#LOC_ETT_"&amp;A211&amp;"_description",IF(T211="TRUE",VLOOKUP(A211,'Stock Nodes'!$A$1:$C$63,2,FALSE),IF(U211="TRUE",VLOOKUP(A211,'CTT Nodes'!$A$1:$D$83,2,FALSE))))</f>
        <v>#LOC_ETT_basicScience_description</v>
      </c>
      <c r="F211" s="58">
        <v>0</v>
      </c>
      <c r="G211" s="21">
        <f t="array" ref="G211">INDEX(TNodeCols,MATCH(1,MMULT(--(TTechTree=A211),TRANSPOSE(COLUMN(TTechTree)^0)),0))</f>
        <v>-2032.5000000000018</v>
      </c>
      <c r="H211" s="21">
        <f t="array" ref="H211">INDEX(NodeRows,MATCH(1,MMULT(--(TechTree=A211),TRANSPOSE(COLUMN(TechTree)^0)),0))</f>
        <v>949</v>
      </c>
      <c r="I211" s="63" t="str">
        <f>TEXT(G211,"0") &amp; ", " &amp; TEXT(H211,"0") &amp;", -2"</f>
        <v>-2033, 949, -2</v>
      </c>
      <c r="J211" s="63" t="str">
        <f>IF(T211="TRUE",VLOOKUP(A211,'Stock Nodes'!$A$1:$C$63,3,FALSE),IF(U211="TRUE",VLOOKUP(A211,'CTT Nodes'!$A$1:$G$83,7,FALSE),VLOOKUP(A211,'ETT Nodes'!$A$1:$E$87,5,FALSE)))</f>
        <v>RDicon_scienceTech</v>
      </c>
      <c r="K211" s="67"/>
      <c r="L211" s="63"/>
      <c r="M211" s="63"/>
      <c r="N211" s="21"/>
      <c r="O211" s="63"/>
      <c r="P211" s="63"/>
      <c r="Q211" s="21"/>
      <c r="R211" s="63"/>
      <c r="S211" s="63"/>
      <c r="T211" s="25" t="str">
        <f>IF(ISNA(VLOOKUP(A211,'Stock Nodes'!$A$1:$C$63,1,FALSE)),"FALSE","TRUE")</f>
        <v>TRUE</v>
      </c>
      <c r="U211" s="25" t="str">
        <f>IF(ISNA(VLOOKUP(A211,'CTT Nodes'!$A$1:$D$83,1,FALSE)),"FALSE","TRUE")</f>
        <v>FALSE</v>
      </c>
      <c r="V211" s="25" t="str">
        <f>IF(OR(T211="TRUE",U211="TRUE"),"FALSE","TRUE")</f>
        <v>FALSE</v>
      </c>
      <c r="W211" s="63">
        <v>209</v>
      </c>
      <c r="X211" s="59">
        <v>0</v>
      </c>
      <c r="Y211" s="20"/>
      <c r="Z211" s="20"/>
      <c r="AA211" s="20"/>
      <c r="AB211" s="20"/>
      <c r="AC211" s="20"/>
      <c r="AD211" s="20"/>
      <c r="AE211" s="20"/>
      <c r="AF211" s="20"/>
      <c r="AG211" s="20"/>
      <c r="AH211" s="20"/>
      <c r="AI211" s="20"/>
      <c r="AJ211" s="20"/>
      <c r="AK211" s="20"/>
      <c r="AL211" s="20"/>
      <c r="AM211" s="20"/>
      <c r="AN211" s="20"/>
      <c r="AO211" s="20"/>
      <c r="AP211" s="20"/>
      <c r="AQ211" s="20"/>
      <c r="AR211" s="20"/>
      <c r="AS211" s="20"/>
      <c r="AT211" s="20"/>
      <c r="AU211" s="20"/>
      <c r="AV211" s="20"/>
      <c r="AW211" s="20"/>
      <c r="AX211" s="20"/>
      <c r="AY211" s="20"/>
      <c r="AZ211" s="20"/>
      <c r="BA211" s="20"/>
      <c r="BB211" s="20"/>
      <c r="BC211" s="20"/>
      <c r="BD211" s="20"/>
      <c r="BE211" s="20"/>
      <c r="BF211" s="20"/>
      <c r="BG211" s="20"/>
      <c r="BH211" s="20"/>
    </row>
    <row r="212" spans="1:60" s="20" customFormat="1" x14ac:dyDescent="0.25">
      <c r="A212" s="67" t="s">
        <v>132</v>
      </c>
      <c r="B212" s="67" t="s">
        <v>133</v>
      </c>
      <c r="C212" s="21" t="str">
        <f>IF(T212="TRUE",VLOOKUP(A212,'Stock Nodes'!$A$1:$D$63,4,FALSE),IF(U212="TRUE",VLOOKUP(A212,'CTT Nodes'!$A$1:$D$83,4,FALSE),VLOOKUP(A212,'ETT Nodes'!$A$1:$D$87,3,FALSE)))</f>
        <v>Field Science</v>
      </c>
      <c r="D212" s="21" t="str">
        <f>"Node"&amp;TEXT(X212,"0")&amp;"_"&amp;A212</f>
        <v>Node2_fieldScience</v>
      </c>
      <c r="E212" s="22" t="str">
        <f>IF(OR(V212="TRUE",B212&lt;&gt;C212),"#LOC_ETT_"&amp;A212&amp;"_description",IF(T212="TRUE",VLOOKUP(A212,'Stock Nodes'!$A$1:$C$63,2,FALSE),IF(U212="TRUE",VLOOKUP(A212,'CTT Nodes'!$A$1:$D$83,2,FALSE))))</f>
        <v>#autoLOC_501099 //#autoLOC_501099 = Freedom to roam as far as curiosity will take you, or as long as batteries last.</v>
      </c>
      <c r="F212" s="58">
        <v>8</v>
      </c>
      <c r="G212" s="21">
        <f t="array" ref="G212">INDEX(TNodeCols,MATCH(1,MMULT(--(TTechTree=A212),TRANSPOSE(COLUMN(TTechTree)^0)),0))</f>
        <v>-1875.9000000000015</v>
      </c>
      <c r="H212" s="21">
        <f t="array" ref="H212">INDEX(NodeRows,MATCH(1,MMULT(--(TechTree=A212),TRANSPOSE(COLUMN(TechTree)^0)),0))</f>
        <v>797</v>
      </c>
      <c r="I212" s="63" t="str">
        <f>TEXT(G212,"0") &amp; ", " &amp; TEXT(H212,"0") &amp;", -2"</f>
        <v>-1876, 797, -2</v>
      </c>
      <c r="J212" s="63" t="str">
        <f>IF(T212="TRUE",VLOOKUP(A212,'Stock Nodes'!$A$1:$C$63,3,FALSE),IF(U212="TRUE",VLOOKUP(A212,'CTT Nodes'!$A$1:$G$83,7,FALSE),VLOOKUP(A212,'ETT Nodes'!$A$1:$E$87,5,FALSE)))</f>
        <v>RDicon_science-field</v>
      </c>
      <c r="K212" s="63" t="s">
        <v>49</v>
      </c>
      <c r="L212" s="63" t="s">
        <v>2070</v>
      </c>
      <c r="M212" s="63" t="s">
        <v>2067</v>
      </c>
      <c r="N212" s="67"/>
      <c r="O212" s="63"/>
      <c r="P212" s="63"/>
      <c r="Q212" s="67"/>
      <c r="R212" s="63"/>
      <c r="S212" s="63"/>
      <c r="T212" s="25" t="str">
        <f>IF(ISNA(VLOOKUP(A212,'Stock Nodes'!$A$1:$C$63,1,FALSE)),"FALSE","TRUE")</f>
        <v>TRUE</v>
      </c>
      <c r="U212" s="25" t="str">
        <f>IF(ISNA(VLOOKUP(A212,'CTT Nodes'!$A$1:$D$83,1,FALSE)),"FALSE","TRUE")</f>
        <v>FALSE</v>
      </c>
      <c r="V212" s="25" t="str">
        <f>IF(OR(T212="TRUE",U212="TRUE"),"FALSE","TRUE")</f>
        <v>FALSE</v>
      </c>
      <c r="W212" s="68">
        <v>210</v>
      </c>
      <c r="X212" s="59">
        <v>2</v>
      </c>
    </row>
    <row r="213" spans="1:60" s="20" customFormat="1" x14ac:dyDescent="0.25">
      <c r="A213" s="67" t="s">
        <v>149</v>
      </c>
      <c r="B213" s="67" t="s">
        <v>464</v>
      </c>
      <c r="C213" s="21" t="str">
        <f>IF(T213="TRUE",VLOOKUP(A213,'Stock Nodes'!$A$1:$D$63,4,FALSE),IF(U213="TRUE",VLOOKUP(A213,'CTT Nodes'!$A$1:$D$83,4,FALSE),VLOOKUP(A213,'ETT Nodes'!$A$1:$D$87,3,FALSE)))</f>
        <v>Scanning Tech</v>
      </c>
      <c r="D213" s="21" t="str">
        <f>"Node"&amp;TEXT(X213,"0")&amp;"_"&amp;A213</f>
        <v>Node4_scienceTech</v>
      </c>
      <c r="E213" s="22" t="str">
        <f>IF(OR(V213="TRUE",B213&lt;&gt;C213),"#LOC_ETT_"&amp;A213&amp;"_description",IF(T213="TRUE",VLOOKUP(A213,'Stock Nodes'!$A$1:$C$63,2,FALSE),IF(U213="TRUE",VLOOKUP(A213,'CTT Nodes'!$A$1:$D$83,2,FALSE))))</f>
        <v>#LOC_ETT_scienceTech_description</v>
      </c>
      <c r="F213" s="58">
        <v>50</v>
      </c>
      <c r="G213" s="21">
        <f t="array" ref="G213">INDEX(TNodeCols,MATCH(1,MMULT(--(TTechTree=A213),TRANSPOSE(COLUMN(TTechTree)^0)),0))</f>
        <v>-1875.9000000000015</v>
      </c>
      <c r="H213" s="21">
        <f t="array" ref="H213">INDEX(NodeRows,MATCH(1,MMULT(--(TechTree=A213),TRANSPOSE(COLUMN(TechTree)^0)),0))</f>
        <v>721</v>
      </c>
      <c r="I213" s="63" t="str">
        <f>TEXT(G213,"0") &amp; ", " &amp; TEXT(H213,"0") &amp;", -2"</f>
        <v>-1876, 721, -2</v>
      </c>
      <c r="J213" s="63" t="str">
        <f>IF(T213="TRUE",VLOOKUP(A213,'Stock Nodes'!$A$1:$C$63,3,FALSE),IF(U213="TRUE",VLOOKUP(A213,'CTT Nodes'!$A$1:$G$83,7,FALSE),VLOOKUP(A213,'ETT Nodes'!$A$1:$E$87,5,FALSE)))</f>
        <v>RDicon_telescope</v>
      </c>
      <c r="K213" s="67" t="s">
        <v>132</v>
      </c>
      <c r="L213" s="63" t="s">
        <v>2070</v>
      </c>
      <c r="M213" s="63" t="s">
        <v>2067</v>
      </c>
      <c r="N213" s="67"/>
      <c r="O213" s="63"/>
      <c r="P213" s="63"/>
      <c r="Q213" s="67"/>
      <c r="R213" s="63"/>
      <c r="S213" s="63"/>
      <c r="T213" s="25" t="str">
        <f>IF(ISNA(VLOOKUP(A213,'Stock Nodes'!$A$1:$C$63,1,FALSE)),"FALSE","TRUE")</f>
        <v>TRUE</v>
      </c>
      <c r="U213" s="25" t="str">
        <f>IF(ISNA(VLOOKUP(A213,'CTT Nodes'!$A$1:$D$83,1,FALSE)),"FALSE","TRUE")</f>
        <v>FALSE</v>
      </c>
      <c r="V213" s="25" t="str">
        <f>IF(OR(T213="TRUE",U213="TRUE"),"FALSE","TRUE")</f>
        <v>FALSE</v>
      </c>
      <c r="W213" s="68">
        <v>211</v>
      </c>
      <c r="X213" s="59">
        <v>3.67</v>
      </c>
    </row>
    <row r="214" spans="1:60" s="20" customFormat="1" x14ac:dyDescent="0.25">
      <c r="A214" s="67" t="s">
        <v>189</v>
      </c>
      <c r="B214" s="67" t="s">
        <v>190</v>
      </c>
      <c r="C214" s="21" t="str">
        <f>IF(T214="TRUE",VLOOKUP(A214,'Stock Nodes'!$A$1:$D$63,4,FALSE),IF(U214="TRUE",VLOOKUP(A214,'CTT Nodes'!$A$1:$D$83,4,FALSE),VLOOKUP(A214,'ETT Nodes'!$A$1:$D$87,3,FALSE)))</f>
        <v>Advanced Science Tech</v>
      </c>
      <c r="D214" s="21" t="str">
        <f>"Node"&amp;TEXT(X214,"0")&amp;"_"&amp;A214</f>
        <v>Node5_advScienceTech</v>
      </c>
      <c r="E214" s="22" t="str">
        <f>IF(OR(V214="TRUE",B214&lt;&gt;C214),"#LOC_ETT_"&amp;A214&amp;"_description",IF(T214="TRUE",VLOOKUP(A214,'Stock Nodes'!$A$1:$C$63,2,FALSE),IF(U214="TRUE",VLOOKUP(A214,'CTT Nodes'!$A$1:$D$83,2,FALSE))))</f>
        <v>#autoLOC_501125 //#autoLOC_501125 = Scientific advancements allow new advanced technologies for advancing Science.</v>
      </c>
      <c r="F214" s="58">
        <v>95</v>
      </c>
      <c r="G214" s="21">
        <f t="array" ref="G214">INDEX(TNodeCols,MATCH(1,MMULT(--(TTechTree=A214),TRANSPOSE(COLUMN(TTechTree)^0)),0))</f>
        <v>-1875.9000000000015</v>
      </c>
      <c r="H214" s="21">
        <f t="array" ref="H214">INDEX(NodeRows,MATCH(1,MMULT(--(TechTree=A214),TRANSPOSE(COLUMN(TechTree)^0)),0))</f>
        <v>645</v>
      </c>
      <c r="I214" s="63" t="str">
        <f>TEXT(G214,"0") &amp; ", " &amp; TEXT(H214,"0") &amp;", -2"</f>
        <v>-1876, 645, -2</v>
      </c>
      <c r="J214" s="63" t="str">
        <f>IF(T214="TRUE",VLOOKUP(A214,'Stock Nodes'!$A$1:$C$63,3,FALSE),IF(U214="TRUE",VLOOKUP(A214,'CTT Nodes'!$A$1:$G$83,7,FALSE),VLOOKUP(A214,'ETT Nodes'!$A$1:$E$87,5,FALSE)))</f>
        <v>RDicon_scienceTech-advanced</v>
      </c>
      <c r="K214" s="63" t="s">
        <v>149</v>
      </c>
      <c r="L214" s="63" t="s">
        <v>2070</v>
      </c>
      <c r="M214" s="63" t="s">
        <v>2067</v>
      </c>
      <c r="N214" s="67"/>
      <c r="O214" s="63"/>
      <c r="P214" s="63"/>
      <c r="Q214" s="67"/>
      <c r="R214" s="63"/>
      <c r="S214" s="63"/>
      <c r="T214" s="25" t="str">
        <f>IF(ISNA(VLOOKUP(A214,'Stock Nodes'!$A$1:$C$63,1,FALSE)),"FALSE","TRUE")</f>
        <v>TRUE</v>
      </c>
      <c r="U214" s="25" t="str">
        <f>IF(ISNA(VLOOKUP(A214,'CTT Nodes'!$A$1:$D$83,1,FALSE)),"FALSE","TRUE")</f>
        <v>FALSE</v>
      </c>
      <c r="V214" s="25" t="str">
        <f>IF(OR(T214="TRUE",U214="TRUE"),"FALSE","TRUE")</f>
        <v>FALSE</v>
      </c>
      <c r="W214" s="63">
        <v>212</v>
      </c>
      <c r="X214" s="59">
        <v>4.67</v>
      </c>
    </row>
    <row r="215" spans="1:60" x14ac:dyDescent="0.25">
      <c r="A215" s="67" t="s">
        <v>45</v>
      </c>
      <c r="B215" s="67" t="s">
        <v>129</v>
      </c>
      <c r="C215" s="21" t="str">
        <f>IF(T215="TRUE",VLOOKUP(A215,'Stock Nodes'!$A$1:$D$63,4,FALSE),IF(U215="TRUE",VLOOKUP(A215,'CTT Nodes'!$A$1:$D$83,4,FALSE),VLOOKUP(A215,'ETT Nodes'!$A$1:$D$87,3,FALSE)))</f>
        <v>Experimental Science</v>
      </c>
      <c r="D215" s="21" t="str">
        <f>"Node"&amp;TEXT(X215,"0")&amp;"_"&amp;A215</f>
        <v>Node6_experimentalScience</v>
      </c>
      <c r="E215" s="22" t="str">
        <f>IF(OR(V215="TRUE",B215&lt;&gt;C215),"#LOC_ETT_"&amp;A215&amp;"_description",IF(T215="TRUE",VLOOKUP(A215,'Stock Nodes'!$A$1:$C$63,2,FALSE),IF(U215="TRUE",VLOOKUP(A215,'CTT Nodes'!$A$1:$D$83,2,FALSE))))</f>
        <v>#autoLOC_501141 //#autoLOC_501141 = Explore novel fields of science that we didn't even know were there.</v>
      </c>
      <c r="F215" s="58">
        <v>175</v>
      </c>
      <c r="G215" s="21">
        <f t="array" ref="G215">INDEX(TNodeCols,MATCH(1,MMULT(--(TTechTree=A215),TRANSPOSE(COLUMN(TTechTree)^0)),0))</f>
        <v>-1875.9000000000015</v>
      </c>
      <c r="H215" s="21">
        <f t="array" ref="H215">INDEX(NodeRows,MATCH(1,MMULT(--(TechTree=A215),TRANSPOSE(COLUMN(TechTree)^0)),0))</f>
        <v>569</v>
      </c>
      <c r="I215" s="63" t="str">
        <f>TEXT(G215,"0") &amp; ", " &amp; TEXT(H215,"0") &amp;", -2"</f>
        <v>-1876, 569, -2</v>
      </c>
      <c r="J215" s="63" t="str">
        <f>IF(T215="TRUE",VLOOKUP(A215,'Stock Nodes'!$A$1:$C$63,3,FALSE),IF(U215="TRUE",VLOOKUP(A215,'CTT Nodes'!$A$1:$G$83,7,FALSE),VLOOKUP(A215,'ETT Nodes'!$A$1:$E$87,5,FALSE)))</f>
        <v>RDicon_science-experimental</v>
      </c>
      <c r="K215" s="63" t="s">
        <v>189</v>
      </c>
      <c r="L215" s="63" t="s">
        <v>2070</v>
      </c>
      <c r="M215" s="63" t="s">
        <v>2067</v>
      </c>
      <c r="N215" s="67" t="s">
        <v>136</v>
      </c>
      <c r="O215" s="63" t="s">
        <v>2070</v>
      </c>
      <c r="P215" s="63" t="s">
        <v>2069</v>
      </c>
      <c r="Q215" s="67"/>
      <c r="R215" s="63"/>
      <c r="S215" s="63"/>
      <c r="T215" s="25" t="str">
        <f>IF(ISNA(VLOOKUP(A215,'Stock Nodes'!$A$1:$C$63,1,FALSE)),"FALSE","TRUE")</f>
        <v>TRUE</v>
      </c>
      <c r="U215" s="25" t="str">
        <f>IF(ISNA(VLOOKUP(A215,'CTT Nodes'!$A$1:$D$83,1,FALSE)),"FALSE","TRUE")</f>
        <v>FALSE</v>
      </c>
      <c r="V215" s="25" t="str">
        <f>IF(OR(T215="TRUE",U215="TRUE"),"FALSE","TRUE")</f>
        <v>FALSE</v>
      </c>
      <c r="W215" s="68">
        <v>213</v>
      </c>
      <c r="X215" s="59">
        <v>5.5</v>
      </c>
      <c r="Y215" s="20"/>
      <c r="Z215" s="20"/>
      <c r="AA215" s="20"/>
      <c r="AB215" s="20"/>
      <c r="AC215" s="20"/>
      <c r="AD215" s="20"/>
      <c r="AE215" s="20"/>
      <c r="AF215" s="20"/>
      <c r="AG215" s="20"/>
      <c r="AH215" s="20"/>
      <c r="AI215" s="20"/>
      <c r="AJ215" s="20"/>
      <c r="AK215" s="20"/>
      <c r="AL215" s="20"/>
      <c r="AM215" s="20"/>
      <c r="AN215" s="20"/>
      <c r="AO215" s="20"/>
      <c r="AP215" s="20"/>
      <c r="AQ215" s="20"/>
      <c r="AR215" s="20"/>
      <c r="AS215" s="20"/>
      <c r="AT215" s="20"/>
      <c r="AU215" s="20"/>
      <c r="AV215" s="20"/>
      <c r="AW215" s="20"/>
      <c r="AX215" s="20"/>
      <c r="AY215" s="20"/>
      <c r="AZ215" s="20"/>
      <c r="BA215" s="20"/>
      <c r="BB215" s="20"/>
      <c r="BC215" s="20"/>
      <c r="BD215" s="20"/>
      <c r="BE215" s="20"/>
      <c r="BF215" s="20"/>
      <c r="BG215" s="20"/>
      <c r="BH215" s="20"/>
    </row>
    <row r="216" spans="1:60" x14ac:dyDescent="0.25">
      <c r="A216" s="21" t="s">
        <v>168</v>
      </c>
      <c r="B216" s="21" t="s">
        <v>150</v>
      </c>
      <c r="C216" s="21" t="str">
        <f>IF(T216="TRUE",VLOOKUP(A216,'Stock Nodes'!$A$1:$D$63,4,FALSE),IF(U216="TRUE",VLOOKUP(A216,'CTT Nodes'!$A$1:$D$83,4,FALSE),VLOOKUP(A216,'ETT Nodes'!$A$1:$D$87,3,FALSE)))</f>
        <v>Specialized Science Tech</v>
      </c>
      <c r="D216" s="21" t="str">
        <f>"Node"&amp;TEXT(X216,"0")&amp;"_"&amp;A216</f>
        <v>Node6_specializedScienceTech</v>
      </c>
      <c r="E216" s="22" t="str">
        <f>IF(OR(V216="TRUE",B216&lt;&gt;C216),"#LOC_ETT_"&amp;A216&amp;"_description",IF(T216="TRUE",VLOOKUP(A216,'Stock Nodes'!$A$1:$C$63,2,FALSE),IF(U216="TRUE",VLOOKUP(A216,'CTT Nodes'!$A$1:$D$83,2,FALSE))))</f>
        <v>#LOC_ETT_specializedScienceTech_description</v>
      </c>
      <c r="F216" s="58">
        <v>250</v>
      </c>
      <c r="G216" s="21">
        <f t="array" ref="G216">INDEX(TNodeCols,MATCH(1,MMULT(--(TTechTree=A216),TRANSPOSE(COLUMN(TTechTree)^0)),0))</f>
        <v>-1875.9000000000015</v>
      </c>
      <c r="H216" s="21">
        <f t="array" ref="H216">INDEX(NodeRows,MATCH(1,MMULT(--(TechTree=A216),TRANSPOSE(COLUMN(TechTree)^0)),0))</f>
        <v>493</v>
      </c>
      <c r="I216" s="63" t="str">
        <f>TEXT(G216,"0") &amp; ", " &amp; TEXT(H216,"0") &amp;", -2"</f>
        <v>-1876, 493, -2</v>
      </c>
      <c r="J216" s="63" t="str">
        <f>IF(T216="TRUE",VLOOKUP(A216,'Stock Nodes'!$A$1:$C$63,3,FALSE),IF(U216="TRUE",VLOOKUP(A216,'CTT Nodes'!$A$1:$G$83,7,FALSE),VLOOKUP(A216,'ETT Nodes'!$A$1:$E$87,5,FALSE)))</f>
        <v>ETTR/UI/CTT/ctt_icon_specializedScienceTech</v>
      </c>
      <c r="K216" s="63" t="s">
        <v>45</v>
      </c>
      <c r="L216" s="63" t="s">
        <v>2070</v>
      </c>
      <c r="M216" s="63" t="s">
        <v>2067</v>
      </c>
      <c r="N216" s="63"/>
      <c r="O216" s="63"/>
      <c r="P216" s="63"/>
      <c r="Q216" s="21"/>
      <c r="R216" s="63"/>
      <c r="S216" s="63"/>
      <c r="T216" s="25" t="str">
        <f>IF(ISNA(VLOOKUP(A216,'Stock Nodes'!$A$1:$C$63,1,FALSE)),"FALSE","TRUE")</f>
        <v>FALSE</v>
      </c>
      <c r="U216" s="25" t="str">
        <f>IF(ISNA(VLOOKUP(A216,'CTT Nodes'!$A$1:$D$83,1,FALSE)),"FALSE","TRUE")</f>
        <v>TRUE</v>
      </c>
      <c r="V216" s="25" t="str">
        <f>IF(OR(T216="TRUE",U216="TRUE"),"FALSE","TRUE")</f>
        <v>FALSE</v>
      </c>
      <c r="W216" s="68">
        <v>214</v>
      </c>
      <c r="X216" s="59">
        <v>6</v>
      </c>
      <c r="Y216" s="20"/>
      <c r="Z216" s="20"/>
      <c r="AA216" s="20"/>
      <c r="AB216" s="20"/>
      <c r="AC216" s="20"/>
      <c r="AD216" s="20"/>
      <c r="AE216" s="20"/>
      <c r="AF216" s="20"/>
      <c r="AG216" s="20"/>
      <c r="AH216" s="20"/>
      <c r="AI216" s="20"/>
      <c r="AJ216" s="20"/>
      <c r="AK216" s="20"/>
      <c r="AL216" s="20"/>
      <c r="AM216" s="20"/>
      <c r="AN216" s="20"/>
      <c r="AO216" s="20"/>
      <c r="AP216" s="20"/>
      <c r="AQ216" s="20"/>
      <c r="AR216" s="20"/>
      <c r="AS216" s="20"/>
      <c r="AT216" s="20"/>
      <c r="AU216" s="20"/>
      <c r="AV216" s="20"/>
      <c r="AW216" s="20"/>
      <c r="AX216" s="20"/>
      <c r="AY216" s="20"/>
      <c r="AZ216" s="20"/>
      <c r="BA216" s="20"/>
      <c r="BB216" s="20"/>
      <c r="BC216" s="20"/>
      <c r="BD216" s="20"/>
      <c r="BE216" s="20"/>
      <c r="BF216" s="20"/>
      <c r="BG216" s="20"/>
      <c r="BH216" s="20"/>
    </row>
    <row r="217" spans="1:60" s="20" customFormat="1" x14ac:dyDescent="0.25">
      <c r="A217" s="63" t="s">
        <v>194</v>
      </c>
      <c r="B217" s="21" t="s">
        <v>169</v>
      </c>
      <c r="C217" s="21" t="str">
        <f>IF(T217="TRUE",VLOOKUP(A217,'Stock Nodes'!$A$1:$D$63,4,FALSE),IF(U217="TRUE",VLOOKUP(A217,'CTT Nodes'!$A$1:$D$83,4,FALSE),VLOOKUP(A217,'ETT Nodes'!$A$1:$D$87,3,FALSE)))</f>
        <v>High Energy Science</v>
      </c>
      <c r="D217" s="21" t="str">
        <f>"Node"&amp;TEXT(X217,"0")&amp;"_"&amp;A217</f>
        <v>Node8_highEnergyScience</v>
      </c>
      <c r="E217" s="22" t="str">
        <f>IF(OR(V217="TRUE",B217&lt;&gt;C217),"#LOC_ETT_"&amp;A217&amp;"_description",IF(T217="TRUE",VLOOKUP(A217,'Stock Nodes'!$A$1:$C$63,2,FALSE),IF(U217="TRUE",VLOOKUP(A217,'CTT Nodes'!$A$1:$D$83,2,FALSE))))</f>
        <v>#LOC_ETT_highEnergyScience_description</v>
      </c>
      <c r="F217" s="58">
        <v>495</v>
      </c>
      <c r="G217" s="21">
        <f t="array" ref="G217">INDEX(TNodeCols,MATCH(1,MMULT(--(TTechTree=A217),TRANSPOSE(COLUMN(TTechTree)^0)),0))</f>
        <v>-1875.9000000000015</v>
      </c>
      <c r="H217" s="21">
        <f t="array" ref="H217">INDEX(NodeRows,MATCH(1,MMULT(--(TechTree=A217),TRANSPOSE(COLUMN(TechTree)^0)),0))</f>
        <v>417</v>
      </c>
      <c r="I217" s="63" t="str">
        <f>TEXT(G217,"0") &amp; ", " &amp; TEXT(H217,"0") &amp;", -2"</f>
        <v>-1876, 417, -2</v>
      </c>
      <c r="J217" s="63" t="str">
        <f>IF(T217="TRUE",VLOOKUP(A217,'Stock Nodes'!$A$1:$C$63,3,FALSE),IF(U217="TRUE",VLOOKUP(A217,'CTT Nodes'!$A$1:$G$83,7,FALSE),VLOOKUP(A217,'ETT Nodes'!$A$1:$E$87,5,FALSE)))</f>
        <v>ETTR/UI/CTT/RDicon_science-experimental</v>
      </c>
      <c r="K217" s="21" t="s">
        <v>168</v>
      </c>
      <c r="L217" s="63" t="s">
        <v>2070</v>
      </c>
      <c r="M217" s="63" t="s">
        <v>2067</v>
      </c>
      <c r="N217" s="63"/>
      <c r="O217" s="63"/>
      <c r="P217" s="63"/>
      <c r="Q217" s="21"/>
      <c r="R217" s="63"/>
      <c r="S217" s="63"/>
      <c r="T217" s="25" t="str">
        <f>IF(ISNA(VLOOKUP(A217,'Stock Nodes'!$A$1:$C$63,1,FALSE)),"FALSE","TRUE")</f>
        <v>FALSE</v>
      </c>
      <c r="U217" s="25" t="str">
        <f>IF(ISNA(VLOOKUP(A217,'CTT Nodes'!$A$1:$D$83,1,FALSE)),"FALSE","TRUE")</f>
        <v>TRUE</v>
      </c>
      <c r="V217" s="25" t="str">
        <f>IF(OR(T217="TRUE",U217="TRUE"),"FALSE","TRUE")</f>
        <v>FALSE</v>
      </c>
      <c r="W217" s="63">
        <v>215</v>
      </c>
      <c r="X217" s="59">
        <v>8</v>
      </c>
    </row>
    <row r="218" spans="1:60" x14ac:dyDescent="0.25">
      <c r="A218" s="21" t="s">
        <v>203</v>
      </c>
      <c r="B218" s="21" t="s">
        <v>272</v>
      </c>
      <c r="C218" s="21" t="str">
        <f>IF(T218="TRUE",VLOOKUP(A218,'Stock Nodes'!$A$1:$D$63,4,FALSE),IF(U218="TRUE",VLOOKUP(A218,'CTT Nodes'!$A$1:$D$83,4,FALSE),VLOOKUP(A218,'ETT Nodes'!$A$1:$D$87,3,FALSE)))</f>
        <v>Applied High Energy Physics</v>
      </c>
      <c r="D218" s="21" t="str">
        <f>"Node"&amp;TEXT(X218,"0")&amp;"_"&amp;A218</f>
        <v>Node12_appliedHighEnergyPhysics</v>
      </c>
      <c r="E218" s="22" t="str">
        <f>IF(OR(V218="TRUE",B218&lt;&gt;C218),"#LOC_ETT_"&amp;A218&amp;"_description",IF(T218="TRUE",VLOOKUP(A218,'Stock Nodes'!$A$1:$C$63,2,FALSE),IF(U218="TRUE",VLOOKUP(A218,'CTT Nodes'!$A$1:$D$83,2,FALSE))))</f>
        <v>#LOC_ETT_appliedHighEnergyPhysics_description</v>
      </c>
      <c r="F218" s="58">
        <v>1750</v>
      </c>
      <c r="G218" s="21">
        <f t="array" ref="G218">INDEX(TNodeCols,MATCH(1,MMULT(--(TTechTree=A218),TRANSPOSE(COLUMN(TTechTree)^0)),0))</f>
        <v>-1797.6000000000013</v>
      </c>
      <c r="H218" s="21">
        <f t="array" ref="H218">INDEX(NodeRows,MATCH(1,MMULT(--(TechTree=A218),TRANSPOSE(COLUMN(TechTree)^0)),0))</f>
        <v>341</v>
      </c>
      <c r="I218" s="63" t="str">
        <f>TEXT(G218,"0") &amp; ", " &amp; TEXT(H218,"0") &amp;", -2"</f>
        <v>-1798, 341, -2</v>
      </c>
      <c r="J218" s="63" t="str">
        <f>IF(T218="TRUE",VLOOKUP(A218,'Stock Nodes'!$A$1:$C$63,3,FALSE),IF(U218="TRUE",VLOOKUP(A218,'CTT Nodes'!$A$1:$G$83,7,FALSE),VLOOKUP(A218,'ETT Nodes'!$A$1:$E$87,5,FALSE)))</f>
        <v>ETTR/UI/CTT/RDicon_science-experimental</v>
      </c>
      <c r="K218" s="21" t="s">
        <v>194</v>
      </c>
      <c r="L218" s="63" t="s">
        <v>2068</v>
      </c>
      <c r="M218" s="63" t="s">
        <v>2067</v>
      </c>
      <c r="N218" s="21"/>
      <c r="O218" s="63"/>
      <c r="P218" s="63"/>
      <c r="Q218" s="21"/>
      <c r="R218" s="63"/>
      <c r="S218" s="63"/>
      <c r="T218" s="25" t="str">
        <f>IF(ISNA(VLOOKUP(A218,'Stock Nodes'!$A$1:$C$63,1,FALSE)),"FALSE","TRUE")</f>
        <v>FALSE</v>
      </c>
      <c r="U218" s="25" t="str">
        <f>IF(ISNA(VLOOKUP(A218,'CTT Nodes'!$A$1:$D$83,1,FALSE)),"FALSE","TRUE")</f>
        <v>TRUE</v>
      </c>
      <c r="V218" s="25" t="str">
        <f>IF(OR(T218="TRUE",U218="TRUE"),"FALSE","TRUE")</f>
        <v>FALSE</v>
      </c>
      <c r="W218" s="68">
        <v>216</v>
      </c>
      <c r="X218" s="59">
        <v>12</v>
      </c>
      <c r="Y218" s="20"/>
      <c r="Z218" s="20"/>
      <c r="AA218" s="20"/>
      <c r="AB218" s="20"/>
      <c r="AC218" s="20"/>
      <c r="AD218" s="20"/>
      <c r="AE218" s="20"/>
      <c r="AF218" s="20"/>
      <c r="AG218" s="20"/>
      <c r="AH218" s="20"/>
      <c r="AI218" s="20"/>
      <c r="AJ218" s="20"/>
      <c r="AK218" s="20"/>
      <c r="AL218" s="20"/>
      <c r="AM218" s="20"/>
      <c r="AN218" s="20"/>
      <c r="AO218" s="20"/>
      <c r="AP218" s="20"/>
      <c r="AQ218" s="20"/>
      <c r="AR218" s="20"/>
      <c r="AS218" s="20"/>
      <c r="AT218" s="20"/>
      <c r="AU218" s="20"/>
      <c r="AV218" s="20"/>
      <c r="AW218" s="20"/>
      <c r="AX218" s="20"/>
      <c r="AY218" s="20"/>
      <c r="AZ218" s="20"/>
      <c r="BA218" s="20"/>
      <c r="BB218" s="20"/>
      <c r="BC218" s="20"/>
      <c r="BD218" s="20"/>
      <c r="BE218" s="20"/>
      <c r="BF218" s="20"/>
      <c r="BG218" s="20"/>
      <c r="BH218" s="20"/>
    </row>
    <row r="219" spans="1:60" x14ac:dyDescent="0.25">
      <c r="T219">
        <f>COUNTIF(T3:T218, "TRUE")</f>
        <v>0</v>
      </c>
      <c r="U219" s="20"/>
      <c r="W219" s="68"/>
      <c r="Y219" s="20"/>
      <c r="Z219" s="20"/>
      <c r="AA219" s="20"/>
      <c r="AB219" s="20"/>
      <c r="AC219" s="20"/>
      <c r="AD219" s="20"/>
      <c r="AE219" s="20"/>
      <c r="AF219" s="20"/>
      <c r="AG219" s="20"/>
      <c r="AH219" s="20"/>
      <c r="AI219" s="20"/>
      <c r="AJ219" s="20"/>
      <c r="AK219" s="20"/>
      <c r="AL219" s="20"/>
      <c r="AM219" s="20"/>
      <c r="AN219" s="20"/>
      <c r="AO219" s="20"/>
      <c r="AP219" s="20"/>
      <c r="AQ219" s="20"/>
      <c r="AR219" s="20"/>
      <c r="AS219" s="20"/>
      <c r="AT219" s="20"/>
      <c r="AU219" s="20"/>
      <c r="AV219" s="20"/>
      <c r="AW219" s="20"/>
      <c r="AX219" s="20"/>
      <c r="AY219" s="20"/>
      <c r="AZ219" s="20"/>
      <c r="BA219" s="20"/>
      <c r="BB219" s="20"/>
      <c r="BC219" s="20"/>
      <c r="BD219" s="20"/>
      <c r="BE219" s="20"/>
      <c r="BF219" s="20"/>
      <c r="BG219" s="20"/>
    </row>
    <row r="220" spans="1:60" x14ac:dyDescent="0.25">
      <c r="W220" s="20"/>
      <c r="Y220" s="20"/>
      <c r="Z220" s="20"/>
      <c r="AA220" s="20"/>
      <c r="AB220" s="20"/>
      <c r="AC220" s="20"/>
      <c r="AD220" s="20"/>
      <c r="AE220" s="20"/>
      <c r="AF220" s="20"/>
      <c r="AG220" s="20"/>
      <c r="AH220" s="20"/>
      <c r="AI220" s="20"/>
      <c r="AJ220" s="20"/>
      <c r="AK220" s="20"/>
      <c r="AL220" s="20"/>
      <c r="AM220" s="20"/>
      <c r="AN220" s="20"/>
      <c r="AO220" s="20"/>
      <c r="AP220" s="20"/>
      <c r="AQ220" s="20"/>
      <c r="AR220" s="20"/>
      <c r="AS220" s="20"/>
      <c r="AT220" s="20"/>
      <c r="AU220" s="20"/>
      <c r="AV220" s="20"/>
      <c r="AW220" s="20"/>
      <c r="AX220" s="20"/>
      <c r="AY220" s="20"/>
      <c r="AZ220" s="20"/>
      <c r="BA220" s="20"/>
      <c r="BB220" s="20"/>
      <c r="BC220" s="20"/>
      <c r="BD220" s="20"/>
      <c r="BE220" s="20"/>
      <c r="BF220" s="20"/>
      <c r="BG220" s="20"/>
    </row>
    <row r="221" spans="1:60" x14ac:dyDescent="0.25">
      <c r="W221" s="20"/>
      <c r="Y221" s="20"/>
      <c r="Z221" s="20"/>
      <c r="AA221" s="20"/>
      <c r="AB221" s="20"/>
      <c r="AC221" s="20"/>
      <c r="AD221" s="20"/>
      <c r="AE221" s="20"/>
      <c r="AF221" s="20"/>
      <c r="AG221" s="20"/>
      <c r="AH221" s="20"/>
      <c r="AI221" s="20"/>
      <c r="AJ221" s="20"/>
      <c r="AK221" s="20"/>
      <c r="AL221" s="20"/>
      <c r="AM221" s="20"/>
      <c r="AN221" s="20"/>
      <c r="AO221" s="20"/>
      <c r="AP221" s="20"/>
      <c r="AQ221" s="20"/>
      <c r="AR221" s="20"/>
      <c r="AS221" s="20"/>
      <c r="AT221" s="20"/>
      <c r="AU221" s="20"/>
      <c r="AV221" s="20"/>
      <c r="AW221" s="20"/>
      <c r="AX221" s="20"/>
      <c r="AY221" s="20"/>
      <c r="AZ221" s="20"/>
      <c r="BA221" s="20"/>
      <c r="BB221" s="20"/>
      <c r="BC221" s="20"/>
      <c r="BD221" s="20"/>
      <c r="BE221" s="20"/>
      <c r="BF221" s="20"/>
      <c r="BG221" s="20"/>
    </row>
    <row r="222" spans="1:60" x14ac:dyDescent="0.25">
      <c r="W222" s="20"/>
      <c r="Y222" s="20"/>
      <c r="Z222" s="20"/>
      <c r="AA222" s="20"/>
      <c r="AB222" s="20"/>
      <c r="AC222" s="20"/>
      <c r="AD222" s="20"/>
      <c r="AE222" s="20"/>
      <c r="AF222" s="20"/>
      <c r="AG222" s="20"/>
      <c r="AH222" s="20"/>
      <c r="AI222" s="20"/>
      <c r="AJ222" s="20"/>
      <c r="AK222" s="20"/>
      <c r="AL222" s="20"/>
      <c r="AM222" s="20"/>
      <c r="AN222" s="20"/>
      <c r="AO222" s="20"/>
      <c r="AP222" s="20"/>
      <c r="AQ222" s="20"/>
      <c r="AR222" s="20"/>
      <c r="AS222" s="20"/>
      <c r="AT222" s="20"/>
      <c r="AU222" s="20"/>
      <c r="AV222" s="20"/>
      <c r="AW222" s="20"/>
      <c r="AX222" s="20"/>
      <c r="AY222" s="20"/>
      <c r="AZ222" s="20"/>
      <c r="BA222" s="20"/>
      <c r="BB222" s="20"/>
      <c r="BC222" s="20"/>
      <c r="BD222" s="20"/>
      <c r="BE222" s="20"/>
      <c r="BF222" s="20"/>
      <c r="BG222" s="20"/>
    </row>
    <row r="223" spans="1:60" x14ac:dyDescent="0.25">
      <c r="W223" s="20"/>
      <c r="Y223" s="20"/>
      <c r="Z223" s="20"/>
      <c r="AA223" s="20"/>
      <c r="AB223" s="20"/>
      <c r="AC223" s="20"/>
      <c r="AD223" s="20"/>
      <c r="AE223" s="20"/>
      <c r="AF223" s="20"/>
      <c r="AG223" s="20"/>
      <c r="AH223" s="20"/>
      <c r="AI223" s="20"/>
      <c r="AJ223" s="20"/>
      <c r="AK223" s="20"/>
      <c r="AL223" s="20"/>
      <c r="AM223" s="20"/>
      <c r="AN223" s="20"/>
      <c r="AO223" s="20"/>
      <c r="AP223" s="20"/>
      <c r="AQ223" s="20"/>
      <c r="AR223" s="20"/>
      <c r="AS223" s="20"/>
      <c r="AT223" s="20"/>
      <c r="AU223" s="20"/>
      <c r="AV223" s="20"/>
      <c r="AW223" s="20"/>
      <c r="AX223" s="20"/>
      <c r="AY223" s="20"/>
      <c r="AZ223" s="20"/>
      <c r="BA223" s="20"/>
      <c r="BB223" s="20"/>
      <c r="BC223" s="20"/>
      <c r="BD223" s="20"/>
      <c r="BE223" s="20"/>
      <c r="BF223" s="20"/>
      <c r="BG223" s="20"/>
    </row>
    <row r="224" spans="1:60" x14ac:dyDescent="0.25">
      <c r="W224" s="20"/>
      <c r="Y224" s="20"/>
      <c r="Z224" s="20"/>
      <c r="AA224" s="20"/>
      <c r="AB224" s="20"/>
      <c r="AC224" s="20"/>
      <c r="AD224" s="20"/>
      <c r="AE224" s="20"/>
      <c r="AF224" s="20"/>
      <c r="AG224" s="20"/>
      <c r="AH224" s="20"/>
      <c r="AI224" s="20"/>
      <c r="AJ224" s="20"/>
      <c r="AK224" s="20"/>
      <c r="AL224" s="20"/>
      <c r="AM224" s="20"/>
      <c r="AN224" s="20"/>
      <c r="AO224" s="20"/>
      <c r="AP224" s="20"/>
      <c r="AQ224" s="20"/>
      <c r="AR224" s="20"/>
      <c r="AS224" s="20"/>
      <c r="AT224" s="20"/>
      <c r="AU224" s="20"/>
      <c r="AV224" s="20"/>
      <c r="AW224" s="20"/>
      <c r="AX224" s="20"/>
      <c r="AY224" s="20"/>
      <c r="AZ224" s="20"/>
      <c r="BA224" s="20"/>
      <c r="BB224" s="20"/>
      <c r="BC224" s="20"/>
      <c r="BD224" s="20"/>
      <c r="BE224" s="20"/>
      <c r="BF224" s="20"/>
      <c r="BG224" s="20"/>
    </row>
    <row r="225" spans="23:59" x14ac:dyDescent="0.25">
      <c r="W225" s="20"/>
      <c r="Y225" s="20"/>
      <c r="Z225" s="20"/>
      <c r="AA225" s="20"/>
      <c r="AB225" s="20"/>
      <c r="AC225" s="20"/>
      <c r="AD225" s="20"/>
      <c r="AE225" s="20"/>
      <c r="AF225" s="20"/>
      <c r="AG225" s="20"/>
      <c r="AH225" s="20"/>
      <c r="AI225" s="20"/>
      <c r="AJ225" s="20"/>
      <c r="AK225" s="20"/>
      <c r="AL225" s="20"/>
      <c r="AM225" s="20"/>
      <c r="AN225" s="20"/>
      <c r="AO225" s="20"/>
      <c r="AP225" s="20"/>
      <c r="AQ225" s="20"/>
      <c r="AR225" s="20"/>
      <c r="AS225" s="20"/>
      <c r="AT225" s="20"/>
      <c r="AU225" s="20"/>
      <c r="AV225" s="20"/>
      <c r="AW225" s="20"/>
      <c r="AX225" s="20"/>
      <c r="AY225" s="20"/>
      <c r="AZ225" s="20"/>
      <c r="BA225" s="20"/>
      <c r="BB225" s="20"/>
      <c r="BC225" s="20"/>
      <c r="BD225" s="20"/>
      <c r="BE225" s="20"/>
      <c r="BF225" s="20"/>
      <c r="BG225" s="20"/>
    </row>
    <row r="226" spans="23:59" x14ac:dyDescent="0.25">
      <c r="W226" s="20"/>
      <c r="Y226" s="20"/>
      <c r="Z226" s="20"/>
      <c r="AA226" s="20"/>
      <c r="AB226" s="20"/>
      <c r="AC226" s="20"/>
      <c r="AD226" s="20"/>
      <c r="AE226" s="20"/>
      <c r="AF226" s="20"/>
      <c r="AG226" s="20"/>
      <c r="AH226" s="20"/>
      <c r="AI226" s="20"/>
      <c r="AJ226" s="20"/>
      <c r="AK226" s="20"/>
      <c r="AL226" s="20"/>
      <c r="AM226" s="20"/>
      <c r="AN226" s="20"/>
      <c r="AO226" s="20"/>
      <c r="AP226" s="20"/>
      <c r="AQ226" s="20"/>
      <c r="AR226" s="20"/>
      <c r="AS226" s="20"/>
      <c r="AT226" s="20"/>
      <c r="AU226" s="20"/>
      <c r="AV226" s="20"/>
      <c r="AW226" s="20"/>
      <c r="AX226" s="20"/>
      <c r="AY226" s="20"/>
      <c r="AZ226" s="20"/>
      <c r="BA226" s="20"/>
      <c r="BB226" s="20"/>
      <c r="BC226" s="20"/>
      <c r="BD226" s="20"/>
      <c r="BE226" s="20"/>
      <c r="BF226" s="20"/>
      <c r="BG226" s="20"/>
    </row>
    <row r="227" spans="23:59" x14ac:dyDescent="0.25">
      <c r="W227" s="20"/>
      <c r="Y227" s="20"/>
      <c r="Z227" s="20"/>
      <c r="AA227" s="20"/>
      <c r="AB227" s="20"/>
      <c r="AC227" s="20"/>
      <c r="AD227" s="20"/>
      <c r="AE227" s="20"/>
      <c r="AF227" s="20"/>
      <c r="AG227" s="20"/>
      <c r="AH227" s="20"/>
      <c r="AI227" s="20"/>
      <c r="AJ227" s="20"/>
      <c r="AK227" s="20"/>
      <c r="AL227" s="20"/>
      <c r="AM227" s="20"/>
      <c r="AN227" s="20"/>
      <c r="AO227" s="20"/>
      <c r="AP227" s="20"/>
      <c r="AQ227" s="20"/>
      <c r="AR227" s="20"/>
      <c r="AS227" s="20"/>
      <c r="AT227" s="20"/>
      <c r="AU227" s="20"/>
      <c r="AV227" s="20"/>
      <c r="AW227" s="20"/>
      <c r="AX227" s="20"/>
      <c r="AY227" s="20"/>
      <c r="AZ227" s="20"/>
      <c r="BA227" s="20"/>
      <c r="BB227" s="20"/>
      <c r="BC227" s="20"/>
      <c r="BD227" s="20"/>
      <c r="BE227" s="20"/>
      <c r="BF227" s="20"/>
      <c r="BG227" s="20"/>
    </row>
    <row r="228" spans="23:59" x14ac:dyDescent="0.25">
      <c r="W228" s="20"/>
      <c r="Y228" s="20"/>
      <c r="Z228" s="20"/>
      <c r="AA228" s="20"/>
      <c r="AB228" s="20"/>
      <c r="AC228" s="20"/>
      <c r="AD228" s="20"/>
      <c r="AE228" s="20"/>
      <c r="AF228" s="20"/>
      <c r="AG228" s="20"/>
      <c r="AH228" s="20"/>
      <c r="AI228" s="20"/>
      <c r="AJ228" s="20"/>
      <c r="AK228" s="20"/>
      <c r="AL228" s="20"/>
      <c r="AM228" s="20"/>
      <c r="AN228" s="20"/>
      <c r="AO228" s="20"/>
      <c r="AP228" s="20"/>
      <c r="AQ228" s="20"/>
      <c r="AR228" s="20"/>
      <c r="AS228" s="20"/>
      <c r="AT228" s="20"/>
      <c r="AU228" s="20"/>
      <c r="AV228" s="20"/>
      <c r="AW228" s="20"/>
      <c r="AX228" s="20"/>
      <c r="AY228" s="20"/>
      <c r="AZ228" s="20"/>
      <c r="BA228" s="20"/>
      <c r="BB228" s="20"/>
      <c r="BC228" s="20"/>
      <c r="BD228" s="20"/>
      <c r="BE228" s="20"/>
      <c r="BF228" s="20"/>
      <c r="BG228" s="20"/>
    </row>
    <row r="229" spans="23:59" x14ac:dyDescent="0.25">
      <c r="W229" s="20"/>
      <c r="Y229" s="20"/>
      <c r="Z229" s="20"/>
      <c r="AA229" s="20"/>
      <c r="AB229" s="20"/>
      <c r="AC229" s="20"/>
      <c r="AD229" s="20"/>
      <c r="AE229" s="20"/>
      <c r="AF229" s="20"/>
      <c r="AG229" s="20"/>
      <c r="AH229" s="20"/>
      <c r="AI229" s="20"/>
      <c r="AJ229" s="20"/>
      <c r="AK229" s="20"/>
      <c r="AL229" s="20"/>
      <c r="AM229" s="20"/>
      <c r="AN229" s="20"/>
      <c r="AO229" s="20"/>
      <c r="AP229" s="20"/>
      <c r="AQ229" s="20"/>
      <c r="AR229" s="20"/>
      <c r="AS229" s="20"/>
      <c r="AT229" s="20"/>
      <c r="AU229" s="20"/>
      <c r="AV229" s="20"/>
      <c r="AW229" s="20"/>
      <c r="AX229" s="20"/>
      <c r="AY229" s="20"/>
      <c r="AZ229" s="20"/>
      <c r="BA229" s="20"/>
      <c r="BB229" s="20"/>
      <c r="BC229" s="20"/>
      <c r="BD229" s="20"/>
      <c r="BE229" s="20"/>
      <c r="BF229" s="20"/>
      <c r="BG229" s="20"/>
    </row>
    <row r="230" spans="23:59" x14ac:dyDescent="0.25">
      <c r="W230" s="20"/>
      <c r="Y230" s="20"/>
      <c r="Z230" s="20"/>
      <c r="AA230" s="20"/>
      <c r="AB230" s="20"/>
      <c r="AC230" s="20"/>
      <c r="AD230" s="20"/>
      <c r="AE230" s="20"/>
      <c r="AF230" s="20"/>
      <c r="AG230" s="20"/>
      <c r="AH230" s="20"/>
      <c r="AI230" s="20"/>
      <c r="AJ230" s="20"/>
      <c r="AK230" s="20"/>
      <c r="AL230" s="20"/>
      <c r="AM230" s="20"/>
      <c r="AN230" s="20"/>
      <c r="AO230" s="20"/>
      <c r="AP230" s="20"/>
      <c r="AQ230" s="20"/>
      <c r="AR230" s="20"/>
      <c r="AS230" s="20"/>
      <c r="AT230" s="20"/>
      <c r="AU230" s="20"/>
      <c r="AV230" s="20"/>
      <c r="AW230" s="20"/>
      <c r="AX230" s="20"/>
      <c r="AY230" s="20"/>
      <c r="AZ230" s="20"/>
      <c r="BA230" s="20"/>
      <c r="BB230" s="20"/>
      <c r="BC230" s="20"/>
      <c r="BD230" s="20"/>
      <c r="BE230" s="20"/>
      <c r="BF230" s="20"/>
      <c r="BG230" s="20"/>
    </row>
    <row r="231" spans="23:59" x14ac:dyDescent="0.25">
      <c r="W231" s="20"/>
      <c r="Y231" s="20"/>
      <c r="Z231" s="20"/>
      <c r="AA231" s="20"/>
      <c r="AB231" s="20"/>
      <c r="AC231" s="20"/>
      <c r="AD231" s="20"/>
      <c r="AE231" s="20"/>
      <c r="AF231" s="20"/>
      <c r="AG231" s="20"/>
      <c r="AH231" s="20"/>
      <c r="AI231" s="20"/>
      <c r="AJ231" s="20"/>
      <c r="AK231" s="20"/>
      <c r="AL231" s="20"/>
      <c r="AM231" s="20"/>
      <c r="AN231" s="20"/>
      <c r="AO231" s="20"/>
      <c r="AP231" s="20"/>
      <c r="AQ231" s="20"/>
      <c r="AR231" s="20"/>
      <c r="AS231" s="20"/>
      <c r="AT231" s="20"/>
      <c r="AU231" s="20"/>
      <c r="AV231" s="20"/>
      <c r="AW231" s="20"/>
      <c r="AX231" s="20"/>
      <c r="AY231" s="20"/>
      <c r="AZ231" s="20"/>
      <c r="BA231" s="20"/>
      <c r="BB231" s="20"/>
      <c r="BC231" s="20"/>
      <c r="BD231" s="20"/>
      <c r="BE231" s="20"/>
      <c r="BF231" s="20"/>
      <c r="BG231" s="20"/>
    </row>
    <row r="232" spans="23:59" x14ac:dyDescent="0.25">
      <c r="W232" s="20"/>
      <c r="Y232" s="20"/>
      <c r="Z232" s="20"/>
      <c r="AA232" s="20"/>
      <c r="AB232" s="20"/>
      <c r="AC232" s="20"/>
      <c r="AD232" s="20"/>
      <c r="AE232" s="20"/>
      <c r="AF232" s="20"/>
      <c r="AG232" s="20"/>
      <c r="AH232" s="20"/>
      <c r="AI232" s="20"/>
      <c r="AJ232" s="20"/>
      <c r="AK232" s="20"/>
      <c r="AL232" s="20"/>
      <c r="AM232" s="20"/>
      <c r="AN232" s="20"/>
      <c r="AO232" s="20"/>
      <c r="AP232" s="20"/>
      <c r="AQ232" s="20"/>
      <c r="AR232" s="20"/>
      <c r="AS232" s="20"/>
      <c r="AT232" s="20"/>
      <c r="AU232" s="20"/>
      <c r="AV232" s="20"/>
      <c r="AW232" s="20"/>
      <c r="AX232" s="20"/>
      <c r="AY232" s="20"/>
      <c r="AZ232" s="20"/>
      <c r="BA232" s="20"/>
      <c r="BB232" s="20"/>
      <c r="BC232" s="20"/>
      <c r="BD232" s="20"/>
      <c r="BE232" s="20"/>
      <c r="BF232" s="20"/>
      <c r="BG232" s="20"/>
    </row>
    <row r="233" spans="23:59" x14ac:dyDescent="0.25">
      <c r="W233" s="20"/>
      <c r="Y233" s="20"/>
      <c r="Z233" s="20"/>
      <c r="AA233" s="20"/>
      <c r="AB233" s="20"/>
      <c r="AC233" s="20"/>
      <c r="AD233" s="20"/>
      <c r="AE233" s="20"/>
      <c r="AF233" s="20"/>
      <c r="AG233" s="20"/>
      <c r="AH233" s="20"/>
      <c r="AI233" s="20"/>
      <c r="AJ233" s="20"/>
      <c r="AK233" s="20"/>
      <c r="AL233" s="20"/>
      <c r="AM233" s="20"/>
      <c r="AN233" s="20"/>
      <c r="AO233" s="20"/>
      <c r="AP233" s="20"/>
      <c r="AQ233" s="20"/>
      <c r="AR233" s="20"/>
      <c r="AS233" s="20"/>
      <c r="AT233" s="20"/>
      <c r="AU233" s="20"/>
      <c r="AV233" s="20"/>
      <c r="AW233" s="20"/>
      <c r="AX233" s="20"/>
      <c r="AY233" s="20"/>
      <c r="AZ233" s="20"/>
      <c r="BA233" s="20"/>
      <c r="BB233" s="20"/>
      <c r="BC233" s="20"/>
      <c r="BD233" s="20"/>
      <c r="BE233" s="20"/>
      <c r="BF233" s="20"/>
      <c r="BG233" s="20"/>
    </row>
    <row r="234" spans="23:59" x14ac:dyDescent="0.25">
      <c r="W234" s="20"/>
      <c r="Y234" s="20"/>
      <c r="Z234" s="20"/>
      <c r="AA234" s="20"/>
      <c r="AB234" s="20"/>
      <c r="AC234" s="20"/>
      <c r="AD234" s="20"/>
      <c r="AE234" s="20"/>
      <c r="AF234" s="20"/>
      <c r="AG234" s="20"/>
      <c r="AH234" s="20"/>
      <c r="AI234" s="20"/>
      <c r="AJ234" s="20"/>
      <c r="AK234" s="20"/>
      <c r="AL234" s="20"/>
      <c r="AM234" s="20"/>
      <c r="AN234" s="20"/>
      <c r="AO234" s="20"/>
      <c r="AP234" s="20"/>
      <c r="AQ234" s="20"/>
      <c r="AR234" s="20"/>
      <c r="AS234" s="20"/>
      <c r="AT234" s="20"/>
      <c r="AU234" s="20"/>
      <c r="AV234" s="20"/>
      <c r="AW234" s="20"/>
      <c r="AX234" s="20"/>
      <c r="AY234" s="20"/>
      <c r="AZ234" s="20"/>
      <c r="BA234" s="20"/>
      <c r="BB234" s="20"/>
      <c r="BC234" s="20"/>
      <c r="BD234" s="20"/>
      <c r="BE234" s="20"/>
      <c r="BF234" s="20"/>
      <c r="BG234" s="20"/>
    </row>
    <row r="235" spans="23:59" x14ac:dyDescent="0.25">
      <c r="W235" s="20"/>
      <c r="Y235" s="20"/>
      <c r="Z235" s="20"/>
      <c r="AA235" s="20"/>
      <c r="AB235" s="20"/>
      <c r="AC235" s="20"/>
      <c r="AD235" s="20"/>
      <c r="AE235" s="20"/>
      <c r="AF235" s="20"/>
      <c r="AG235" s="20"/>
      <c r="AH235" s="20"/>
      <c r="AI235" s="20"/>
      <c r="AJ235" s="20"/>
      <c r="AK235" s="20"/>
      <c r="AL235" s="20"/>
      <c r="AM235" s="20"/>
      <c r="AN235" s="20"/>
      <c r="AO235" s="20"/>
      <c r="AP235" s="20"/>
      <c r="AQ235" s="20"/>
      <c r="AR235" s="20"/>
      <c r="AS235" s="20"/>
      <c r="AT235" s="20"/>
      <c r="AU235" s="20"/>
      <c r="AV235" s="20"/>
      <c r="AW235" s="20"/>
      <c r="AX235" s="20"/>
      <c r="AY235" s="20"/>
      <c r="AZ235" s="20"/>
      <c r="BA235" s="20"/>
      <c r="BB235" s="20"/>
      <c r="BC235" s="20"/>
      <c r="BD235" s="20"/>
      <c r="BE235" s="20"/>
      <c r="BF235" s="20"/>
      <c r="BG235" s="20"/>
    </row>
    <row r="236" spans="23:59" x14ac:dyDescent="0.25">
      <c r="W236" s="20"/>
      <c r="Y236" s="20"/>
      <c r="Z236" s="20"/>
      <c r="AA236" s="20"/>
      <c r="AB236" s="20"/>
      <c r="AC236" s="20"/>
      <c r="AD236" s="20"/>
      <c r="AE236" s="20"/>
      <c r="AF236" s="20"/>
      <c r="AG236" s="20"/>
      <c r="AH236" s="20"/>
      <c r="AI236" s="20"/>
      <c r="AJ236" s="20"/>
      <c r="AK236" s="20"/>
      <c r="AL236" s="20"/>
      <c r="AM236" s="20"/>
      <c r="AN236" s="20"/>
      <c r="AO236" s="20"/>
      <c r="AP236" s="20"/>
      <c r="AQ236" s="20"/>
      <c r="AR236" s="20"/>
      <c r="AS236" s="20"/>
      <c r="AT236" s="20"/>
      <c r="AU236" s="20"/>
      <c r="AV236" s="20"/>
      <c r="AW236" s="20"/>
      <c r="AX236" s="20"/>
      <c r="AY236" s="20"/>
      <c r="AZ236" s="20"/>
      <c r="BA236" s="20"/>
      <c r="BB236" s="20"/>
      <c r="BC236" s="20"/>
      <c r="BD236" s="20"/>
      <c r="BE236" s="20"/>
      <c r="BF236" s="20"/>
      <c r="BG236" s="20"/>
    </row>
  </sheetData>
  <autoFilter ref="A2:X218">
    <sortState ref="A3:X219">
      <sortCondition ref="W2:W218"/>
    </sortState>
  </autoFilter>
  <sortState ref="A3:Q229">
    <sortCondition descending="1" ref="H3:H229"/>
    <sortCondition ref="G3:G229"/>
  </sortState>
  <dataValidations count="2">
    <dataValidation type="list" allowBlank="1" showInputMessage="1" showErrorMessage="1" sqref="K213 K101:K104 K156 K138 K217:K218 K54:K58 K204:K209 K3:K11 K13:K14 N9:N14 K134:K136 K112:K113 K142:K144 K86 K29:K32 K180 K140 K147:K151 K171 K48 K66:K68 N16:N136 K118:K127 K108 K80 K70:K78 K166:K167 K36 K178 K90:K92 K164 K184:K187 K97:K99 K88 N147:N166 K16:K18 K129:K132 K189:K194 K196:K202 N173:N218 N138:N145 K174:K176 Q3:Q218 N168:N171 K169 K25:K27 K182 K45:K46 K39:K43 K60:K64 K115:K116 K82:K84 K159:K162 K52 K20:K23 K94:K95 K50 K110 N3 N6:N7">
      <formula1>TechNodes</formula1>
    </dataValidation>
    <dataValidation type="list" allowBlank="1" showInputMessage="1" showErrorMessage="1" sqref="O3:P218 R3:S218 L3:M218">
      <formula1>"LEFT, RIGHT, TOP, BOTTOM"</formula1>
    </dataValidation>
  </dataValidations>
  <pageMargins left="0.7" right="0.7" top="0.75" bottom="0.75" header="0.3" footer="0.3"/>
  <pageSetup scale="84"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DM102"/>
  <sheetViews>
    <sheetView topLeftCell="U41" zoomScale="115" zoomScaleNormal="115" workbookViewId="0">
      <selection activeCell="AX64" sqref="AX64"/>
    </sheetView>
  </sheetViews>
  <sheetFormatPr defaultRowHeight="15" x14ac:dyDescent="0.25"/>
  <cols>
    <col min="1" max="1" width="9.140625" style="54"/>
    <col min="2" max="159" width="5.7109375" customWidth="1"/>
  </cols>
  <sheetData>
    <row r="1" spans="1:117" s="56" customFormat="1" ht="12" x14ac:dyDescent="0.2">
      <c r="A1" s="55"/>
      <c r="B1" s="56">
        <v>1</v>
      </c>
      <c r="C1" s="56">
        <v>2</v>
      </c>
      <c r="D1" s="56">
        <v>3</v>
      </c>
      <c r="E1" s="56">
        <v>4</v>
      </c>
      <c r="F1" s="56">
        <v>5</v>
      </c>
      <c r="G1" s="56">
        <v>6</v>
      </c>
      <c r="H1" s="56">
        <v>7</v>
      </c>
      <c r="I1" s="56">
        <v>8</v>
      </c>
      <c r="J1" s="56">
        <v>9</v>
      </c>
      <c r="K1" s="56">
        <v>10</v>
      </c>
      <c r="L1" s="56">
        <v>11</v>
      </c>
      <c r="M1" s="56">
        <v>12</v>
      </c>
      <c r="N1" s="56">
        <v>13</v>
      </c>
      <c r="O1" s="56">
        <v>14</v>
      </c>
      <c r="P1" s="56">
        <v>15</v>
      </c>
      <c r="Q1" s="56">
        <v>16</v>
      </c>
      <c r="R1" s="56">
        <v>17</v>
      </c>
      <c r="S1" s="56">
        <v>18</v>
      </c>
      <c r="T1" s="56">
        <v>19</v>
      </c>
      <c r="U1" s="56">
        <v>20</v>
      </c>
      <c r="V1" s="56">
        <v>21</v>
      </c>
      <c r="W1" s="56">
        <v>22</v>
      </c>
      <c r="X1" s="56">
        <v>23</v>
      </c>
      <c r="Y1" s="56">
        <v>24</v>
      </c>
      <c r="Z1" s="56">
        <v>25</v>
      </c>
      <c r="AA1" s="56">
        <v>26</v>
      </c>
      <c r="AB1" s="56">
        <v>27</v>
      </c>
      <c r="AC1" s="56">
        <v>28</v>
      </c>
      <c r="AD1" s="56">
        <v>29</v>
      </c>
      <c r="AE1" s="56">
        <v>30</v>
      </c>
      <c r="AF1" s="56">
        <v>31</v>
      </c>
      <c r="AG1" s="56">
        <v>32</v>
      </c>
      <c r="AH1" s="56">
        <v>33</v>
      </c>
      <c r="AI1" s="56">
        <v>34</v>
      </c>
      <c r="AJ1" s="56">
        <v>35</v>
      </c>
      <c r="AK1" s="56">
        <v>36</v>
      </c>
      <c r="AL1" s="56">
        <v>37</v>
      </c>
      <c r="AM1" s="56">
        <v>38</v>
      </c>
      <c r="AN1" s="56">
        <v>39</v>
      </c>
      <c r="AO1" s="56">
        <v>40</v>
      </c>
      <c r="AP1" s="56">
        <v>41</v>
      </c>
      <c r="AQ1" s="56">
        <v>42</v>
      </c>
      <c r="AR1" s="56">
        <v>43</v>
      </c>
      <c r="AS1" s="56">
        <v>44</v>
      </c>
      <c r="AT1" s="56">
        <v>45</v>
      </c>
      <c r="AU1" s="56">
        <v>46</v>
      </c>
      <c r="AV1" s="56">
        <v>47</v>
      </c>
      <c r="AW1" s="56">
        <v>48</v>
      </c>
      <c r="AX1" s="56">
        <v>49</v>
      </c>
      <c r="AY1" s="56">
        <v>50</v>
      </c>
      <c r="AZ1" s="56">
        <v>51</v>
      </c>
      <c r="BA1" s="56">
        <v>52</v>
      </c>
      <c r="BB1" s="56">
        <v>53</v>
      </c>
      <c r="BC1" s="56">
        <v>54</v>
      </c>
      <c r="BD1" s="56">
        <v>55</v>
      </c>
      <c r="BE1" s="56">
        <v>56</v>
      </c>
      <c r="BF1" s="56">
        <v>57</v>
      </c>
      <c r="BG1" s="56">
        <v>58</v>
      </c>
      <c r="BH1" s="56">
        <v>59</v>
      </c>
      <c r="BI1" s="56">
        <v>60</v>
      </c>
      <c r="BJ1" s="56">
        <v>61</v>
      </c>
      <c r="BK1" s="56">
        <v>62</v>
      </c>
      <c r="BL1" s="56">
        <v>63</v>
      </c>
      <c r="BM1" s="56">
        <v>64</v>
      </c>
      <c r="BN1" s="56">
        <v>65</v>
      </c>
      <c r="BO1" s="56">
        <v>66</v>
      </c>
      <c r="BP1" s="56">
        <v>67</v>
      </c>
      <c r="BQ1" s="56">
        <v>68</v>
      </c>
      <c r="BR1" s="56">
        <v>69</v>
      </c>
      <c r="BS1" s="56">
        <v>70</v>
      </c>
      <c r="BT1" s="56">
        <v>71</v>
      </c>
      <c r="BU1" s="56">
        <v>72</v>
      </c>
      <c r="BV1" s="56">
        <v>73</v>
      </c>
      <c r="BW1" s="56">
        <v>74</v>
      </c>
      <c r="BX1" s="56">
        <v>75</v>
      </c>
      <c r="BY1" s="56">
        <v>76</v>
      </c>
      <c r="BZ1" s="56">
        <v>77</v>
      </c>
      <c r="CA1" s="56">
        <v>78</v>
      </c>
      <c r="CB1" s="56">
        <v>79</v>
      </c>
      <c r="CC1" s="56">
        <v>80</v>
      </c>
      <c r="CD1" s="56">
        <v>81</v>
      </c>
      <c r="CE1" s="56">
        <v>82</v>
      </c>
      <c r="CF1" s="56">
        <v>83</v>
      </c>
      <c r="CG1" s="56">
        <v>84</v>
      </c>
      <c r="CH1" s="56">
        <v>85</v>
      </c>
      <c r="CI1" s="56">
        <v>86</v>
      </c>
      <c r="CJ1" s="56">
        <v>87</v>
      </c>
      <c r="CK1" s="56">
        <v>88</v>
      </c>
      <c r="CL1" s="56">
        <v>89</v>
      </c>
      <c r="CM1" s="56">
        <v>90</v>
      </c>
      <c r="CN1" s="56">
        <v>91</v>
      </c>
      <c r="CO1" s="56">
        <v>92</v>
      </c>
      <c r="CP1" s="56">
        <v>93</v>
      </c>
      <c r="CQ1" s="56">
        <v>94</v>
      </c>
      <c r="CR1" s="56">
        <v>95</v>
      </c>
      <c r="CS1" s="56">
        <v>96</v>
      </c>
      <c r="CT1" s="56">
        <v>97</v>
      </c>
      <c r="CU1" s="56">
        <v>98</v>
      </c>
      <c r="CV1" s="56">
        <v>99</v>
      </c>
      <c r="CW1" s="56">
        <v>100</v>
      </c>
      <c r="CX1" s="56">
        <v>101</v>
      </c>
      <c r="CY1" s="56">
        <v>102</v>
      </c>
      <c r="CZ1" s="56">
        <v>103</v>
      </c>
      <c r="DA1" s="56">
        <v>104</v>
      </c>
      <c r="DB1" s="56">
        <v>105</v>
      </c>
      <c r="DC1" s="56">
        <v>106</v>
      </c>
      <c r="DD1" s="56">
        <v>107</v>
      </c>
      <c r="DE1" s="56">
        <v>108</v>
      </c>
      <c r="DF1" s="56">
        <v>109</v>
      </c>
      <c r="DG1" s="56">
        <v>110</v>
      </c>
      <c r="DH1" s="56">
        <v>111</v>
      </c>
      <c r="DI1" s="56">
        <v>112</v>
      </c>
      <c r="DJ1" s="56">
        <v>113</v>
      </c>
      <c r="DK1" s="56">
        <v>114</v>
      </c>
      <c r="DL1" s="56">
        <v>115</v>
      </c>
      <c r="DM1" s="56">
        <v>116</v>
      </c>
    </row>
    <row r="2" spans="1:117" x14ac:dyDescent="0.25">
      <c r="A2" s="54">
        <f t="array" ref="A2:A102">TRANSPOSE(NodeCols)</f>
        <v>-3990.0000000000064</v>
      </c>
      <c r="B2" s="52">
        <f t="array" ref="B2:DM102">TRANSPOSE(TechTree)</f>
        <v>0</v>
      </c>
      <c r="C2" s="52">
        <v>0</v>
      </c>
      <c r="D2" s="52">
        <v>0</v>
      </c>
      <c r="E2" s="52">
        <v>0</v>
      </c>
      <c r="F2" s="52">
        <v>0</v>
      </c>
      <c r="G2" s="52">
        <v>0</v>
      </c>
      <c r="H2" s="52">
        <v>0</v>
      </c>
      <c r="I2" s="52">
        <v>0</v>
      </c>
      <c r="J2" s="52">
        <v>0</v>
      </c>
      <c r="K2" s="52">
        <v>0</v>
      </c>
      <c r="L2" s="52">
        <v>0</v>
      </c>
      <c r="M2" s="52">
        <v>0</v>
      </c>
      <c r="N2" s="52">
        <v>0</v>
      </c>
      <c r="O2" s="52">
        <v>0</v>
      </c>
      <c r="P2" s="52">
        <v>0</v>
      </c>
      <c r="Q2" s="52">
        <v>0</v>
      </c>
      <c r="R2" s="52">
        <v>0</v>
      </c>
      <c r="S2" s="52">
        <v>0</v>
      </c>
      <c r="T2" s="52">
        <v>0</v>
      </c>
      <c r="U2" s="52">
        <v>0</v>
      </c>
      <c r="V2" s="52">
        <v>0</v>
      </c>
      <c r="W2" s="52">
        <v>0</v>
      </c>
      <c r="X2" s="52">
        <v>0</v>
      </c>
      <c r="Y2" s="52">
        <v>0</v>
      </c>
      <c r="Z2" s="52">
        <v>0</v>
      </c>
      <c r="AA2" s="52">
        <v>0</v>
      </c>
      <c r="AB2" s="52">
        <v>0</v>
      </c>
      <c r="AC2" s="52">
        <v>0</v>
      </c>
      <c r="AD2" s="52">
        <v>0</v>
      </c>
      <c r="AE2" s="52">
        <v>0</v>
      </c>
      <c r="AF2" s="52">
        <v>0</v>
      </c>
      <c r="AG2" s="52">
        <v>0</v>
      </c>
      <c r="AH2" s="52">
        <v>0</v>
      </c>
      <c r="AI2" s="52">
        <v>0</v>
      </c>
      <c r="AJ2" s="52">
        <v>0</v>
      </c>
      <c r="AK2" s="52">
        <v>0</v>
      </c>
      <c r="AL2" s="52">
        <v>0</v>
      </c>
      <c r="AM2" s="52">
        <v>0</v>
      </c>
      <c r="AN2" s="52">
        <v>0</v>
      </c>
      <c r="AO2" s="52">
        <v>0</v>
      </c>
      <c r="AP2" s="52">
        <v>0</v>
      </c>
      <c r="AQ2" s="52">
        <v>0</v>
      </c>
      <c r="AR2" s="52">
        <v>0</v>
      </c>
      <c r="AS2" s="52">
        <v>0</v>
      </c>
      <c r="AT2" s="52">
        <v>0</v>
      </c>
      <c r="AU2" s="52">
        <v>0</v>
      </c>
      <c r="AV2" s="52">
        <v>0</v>
      </c>
      <c r="AW2" s="52">
        <v>0</v>
      </c>
      <c r="AX2" s="52">
        <v>0</v>
      </c>
      <c r="AY2" s="52">
        <v>0</v>
      </c>
      <c r="AZ2" s="52">
        <v>0</v>
      </c>
      <c r="BA2" s="52">
        <v>0</v>
      </c>
      <c r="BB2" s="52">
        <v>0</v>
      </c>
      <c r="BC2" s="52">
        <v>0</v>
      </c>
      <c r="BD2" s="52">
        <v>0</v>
      </c>
      <c r="BE2" s="52">
        <v>0</v>
      </c>
      <c r="BF2" s="52">
        <v>0</v>
      </c>
      <c r="BG2" s="52">
        <v>0</v>
      </c>
      <c r="BH2" s="52">
        <v>0</v>
      </c>
      <c r="BI2" s="52">
        <v>0</v>
      </c>
      <c r="BJ2" s="52">
        <v>0</v>
      </c>
      <c r="BK2" s="52">
        <v>0</v>
      </c>
      <c r="BL2" s="52">
        <v>0</v>
      </c>
      <c r="BM2" s="52">
        <v>0</v>
      </c>
      <c r="BN2" s="52">
        <v>0</v>
      </c>
      <c r="BO2" s="52">
        <v>0</v>
      </c>
      <c r="BP2" s="52">
        <v>0</v>
      </c>
      <c r="BQ2" s="52">
        <v>0</v>
      </c>
      <c r="BR2" s="52">
        <v>0</v>
      </c>
      <c r="BS2" s="52">
        <v>0</v>
      </c>
      <c r="BT2" s="52">
        <v>0</v>
      </c>
      <c r="BU2" s="52">
        <v>0</v>
      </c>
      <c r="BV2" s="52">
        <v>0</v>
      </c>
      <c r="BW2" s="52">
        <v>0</v>
      </c>
      <c r="BX2" s="52">
        <v>0</v>
      </c>
      <c r="BY2" s="52">
        <v>0</v>
      </c>
      <c r="BZ2" s="52">
        <v>0</v>
      </c>
      <c r="CA2" s="52">
        <v>0</v>
      </c>
      <c r="CB2" s="52">
        <v>0</v>
      </c>
      <c r="CC2" s="52">
        <v>0</v>
      </c>
      <c r="CD2" s="52">
        <v>0</v>
      </c>
      <c r="CE2" s="52">
        <v>0</v>
      </c>
      <c r="CF2" s="52">
        <v>0</v>
      </c>
      <c r="CG2" s="52">
        <v>0</v>
      </c>
      <c r="CH2" s="52">
        <v>0</v>
      </c>
      <c r="CI2" s="52">
        <v>0</v>
      </c>
      <c r="CJ2" s="52">
        <v>0</v>
      </c>
      <c r="CK2" s="52">
        <v>0</v>
      </c>
      <c r="CL2" s="52">
        <v>0</v>
      </c>
      <c r="CM2" s="52">
        <v>0</v>
      </c>
      <c r="CN2" s="52">
        <v>0</v>
      </c>
      <c r="CO2" s="52">
        <v>0</v>
      </c>
      <c r="CP2" s="52">
        <v>0</v>
      </c>
      <c r="CQ2" s="52">
        <v>0</v>
      </c>
      <c r="CR2" s="52">
        <v>0</v>
      </c>
      <c r="CS2" s="52">
        <v>0</v>
      </c>
      <c r="CT2" s="52">
        <v>0</v>
      </c>
      <c r="CU2" s="52">
        <v>0</v>
      </c>
      <c r="CV2" s="52">
        <v>0</v>
      </c>
      <c r="CW2" s="52">
        <v>0</v>
      </c>
      <c r="CX2" s="52">
        <v>0</v>
      </c>
      <c r="CY2" s="52">
        <v>0</v>
      </c>
      <c r="CZ2" s="52">
        <v>0</v>
      </c>
      <c r="DA2" s="52">
        <v>0</v>
      </c>
      <c r="DB2" s="52">
        <v>0</v>
      </c>
      <c r="DC2" s="52">
        <v>0</v>
      </c>
      <c r="DD2" s="52">
        <v>0</v>
      </c>
      <c r="DE2" s="52">
        <v>0</v>
      </c>
      <c r="DF2" s="52">
        <v>0</v>
      </c>
      <c r="DG2" s="52">
        <v>0</v>
      </c>
      <c r="DH2" s="52">
        <v>0</v>
      </c>
      <c r="DI2" s="52">
        <v>0</v>
      </c>
      <c r="DJ2" s="52">
        <v>0</v>
      </c>
      <c r="DK2" s="52">
        <v>0</v>
      </c>
      <c r="DL2" s="52">
        <v>0</v>
      </c>
      <c r="DM2" s="52">
        <v>0</v>
      </c>
    </row>
    <row r="3" spans="1:117" x14ac:dyDescent="0.25">
      <c r="A3" s="54">
        <v>-3950.8500000000063</v>
      </c>
      <c r="B3" s="52">
        <v>0</v>
      </c>
      <c r="C3" s="52" t="str">
        <v/>
      </c>
      <c r="D3" s="52">
        <v>0</v>
      </c>
      <c r="E3" s="52" t="str">
        <v/>
      </c>
      <c r="F3" s="52">
        <v>0</v>
      </c>
      <c r="G3" s="52" t="str">
        <v/>
      </c>
      <c r="H3" s="52">
        <v>0</v>
      </c>
      <c r="I3" s="52" t="str">
        <v/>
      </c>
      <c r="J3" s="52">
        <v>0</v>
      </c>
      <c r="K3" s="52" t="str">
        <v/>
      </c>
      <c r="L3" s="52">
        <v>0</v>
      </c>
      <c r="M3" s="52" t="str">
        <v/>
      </c>
      <c r="N3" s="52">
        <v>0</v>
      </c>
      <c r="O3" s="52" t="str">
        <v/>
      </c>
      <c r="P3" s="52">
        <v>0</v>
      </c>
      <c r="Q3" s="52" t="str">
        <v/>
      </c>
      <c r="R3" s="52">
        <v>0</v>
      </c>
      <c r="S3" s="52" t="str">
        <v/>
      </c>
      <c r="T3" s="52">
        <v>0</v>
      </c>
      <c r="U3" s="52" t="str">
        <v/>
      </c>
      <c r="V3" s="52">
        <v>0</v>
      </c>
      <c r="W3" s="52" t="str">
        <v/>
      </c>
      <c r="X3" s="52">
        <v>0</v>
      </c>
      <c r="Y3" s="52" t="str">
        <v/>
      </c>
      <c r="Z3" s="52">
        <v>0</v>
      </c>
      <c r="AA3" s="52" t="str">
        <v/>
      </c>
      <c r="AB3" s="52">
        <v>0</v>
      </c>
      <c r="AC3" s="52" t="str">
        <v/>
      </c>
      <c r="AD3" s="52">
        <v>0</v>
      </c>
      <c r="AE3" s="52" t="str">
        <v/>
      </c>
      <c r="AF3" s="52">
        <v>0</v>
      </c>
      <c r="AG3" s="52" t="str">
        <v/>
      </c>
      <c r="AH3" s="52">
        <v>0</v>
      </c>
      <c r="AI3" s="52" t="str">
        <v/>
      </c>
      <c r="AJ3" s="52">
        <v>0</v>
      </c>
      <c r="AK3" s="52" t="str">
        <v/>
      </c>
      <c r="AL3" s="52">
        <v>0</v>
      </c>
      <c r="AM3" s="52" t="str">
        <v/>
      </c>
      <c r="AN3" s="52">
        <v>0</v>
      </c>
      <c r="AO3" s="52" t="str">
        <v/>
      </c>
      <c r="AP3" s="52">
        <v>0</v>
      </c>
      <c r="AQ3" s="52" t="str">
        <v/>
      </c>
      <c r="AR3" s="52">
        <v>0</v>
      </c>
      <c r="AS3" s="52" t="str">
        <v/>
      </c>
      <c r="AT3" s="52">
        <v>0</v>
      </c>
      <c r="AU3" s="52" t="str">
        <v/>
      </c>
      <c r="AV3" s="52">
        <v>0</v>
      </c>
      <c r="AW3" s="52" t="str">
        <v/>
      </c>
      <c r="AX3" s="52">
        <v>0</v>
      </c>
      <c r="AY3" s="52" t="str">
        <v/>
      </c>
      <c r="AZ3" s="52">
        <v>0</v>
      </c>
      <c r="BA3" s="52" t="str">
        <v/>
      </c>
      <c r="BB3" s="52">
        <v>0</v>
      </c>
      <c r="BC3" s="52" t="str">
        <v/>
      </c>
      <c r="BD3" s="52">
        <v>0</v>
      </c>
      <c r="BE3" s="52" t="str">
        <v/>
      </c>
      <c r="BF3" s="52">
        <v>0</v>
      </c>
      <c r="BG3" s="52" t="str">
        <v/>
      </c>
      <c r="BH3" s="52">
        <v>0</v>
      </c>
      <c r="BI3" s="52" t="str">
        <v/>
      </c>
      <c r="BJ3" s="52">
        <v>0</v>
      </c>
      <c r="BK3" s="52" t="str">
        <v/>
      </c>
      <c r="BL3" s="52">
        <v>0</v>
      </c>
      <c r="BM3" s="52" t="str">
        <v/>
      </c>
      <c r="BN3" s="52">
        <v>0</v>
      </c>
      <c r="BO3" s="52" t="str">
        <v/>
      </c>
      <c r="BP3" s="52">
        <v>0</v>
      </c>
      <c r="BQ3" s="52" t="str">
        <v/>
      </c>
      <c r="BR3" s="52">
        <v>0</v>
      </c>
      <c r="BS3" s="52" t="str">
        <v/>
      </c>
      <c r="BT3" s="52">
        <v>0</v>
      </c>
      <c r="BU3" s="52" t="str">
        <v/>
      </c>
      <c r="BV3" s="52">
        <v>0</v>
      </c>
      <c r="BW3" s="52" t="str">
        <v/>
      </c>
      <c r="BX3" s="52">
        <v>0</v>
      </c>
      <c r="BY3" s="52" t="str">
        <v/>
      </c>
      <c r="BZ3" s="52">
        <v>0</v>
      </c>
      <c r="CA3" s="52" t="str">
        <v/>
      </c>
      <c r="CB3" s="52">
        <v>0</v>
      </c>
      <c r="CC3" s="52" t="str">
        <v/>
      </c>
      <c r="CD3" s="52">
        <v>0</v>
      </c>
      <c r="CE3" s="52" t="str">
        <v/>
      </c>
      <c r="CF3" s="52">
        <v>0</v>
      </c>
      <c r="CG3" s="52" t="str">
        <v/>
      </c>
      <c r="CH3" s="52">
        <v>0</v>
      </c>
      <c r="CI3" s="52" t="str">
        <v/>
      </c>
      <c r="CJ3" s="52">
        <v>0</v>
      </c>
      <c r="CK3" s="52" t="str">
        <v/>
      </c>
      <c r="CL3" s="52">
        <v>0</v>
      </c>
      <c r="CM3" s="52" t="str">
        <v/>
      </c>
      <c r="CN3" s="52">
        <v>0</v>
      </c>
      <c r="CO3" s="52" t="str">
        <v/>
      </c>
      <c r="CP3" s="52">
        <v>0</v>
      </c>
      <c r="CQ3" s="52" t="str">
        <v/>
      </c>
      <c r="CR3" s="52">
        <v>0</v>
      </c>
      <c r="CS3" s="52" t="str">
        <v/>
      </c>
      <c r="CT3" s="52">
        <v>0</v>
      </c>
      <c r="CU3" s="52" t="str">
        <v/>
      </c>
      <c r="CV3" s="52">
        <v>0</v>
      </c>
      <c r="CW3" s="52" t="str">
        <v/>
      </c>
      <c r="CX3" s="52">
        <v>0</v>
      </c>
      <c r="CY3" s="52" t="str">
        <v/>
      </c>
      <c r="CZ3" s="52">
        <v>0</v>
      </c>
      <c r="DA3" s="52" t="str">
        <v/>
      </c>
      <c r="DB3" s="52">
        <v>0</v>
      </c>
      <c r="DC3" s="52" t="str">
        <v/>
      </c>
      <c r="DD3" s="52">
        <v>0</v>
      </c>
      <c r="DE3" s="52" t="str">
        <v/>
      </c>
      <c r="DF3" s="52">
        <v>0</v>
      </c>
      <c r="DG3" s="52" t="str">
        <v/>
      </c>
      <c r="DH3" s="52">
        <v>0</v>
      </c>
      <c r="DI3" s="52" t="str">
        <v/>
      </c>
      <c r="DJ3" s="52">
        <v>0</v>
      </c>
      <c r="DK3" s="52" t="str">
        <v/>
      </c>
      <c r="DL3" s="52">
        <v>0</v>
      </c>
      <c r="DM3" s="52" t="str">
        <v/>
      </c>
    </row>
    <row r="4" spans="1:117" x14ac:dyDescent="0.25">
      <c r="A4" s="54">
        <v>-3911.7000000000062</v>
      </c>
      <c r="B4" s="52">
        <v>0</v>
      </c>
      <c r="C4" s="52" t="str">
        <v/>
      </c>
      <c r="D4" s="52">
        <v>0</v>
      </c>
      <c r="E4" s="52" t="str">
        <v/>
      </c>
      <c r="F4" s="52">
        <v>0</v>
      </c>
      <c r="G4" s="52" t="str">
        <v/>
      </c>
      <c r="H4" s="52">
        <v>0</v>
      </c>
      <c r="I4" s="52" t="str">
        <v/>
      </c>
      <c r="J4" s="52">
        <v>0</v>
      </c>
      <c r="K4" s="52" t="str">
        <v/>
      </c>
      <c r="L4" s="52">
        <v>0</v>
      </c>
      <c r="M4" s="52" t="str">
        <v/>
      </c>
      <c r="N4" s="52">
        <v>0</v>
      </c>
      <c r="O4" s="52" t="str">
        <v/>
      </c>
      <c r="P4" s="52">
        <v>0</v>
      </c>
      <c r="Q4" s="52" t="str">
        <v/>
      </c>
      <c r="R4" s="52">
        <v>0</v>
      </c>
      <c r="S4" s="52" t="str">
        <v/>
      </c>
      <c r="T4" s="52">
        <v>0</v>
      </c>
      <c r="U4" s="52" t="str">
        <v/>
      </c>
      <c r="V4" s="52">
        <v>0</v>
      </c>
      <c r="W4" s="52" t="str">
        <v/>
      </c>
      <c r="X4" s="52">
        <v>0</v>
      </c>
      <c r="Y4" s="52" t="str">
        <v/>
      </c>
      <c r="Z4" s="52">
        <v>0</v>
      </c>
      <c r="AA4" s="52" t="str">
        <v/>
      </c>
      <c r="AB4" s="52">
        <v>0</v>
      </c>
      <c r="AC4" s="52" t="str">
        <v/>
      </c>
      <c r="AD4" s="52">
        <v>0</v>
      </c>
      <c r="AE4" s="52" t="str">
        <v/>
      </c>
      <c r="AF4" s="52">
        <v>0</v>
      </c>
      <c r="AG4" s="52" t="str">
        <v/>
      </c>
      <c r="AH4" s="52">
        <v>0</v>
      </c>
      <c r="AI4" s="52" t="str">
        <v/>
      </c>
      <c r="AJ4" s="52">
        <v>0</v>
      </c>
      <c r="AK4" s="52" t="str">
        <v/>
      </c>
      <c r="AL4" s="52">
        <v>0</v>
      </c>
      <c r="AM4" s="52" t="str">
        <v/>
      </c>
      <c r="AN4" s="52">
        <v>0</v>
      </c>
      <c r="AO4" s="52" t="str">
        <v/>
      </c>
      <c r="AP4" s="52">
        <v>0</v>
      </c>
      <c r="AQ4" s="52" t="str">
        <v/>
      </c>
      <c r="AR4" s="52">
        <v>0</v>
      </c>
      <c r="AS4" s="52" t="str">
        <v/>
      </c>
      <c r="AT4" s="52">
        <v>0</v>
      </c>
      <c r="AU4" s="52" t="str">
        <v/>
      </c>
      <c r="AV4" s="52">
        <v>0</v>
      </c>
      <c r="AW4" s="52" t="str">
        <v/>
      </c>
      <c r="AX4" s="52">
        <v>0</v>
      </c>
      <c r="AY4" s="52" t="str">
        <v/>
      </c>
      <c r="AZ4" s="52">
        <v>0</v>
      </c>
      <c r="BA4" s="52" t="str">
        <v/>
      </c>
      <c r="BB4" s="52">
        <v>0</v>
      </c>
      <c r="BC4" s="52" t="str">
        <v/>
      </c>
      <c r="BD4" s="52">
        <v>0</v>
      </c>
      <c r="BE4" s="52" t="str">
        <v/>
      </c>
      <c r="BF4" s="52">
        <v>0</v>
      </c>
      <c r="BG4" s="52" t="str">
        <v/>
      </c>
      <c r="BH4" s="52">
        <v>0</v>
      </c>
      <c r="BI4" s="52" t="str">
        <v/>
      </c>
      <c r="BJ4" s="52">
        <v>0</v>
      </c>
      <c r="BK4" s="52" t="str">
        <v/>
      </c>
      <c r="BL4" s="52">
        <v>0</v>
      </c>
      <c r="BM4" s="52" t="str">
        <v/>
      </c>
      <c r="BN4" s="52">
        <v>0</v>
      </c>
      <c r="BO4" s="52" t="str">
        <v/>
      </c>
      <c r="BP4" s="52">
        <v>0</v>
      </c>
      <c r="BQ4" s="52" t="str">
        <v/>
      </c>
      <c r="BR4" s="52">
        <v>0</v>
      </c>
      <c r="BS4" s="52" t="str">
        <v/>
      </c>
      <c r="BT4" s="52">
        <v>0</v>
      </c>
      <c r="BU4" s="52" t="str">
        <v/>
      </c>
      <c r="BV4" s="52">
        <v>0</v>
      </c>
      <c r="BW4" s="52" t="str">
        <v/>
      </c>
      <c r="BX4" s="52">
        <v>0</v>
      </c>
      <c r="BY4" s="52" t="str">
        <v/>
      </c>
      <c r="BZ4" s="52">
        <v>0</v>
      </c>
      <c r="CA4" s="52" t="str">
        <v/>
      </c>
      <c r="CB4" s="52">
        <v>0</v>
      </c>
      <c r="CC4" s="52" t="str">
        <v/>
      </c>
      <c r="CD4" s="52">
        <v>0</v>
      </c>
      <c r="CE4" s="52" t="str">
        <v/>
      </c>
      <c r="CF4" s="52">
        <v>0</v>
      </c>
      <c r="CG4" s="52" t="str">
        <v/>
      </c>
      <c r="CH4" s="52">
        <v>0</v>
      </c>
      <c r="CI4" s="52" t="str">
        <v/>
      </c>
      <c r="CJ4" s="52">
        <v>0</v>
      </c>
      <c r="CK4" s="52" t="str">
        <v/>
      </c>
      <c r="CL4" s="52">
        <v>0</v>
      </c>
      <c r="CM4" s="52" t="str">
        <v/>
      </c>
      <c r="CN4" s="52">
        <v>0</v>
      </c>
      <c r="CO4" s="52" t="str">
        <v/>
      </c>
      <c r="CP4" s="52">
        <v>0</v>
      </c>
      <c r="CQ4" s="52" t="str">
        <v/>
      </c>
      <c r="CR4" s="52">
        <v>0</v>
      </c>
      <c r="CS4" s="52" t="str">
        <v/>
      </c>
      <c r="CT4" s="52">
        <v>0</v>
      </c>
      <c r="CU4" s="52" t="str">
        <v/>
      </c>
      <c r="CV4" s="52">
        <v>0</v>
      </c>
      <c r="CW4" s="52" t="str">
        <v/>
      </c>
      <c r="CX4" s="52">
        <v>0</v>
      </c>
      <c r="CY4" s="52" t="str">
        <v/>
      </c>
      <c r="CZ4" s="52">
        <v>0</v>
      </c>
      <c r="DA4" s="52" t="str">
        <v/>
      </c>
      <c r="DB4" s="52">
        <v>0</v>
      </c>
      <c r="DC4" s="52" t="str">
        <v/>
      </c>
      <c r="DD4" s="52">
        <v>0</v>
      </c>
      <c r="DE4" s="52" t="str">
        <v/>
      </c>
      <c r="DF4" s="52">
        <v>0</v>
      </c>
      <c r="DG4" s="52" t="str">
        <v/>
      </c>
      <c r="DH4" s="52">
        <v>0</v>
      </c>
      <c r="DI4" s="52" t="str">
        <v/>
      </c>
      <c r="DJ4" s="52">
        <v>0</v>
      </c>
      <c r="DK4" s="52" t="str">
        <v/>
      </c>
      <c r="DL4" s="52">
        <v>0</v>
      </c>
      <c r="DM4" s="52" t="str">
        <v/>
      </c>
    </row>
    <row r="5" spans="1:117" x14ac:dyDescent="0.25">
      <c r="A5" s="54">
        <v>-3872.5500000000061</v>
      </c>
      <c r="B5" s="52">
        <v>0</v>
      </c>
      <c r="C5" s="52" t="str">
        <v/>
      </c>
      <c r="D5" s="52">
        <v>0</v>
      </c>
      <c r="E5" s="52" t="str">
        <v/>
      </c>
      <c r="F5" s="52">
        <v>0</v>
      </c>
      <c r="G5" s="52" t="str">
        <v/>
      </c>
      <c r="H5" s="52">
        <v>0</v>
      </c>
      <c r="I5" s="52" t="str">
        <v/>
      </c>
      <c r="J5" s="52">
        <v>0</v>
      </c>
      <c r="K5" s="52" t="str">
        <v/>
      </c>
      <c r="L5" s="52">
        <v>0</v>
      </c>
      <c r="M5" s="52" t="str">
        <v/>
      </c>
      <c r="N5" s="52">
        <v>0</v>
      </c>
      <c r="O5" s="52" t="str">
        <v/>
      </c>
      <c r="P5" s="52">
        <v>0</v>
      </c>
      <c r="Q5" s="52" t="str">
        <v/>
      </c>
      <c r="R5" s="52">
        <v>0</v>
      </c>
      <c r="S5" s="52" t="str">
        <v/>
      </c>
      <c r="T5" s="52">
        <v>0</v>
      </c>
      <c r="U5" s="52" t="str">
        <v/>
      </c>
      <c r="V5" s="52">
        <v>0</v>
      </c>
      <c r="W5" s="52" t="str">
        <v/>
      </c>
      <c r="X5" s="52">
        <v>0</v>
      </c>
      <c r="Y5" s="52" t="str">
        <v/>
      </c>
      <c r="Z5" s="52">
        <v>0</v>
      </c>
      <c r="AA5" s="52" t="str">
        <v/>
      </c>
      <c r="AB5" s="52">
        <v>0</v>
      </c>
      <c r="AC5" s="52" t="str">
        <v/>
      </c>
      <c r="AD5" s="52">
        <v>0</v>
      </c>
      <c r="AE5" s="52" t="str">
        <v/>
      </c>
      <c r="AF5" s="52">
        <v>0</v>
      </c>
      <c r="AG5" s="52" t="str">
        <v/>
      </c>
      <c r="AH5" s="52">
        <v>0</v>
      </c>
      <c r="AI5" s="52" t="str">
        <v/>
      </c>
      <c r="AJ5" s="52">
        <v>0</v>
      </c>
      <c r="AK5" s="52" t="str">
        <v/>
      </c>
      <c r="AL5" s="52">
        <v>0</v>
      </c>
      <c r="AM5" s="52" t="str">
        <v/>
      </c>
      <c r="AN5" s="52">
        <v>0</v>
      </c>
      <c r="AO5" s="52" t="str">
        <v/>
      </c>
      <c r="AP5" s="52">
        <v>0</v>
      </c>
      <c r="AQ5" s="52" t="str">
        <v/>
      </c>
      <c r="AR5" s="52">
        <v>0</v>
      </c>
      <c r="AS5" s="52" t="str">
        <v/>
      </c>
      <c r="AT5" s="52">
        <v>0</v>
      </c>
      <c r="AU5" s="52" t="str">
        <v/>
      </c>
      <c r="AV5" s="52">
        <v>0</v>
      </c>
      <c r="AW5" s="52" t="str">
        <v/>
      </c>
      <c r="AX5" s="52">
        <v>0</v>
      </c>
      <c r="AY5" s="52" t="str">
        <v/>
      </c>
      <c r="AZ5" s="52">
        <v>0</v>
      </c>
      <c r="BA5" s="52" t="str">
        <v/>
      </c>
      <c r="BB5" s="52">
        <v>0</v>
      </c>
      <c r="BC5" s="52" t="str">
        <v/>
      </c>
      <c r="BD5" s="52">
        <v>0</v>
      </c>
      <c r="BE5" s="52" t="str">
        <v/>
      </c>
      <c r="BF5" s="52">
        <v>0</v>
      </c>
      <c r="BG5" s="52" t="str">
        <v/>
      </c>
      <c r="BH5" s="52">
        <v>0</v>
      </c>
      <c r="BI5" s="52" t="str">
        <v/>
      </c>
      <c r="BJ5" s="52">
        <v>0</v>
      </c>
      <c r="BK5" s="52" t="str">
        <v/>
      </c>
      <c r="BL5" s="52">
        <v>0</v>
      </c>
      <c r="BM5" s="52" t="str">
        <v/>
      </c>
      <c r="BN5" s="52">
        <v>0</v>
      </c>
      <c r="BO5" s="52" t="str">
        <v/>
      </c>
      <c r="BP5" s="52">
        <v>0</v>
      </c>
      <c r="BQ5" s="52" t="str">
        <v/>
      </c>
      <c r="BR5" s="52">
        <v>0</v>
      </c>
      <c r="BS5" s="52" t="str">
        <v/>
      </c>
      <c r="BT5" s="52">
        <v>0</v>
      </c>
      <c r="BU5" s="52" t="str">
        <v/>
      </c>
      <c r="BV5" s="52">
        <v>0</v>
      </c>
      <c r="BW5" s="52" t="str">
        <v/>
      </c>
      <c r="BX5" s="52">
        <v>0</v>
      </c>
      <c r="BY5" s="52" t="str">
        <v/>
      </c>
      <c r="BZ5" s="52">
        <v>0</v>
      </c>
      <c r="CA5" s="52" t="str">
        <v/>
      </c>
      <c r="CB5" s="52">
        <v>0</v>
      </c>
      <c r="CC5" s="52" t="str">
        <v/>
      </c>
      <c r="CD5" s="52">
        <v>0</v>
      </c>
      <c r="CE5" s="52" t="str">
        <v/>
      </c>
      <c r="CF5" s="52">
        <v>0</v>
      </c>
      <c r="CG5" s="52" t="str">
        <v/>
      </c>
      <c r="CH5" s="52">
        <v>0</v>
      </c>
      <c r="CI5" s="52" t="str">
        <v/>
      </c>
      <c r="CJ5" s="52">
        <v>0</v>
      </c>
      <c r="CK5" s="52" t="str">
        <v/>
      </c>
      <c r="CL5" s="52">
        <v>0</v>
      </c>
      <c r="CM5" s="52" t="str">
        <v/>
      </c>
      <c r="CN5" s="52">
        <v>0</v>
      </c>
      <c r="CO5" s="52" t="str">
        <v/>
      </c>
      <c r="CP5" s="52">
        <v>0</v>
      </c>
      <c r="CQ5" s="52" t="str">
        <v/>
      </c>
      <c r="CR5" s="52">
        <v>0</v>
      </c>
      <c r="CS5" s="52" t="str">
        <v/>
      </c>
      <c r="CT5" s="52">
        <v>0</v>
      </c>
      <c r="CU5" s="52" t="str">
        <v/>
      </c>
      <c r="CV5" s="52">
        <v>0</v>
      </c>
      <c r="CW5" s="52" t="str">
        <v/>
      </c>
      <c r="CX5" s="52">
        <v>0</v>
      </c>
      <c r="CY5" s="52" t="str">
        <v/>
      </c>
      <c r="CZ5" s="52">
        <v>0</v>
      </c>
      <c r="DA5" s="52" t="str">
        <v/>
      </c>
      <c r="DB5" s="52">
        <v>0</v>
      </c>
      <c r="DC5" s="52" t="str">
        <v/>
      </c>
      <c r="DD5" s="52">
        <v>0</v>
      </c>
      <c r="DE5" s="52" t="str">
        <v/>
      </c>
      <c r="DF5" s="52">
        <v>0</v>
      </c>
      <c r="DG5" s="52" t="str">
        <v/>
      </c>
      <c r="DH5" s="52">
        <v>0</v>
      </c>
      <c r="DI5" s="52" t="str">
        <v/>
      </c>
      <c r="DJ5" s="52">
        <v>0</v>
      </c>
      <c r="DK5" s="52" t="str">
        <v/>
      </c>
      <c r="DL5" s="52">
        <v>0</v>
      </c>
      <c r="DM5" s="52" t="str">
        <v/>
      </c>
    </row>
    <row r="6" spans="1:117" x14ac:dyDescent="0.25">
      <c r="A6" s="54">
        <v>-3833.400000000006</v>
      </c>
      <c r="B6" s="52">
        <v>0</v>
      </c>
      <c r="C6" s="52" t="str">
        <v/>
      </c>
      <c r="D6" s="52">
        <v>0</v>
      </c>
      <c r="E6" s="52" t="str">
        <v/>
      </c>
      <c r="F6" s="52">
        <v>0</v>
      </c>
      <c r="G6" s="52" t="str">
        <v/>
      </c>
      <c r="H6" s="52">
        <v>0</v>
      </c>
      <c r="I6" s="52" t="str">
        <v/>
      </c>
      <c r="J6" s="52">
        <v>0</v>
      </c>
      <c r="K6" s="52" t="str">
        <v/>
      </c>
      <c r="L6" s="52">
        <v>0</v>
      </c>
      <c r="M6" s="52" t="str">
        <v/>
      </c>
      <c r="N6" s="52">
        <v>0</v>
      </c>
      <c r="O6" s="52" t="str">
        <v/>
      </c>
      <c r="P6" s="52">
        <v>0</v>
      </c>
      <c r="Q6" s="52" t="str">
        <v/>
      </c>
      <c r="R6" s="52">
        <v>0</v>
      </c>
      <c r="S6" s="52" t="str">
        <v/>
      </c>
      <c r="T6" s="52">
        <v>0</v>
      </c>
      <c r="U6" s="52" t="str">
        <v/>
      </c>
      <c r="V6" s="52">
        <v>0</v>
      </c>
      <c r="W6" s="52" t="str">
        <v/>
      </c>
      <c r="X6" s="52">
        <v>0</v>
      </c>
      <c r="Y6" s="52" t="str">
        <v/>
      </c>
      <c r="Z6" s="52">
        <v>0</v>
      </c>
      <c r="AA6" s="52" t="str">
        <v/>
      </c>
      <c r="AB6" s="52">
        <v>0</v>
      </c>
      <c r="AC6" s="52" t="str">
        <v/>
      </c>
      <c r="AD6" s="52">
        <v>0</v>
      </c>
      <c r="AE6" s="52" t="str">
        <v/>
      </c>
      <c r="AF6" s="52">
        <v>0</v>
      </c>
      <c r="AG6" s="52" t="str">
        <v/>
      </c>
      <c r="AH6" s="52">
        <v>0</v>
      </c>
      <c r="AI6" s="52" t="str">
        <v/>
      </c>
      <c r="AJ6" s="52">
        <v>0</v>
      </c>
      <c r="AK6" s="52" t="str">
        <v/>
      </c>
      <c r="AL6" s="52">
        <v>0</v>
      </c>
      <c r="AM6" s="52" t="str">
        <v/>
      </c>
      <c r="AN6" s="52">
        <v>0</v>
      </c>
      <c r="AO6" s="52" t="str">
        <v/>
      </c>
      <c r="AP6" s="52">
        <v>0</v>
      </c>
      <c r="AQ6" s="52" t="str">
        <v/>
      </c>
      <c r="AR6" s="52">
        <v>0</v>
      </c>
      <c r="AS6" s="52" t="str">
        <v/>
      </c>
      <c r="AT6" s="52">
        <v>0</v>
      </c>
      <c r="AU6" s="52" t="str">
        <v/>
      </c>
      <c r="AV6" s="52">
        <v>0</v>
      </c>
      <c r="AW6" s="52" t="str">
        <v/>
      </c>
      <c r="AX6" s="52">
        <v>0</v>
      </c>
      <c r="AY6" s="52" t="str">
        <v/>
      </c>
      <c r="AZ6" s="52">
        <v>0</v>
      </c>
      <c r="BA6" s="52" t="str">
        <v/>
      </c>
      <c r="BB6" s="52">
        <v>0</v>
      </c>
      <c r="BC6" s="52" t="str">
        <v/>
      </c>
      <c r="BD6" s="52">
        <v>0</v>
      </c>
      <c r="BE6" s="52" t="str">
        <v/>
      </c>
      <c r="BF6" s="52">
        <v>0</v>
      </c>
      <c r="BG6" s="52" t="str">
        <v/>
      </c>
      <c r="BH6" s="52">
        <v>0</v>
      </c>
      <c r="BI6" s="52" t="str">
        <v/>
      </c>
      <c r="BJ6" s="52">
        <v>0</v>
      </c>
      <c r="BK6" s="52" t="str">
        <v/>
      </c>
      <c r="BL6" s="52">
        <v>0</v>
      </c>
      <c r="BM6" s="52" t="str">
        <v/>
      </c>
      <c r="BN6" s="52">
        <v>0</v>
      </c>
      <c r="BO6" s="52" t="str">
        <v/>
      </c>
      <c r="BP6" s="52">
        <v>0</v>
      </c>
      <c r="BQ6" s="52" t="str">
        <v/>
      </c>
      <c r="BR6" s="52">
        <v>0</v>
      </c>
      <c r="BS6" s="52" t="str">
        <v/>
      </c>
      <c r="BT6" s="52">
        <v>0</v>
      </c>
      <c r="BU6" s="52" t="str">
        <v/>
      </c>
      <c r="BV6" s="52">
        <v>0</v>
      </c>
      <c r="BW6" s="52" t="str">
        <v/>
      </c>
      <c r="BX6" s="52">
        <v>0</v>
      </c>
      <c r="BY6" s="52" t="str">
        <v/>
      </c>
      <c r="BZ6" s="52">
        <v>0</v>
      </c>
      <c r="CA6" s="52" t="str">
        <v/>
      </c>
      <c r="CB6" s="52">
        <v>0</v>
      </c>
      <c r="CC6" s="52" t="str">
        <v/>
      </c>
      <c r="CD6" s="52">
        <v>0</v>
      </c>
      <c r="CE6" s="52" t="str">
        <v/>
      </c>
      <c r="CF6" s="52">
        <v>0</v>
      </c>
      <c r="CG6" s="52" t="str">
        <v/>
      </c>
      <c r="CH6" s="52">
        <v>0</v>
      </c>
      <c r="CI6" s="52" t="str">
        <v/>
      </c>
      <c r="CJ6" s="52">
        <v>0</v>
      </c>
      <c r="CK6" s="52" t="str">
        <v/>
      </c>
      <c r="CL6" s="52">
        <v>0</v>
      </c>
      <c r="CM6" s="52" t="str">
        <v/>
      </c>
      <c r="CN6" s="52">
        <v>0</v>
      </c>
      <c r="CO6" s="52" t="str">
        <v/>
      </c>
      <c r="CP6" s="52">
        <v>0</v>
      </c>
      <c r="CQ6" s="52" t="str">
        <v/>
      </c>
      <c r="CR6" s="52">
        <v>0</v>
      </c>
      <c r="CS6" s="52" t="str">
        <v/>
      </c>
      <c r="CT6" s="52">
        <v>0</v>
      </c>
      <c r="CU6" s="52" t="str">
        <v/>
      </c>
      <c r="CV6" s="52">
        <v>0</v>
      </c>
      <c r="CW6" s="52" t="str">
        <v/>
      </c>
      <c r="CX6" s="52">
        <v>0</v>
      </c>
      <c r="CY6" s="52" t="str">
        <v/>
      </c>
      <c r="CZ6" s="52">
        <v>0</v>
      </c>
      <c r="DA6" s="52" t="str">
        <v/>
      </c>
      <c r="DB6" s="52">
        <v>0</v>
      </c>
      <c r="DC6" s="52" t="str">
        <v/>
      </c>
      <c r="DD6" s="52">
        <v>0</v>
      </c>
      <c r="DE6" s="52" t="str">
        <v/>
      </c>
      <c r="DF6" s="52">
        <v>0</v>
      </c>
      <c r="DG6" s="52" t="str">
        <v/>
      </c>
      <c r="DH6" s="52">
        <v>0</v>
      </c>
      <c r="DI6" s="52" t="str">
        <v/>
      </c>
      <c r="DJ6" s="52">
        <v>0</v>
      </c>
      <c r="DK6" s="52" t="str">
        <v/>
      </c>
      <c r="DL6" s="52">
        <v>0</v>
      </c>
      <c r="DM6" s="52" t="str">
        <v/>
      </c>
    </row>
    <row r="7" spans="1:117" x14ac:dyDescent="0.25">
      <c r="A7" s="54">
        <v>-3794.2500000000059</v>
      </c>
      <c r="B7" s="52">
        <v>0</v>
      </c>
      <c r="C7" s="52" t="str">
        <v/>
      </c>
      <c r="D7" s="52">
        <v>0</v>
      </c>
      <c r="E7" s="52" t="str">
        <v/>
      </c>
      <c r="F7" s="52">
        <v>0</v>
      </c>
      <c r="G7" s="52" t="str">
        <v/>
      </c>
      <c r="H7" s="52">
        <v>0</v>
      </c>
      <c r="I7" s="52" t="str">
        <v/>
      </c>
      <c r="J7" s="52">
        <v>0</v>
      </c>
      <c r="K7" s="52" t="str">
        <v/>
      </c>
      <c r="L7" s="52">
        <v>0</v>
      </c>
      <c r="M7" s="52" t="str">
        <v/>
      </c>
      <c r="N7" s="52">
        <v>0</v>
      </c>
      <c r="O7" s="52" t="str">
        <v/>
      </c>
      <c r="P7" s="52">
        <v>0</v>
      </c>
      <c r="Q7" s="52" t="str">
        <v/>
      </c>
      <c r="R7" s="52">
        <v>0</v>
      </c>
      <c r="S7" s="52" t="str">
        <v/>
      </c>
      <c r="T7" s="52">
        <v>0</v>
      </c>
      <c r="U7" s="52" t="str">
        <v/>
      </c>
      <c r="V7" s="52">
        <v>0</v>
      </c>
      <c r="W7" s="52" t="str">
        <v/>
      </c>
      <c r="X7" s="52">
        <v>0</v>
      </c>
      <c r="Y7" s="52" t="str">
        <v/>
      </c>
      <c r="Z7" s="52">
        <v>0</v>
      </c>
      <c r="AA7" s="52" t="str">
        <v/>
      </c>
      <c r="AB7" s="52">
        <v>0</v>
      </c>
      <c r="AC7" s="52" t="str">
        <v/>
      </c>
      <c r="AD7" s="52">
        <v>0</v>
      </c>
      <c r="AE7" s="52" t="str">
        <v/>
      </c>
      <c r="AF7" s="52">
        <v>0</v>
      </c>
      <c r="AG7" s="52" t="str">
        <v/>
      </c>
      <c r="AH7" s="52">
        <v>0</v>
      </c>
      <c r="AI7" s="52" t="str">
        <v/>
      </c>
      <c r="AJ7" s="52">
        <v>0</v>
      </c>
      <c r="AK7" s="52" t="str">
        <v/>
      </c>
      <c r="AL7" s="52">
        <v>0</v>
      </c>
      <c r="AM7" s="52" t="str">
        <v/>
      </c>
      <c r="AN7" s="52">
        <v>0</v>
      </c>
      <c r="AO7" s="52" t="str">
        <v/>
      </c>
      <c r="AP7" s="52">
        <v>0</v>
      </c>
      <c r="AQ7" s="52" t="str">
        <v/>
      </c>
      <c r="AR7" s="52">
        <v>0</v>
      </c>
      <c r="AS7" s="52" t="str">
        <v/>
      </c>
      <c r="AT7" s="52">
        <v>0</v>
      </c>
      <c r="AU7" s="52" t="str">
        <v/>
      </c>
      <c r="AV7" s="52">
        <v>0</v>
      </c>
      <c r="AW7" s="52" t="str">
        <v/>
      </c>
      <c r="AX7" s="52">
        <v>0</v>
      </c>
      <c r="AY7" s="52" t="str">
        <v/>
      </c>
      <c r="AZ7" s="52">
        <v>0</v>
      </c>
      <c r="BA7" s="52" t="str">
        <v/>
      </c>
      <c r="BB7" s="52">
        <v>0</v>
      </c>
      <c r="BC7" s="52" t="str">
        <v/>
      </c>
      <c r="BD7" s="52">
        <v>0</v>
      </c>
      <c r="BE7" s="52" t="str">
        <v/>
      </c>
      <c r="BF7" s="52">
        <v>0</v>
      </c>
      <c r="BG7" s="52" t="str">
        <v/>
      </c>
      <c r="BH7" s="52">
        <v>0</v>
      </c>
      <c r="BI7" s="52" t="str">
        <v/>
      </c>
      <c r="BJ7" s="52">
        <v>0</v>
      </c>
      <c r="BK7" s="52" t="str">
        <v/>
      </c>
      <c r="BL7" s="52">
        <v>0</v>
      </c>
      <c r="BM7" s="52" t="str">
        <v/>
      </c>
      <c r="BN7" s="52">
        <v>0</v>
      </c>
      <c r="BO7" s="52" t="str">
        <v/>
      </c>
      <c r="BP7" s="52">
        <v>0</v>
      </c>
      <c r="BQ7" s="52" t="str">
        <v/>
      </c>
      <c r="BR7" s="52">
        <v>0</v>
      </c>
      <c r="BS7" s="52" t="str">
        <v/>
      </c>
      <c r="BT7" s="52">
        <v>0</v>
      </c>
      <c r="BU7" s="52" t="str">
        <v/>
      </c>
      <c r="BV7" s="52">
        <v>0</v>
      </c>
      <c r="BW7" s="52" t="str">
        <v/>
      </c>
      <c r="BX7" s="52">
        <v>0</v>
      </c>
      <c r="BY7" s="52" t="str">
        <v/>
      </c>
      <c r="BZ7" s="52">
        <v>0</v>
      </c>
      <c r="CA7" s="52" t="str">
        <v/>
      </c>
      <c r="CB7" s="52">
        <v>0</v>
      </c>
      <c r="CC7" s="52" t="str">
        <v/>
      </c>
      <c r="CD7" s="52">
        <v>0</v>
      </c>
      <c r="CE7" s="52" t="str">
        <v/>
      </c>
      <c r="CF7" s="52">
        <v>0</v>
      </c>
      <c r="CG7" s="52" t="str">
        <v/>
      </c>
      <c r="CH7" s="52">
        <v>0</v>
      </c>
      <c r="CI7" s="52" t="str">
        <v/>
      </c>
      <c r="CJ7" s="52">
        <v>0</v>
      </c>
      <c r="CK7" s="52" t="str">
        <v/>
      </c>
      <c r="CL7" s="52">
        <v>0</v>
      </c>
      <c r="CM7" s="52" t="str">
        <v/>
      </c>
      <c r="CN7" s="52">
        <v>0</v>
      </c>
      <c r="CO7" s="52" t="str">
        <v/>
      </c>
      <c r="CP7" s="52">
        <v>0</v>
      </c>
      <c r="CQ7" s="52" t="str">
        <v/>
      </c>
      <c r="CR7" s="52">
        <v>0</v>
      </c>
      <c r="CS7" s="52" t="str">
        <v/>
      </c>
      <c r="CT7" s="52">
        <v>0</v>
      </c>
      <c r="CU7" s="52" t="str">
        <v/>
      </c>
      <c r="CV7" s="52">
        <v>0</v>
      </c>
      <c r="CW7" s="52" t="str">
        <v/>
      </c>
      <c r="CX7" s="52">
        <v>0</v>
      </c>
      <c r="CY7" s="52" t="str">
        <v/>
      </c>
      <c r="CZ7" s="52">
        <v>0</v>
      </c>
      <c r="DA7" s="52" t="str">
        <v/>
      </c>
      <c r="DB7" s="52">
        <v>0</v>
      </c>
      <c r="DC7" s="52" t="str">
        <v/>
      </c>
      <c r="DD7" s="52">
        <v>0</v>
      </c>
      <c r="DE7" s="52" t="str">
        <v/>
      </c>
      <c r="DF7" s="52">
        <v>0</v>
      </c>
      <c r="DG7" s="52" t="str">
        <v/>
      </c>
      <c r="DH7" s="52">
        <v>0</v>
      </c>
      <c r="DI7" s="52" t="str">
        <v/>
      </c>
      <c r="DJ7" s="52">
        <v>0</v>
      </c>
      <c r="DK7" s="52" t="str">
        <v/>
      </c>
      <c r="DL7" s="52">
        <v>0</v>
      </c>
      <c r="DM7" s="52" t="str">
        <v/>
      </c>
    </row>
    <row r="8" spans="1:117" x14ac:dyDescent="0.25">
      <c r="A8" s="54">
        <v>-3755.1000000000058</v>
      </c>
      <c r="B8" s="52">
        <v>0</v>
      </c>
      <c r="C8" s="52" t="str">
        <v/>
      </c>
      <c r="D8" s="52">
        <v>0</v>
      </c>
      <c r="E8" s="52" t="str">
        <v/>
      </c>
      <c r="F8" s="52">
        <v>0</v>
      </c>
      <c r="G8" s="52" t="str">
        <v/>
      </c>
      <c r="H8" s="52">
        <v>0</v>
      </c>
      <c r="I8" s="52" t="str">
        <v/>
      </c>
      <c r="J8" s="52">
        <v>0</v>
      </c>
      <c r="K8" s="52" t="str">
        <v/>
      </c>
      <c r="L8" s="52">
        <v>0</v>
      </c>
      <c r="M8" s="52" t="str">
        <v/>
      </c>
      <c r="N8" s="52">
        <v>0</v>
      </c>
      <c r="O8" s="52" t="str">
        <v/>
      </c>
      <c r="P8" s="52">
        <v>0</v>
      </c>
      <c r="Q8" s="52" t="str">
        <v/>
      </c>
      <c r="R8" s="52">
        <v>0</v>
      </c>
      <c r="S8" s="52" t="str">
        <v/>
      </c>
      <c r="T8" s="52">
        <v>0</v>
      </c>
      <c r="U8" s="52" t="str">
        <v/>
      </c>
      <c r="V8" s="52">
        <v>0</v>
      </c>
      <c r="W8" s="52" t="str">
        <v/>
      </c>
      <c r="X8" s="52">
        <v>0</v>
      </c>
      <c r="Y8" s="52" t="str">
        <v/>
      </c>
      <c r="Z8" s="52">
        <v>0</v>
      </c>
      <c r="AA8" s="52" t="str">
        <v/>
      </c>
      <c r="AB8" s="52">
        <v>0</v>
      </c>
      <c r="AC8" s="52" t="str">
        <v/>
      </c>
      <c r="AD8" s="52">
        <v>0</v>
      </c>
      <c r="AE8" s="52" t="str">
        <v/>
      </c>
      <c r="AF8" s="52">
        <v>0</v>
      </c>
      <c r="AG8" s="52" t="str">
        <v/>
      </c>
      <c r="AH8" s="52">
        <v>0</v>
      </c>
      <c r="AI8" s="52" t="str">
        <v/>
      </c>
      <c r="AJ8" s="52">
        <v>0</v>
      </c>
      <c r="AK8" s="52" t="str">
        <v/>
      </c>
      <c r="AL8" s="52">
        <v>0</v>
      </c>
      <c r="AM8" s="52" t="str">
        <v/>
      </c>
      <c r="AN8" s="52">
        <v>0</v>
      </c>
      <c r="AO8" s="52" t="str">
        <v/>
      </c>
      <c r="AP8" s="52">
        <v>0</v>
      </c>
      <c r="AQ8" s="52" t="str">
        <v/>
      </c>
      <c r="AR8" s="52">
        <v>0</v>
      </c>
      <c r="AS8" s="52" t="str">
        <v/>
      </c>
      <c r="AT8" s="52">
        <v>0</v>
      </c>
      <c r="AU8" s="52" t="str">
        <v/>
      </c>
      <c r="AV8" s="52">
        <v>0</v>
      </c>
      <c r="AW8" s="52" t="str">
        <v/>
      </c>
      <c r="AX8" s="52">
        <v>0</v>
      </c>
      <c r="AY8" s="52" t="str">
        <v/>
      </c>
      <c r="AZ8" s="52">
        <v>0</v>
      </c>
      <c r="BA8" s="52" t="str">
        <v/>
      </c>
      <c r="BB8" s="52">
        <v>0</v>
      </c>
      <c r="BC8" s="52" t="str">
        <v/>
      </c>
      <c r="BD8" s="52">
        <v>0</v>
      </c>
      <c r="BE8" s="52" t="str">
        <v/>
      </c>
      <c r="BF8" s="52">
        <v>0</v>
      </c>
      <c r="BG8" s="52" t="str">
        <v/>
      </c>
      <c r="BH8" s="52">
        <v>0</v>
      </c>
      <c r="BI8" s="52" t="str">
        <v/>
      </c>
      <c r="BJ8" s="52">
        <v>0</v>
      </c>
      <c r="BK8" s="52" t="str">
        <v/>
      </c>
      <c r="BL8" s="52">
        <v>0</v>
      </c>
      <c r="BM8" s="52" t="str">
        <v/>
      </c>
      <c r="BN8" s="52">
        <v>0</v>
      </c>
      <c r="BO8" s="52" t="str">
        <v/>
      </c>
      <c r="BP8" s="52">
        <v>0</v>
      </c>
      <c r="BQ8" s="52" t="str">
        <v/>
      </c>
      <c r="BR8" s="52">
        <v>0</v>
      </c>
      <c r="BS8" s="52" t="str">
        <v/>
      </c>
      <c r="BT8" s="52">
        <v>0</v>
      </c>
      <c r="BU8" s="52" t="str">
        <v/>
      </c>
      <c r="BV8" s="52">
        <v>0</v>
      </c>
      <c r="BW8" s="52" t="str">
        <v/>
      </c>
      <c r="BX8" s="52">
        <v>0</v>
      </c>
      <c r="BY8" s="52" t="str">
        <v/>
      </c>
      <c r="BZ8" s="52">
        <v>0</v>
      </c>
      <c r="CA8" s="52" t="str">
        <v/>
      </c>
      <c r="CB8" s="52">
        <v>0</v>
      </c>
      <c r="CC8" s="52" t="str">
        <v/>
      </c>
      <c r="CD8" s="52">
        <v>0</v>
      </c>
      <c r="CE8" s="52" t="str">
        <v/>
      </c>
      <c r="CF8" s="52">
        <v>0</v>
      </c>
      <c r="CG8" s="52" t="str">
        <v/>
      </c>
      <c r="CH8" s="52">
        <v>0</v>
      </c>
      <c r="CI8" s="52" t="str">
        <v/>
      </c>
      <c r="CJ8" s="52">
        <v>0</v>
      </c>
      <c r="CK8" s="52" t="str">
        <v/>
      </c>
      <c r="CL8" s="52">
        <v>0</v>
      </c>
      <c r="CM8" s="52" t="str">
        <v/>
      </c>
      <c r="CN8" s="52">
        <v>0</v>
      </c>
      <c r="CO8" s="52" t="str">
        <v/>
      </c>
      <c r="CP8" s="52">
        <v>0</v>
      </c>
      <c r="CQ8" s="52" t="str">
        <v/>
      </c>
      <c r="CR8" s="52">
        <v>0</v>
      </c>
      <c r="CS8" s="52" t="str">
        <v/>
      </c>
      <c r="CT8" s="52">
        <v>0</v>
      </c>
      <c r="CU8" s="52" t="str">
        <v/>
      </c>
      <c r="CV8" s="52">
        <v>0</v>
      </c>
      <c r="CW8" s="52" t="str">
        <v/>
      </c>
      <c r="CX8" s="52">
        <v>0</v>
      </c>
      <c r="CY8" s="52" t="str">
        <v/>
      </c>
      <c r="CZ8" s="52">
        <v>0</v>
      </c>
      <c r="DA8" s="52" t="str">
        <v/>
      </c>
      <c r="DB8" s="52">
        <v>0</v>
      </c>
      <c r="DC8" s="52" t="str">
        <v/>
      </c>
      <c r="DD8" s="52">
        <v>0</v>
      </c>
      <c r="DE8" s="52" t="str">
        <v/>
      </c>
      <c r="DF8" s="52">
        <v>0</v>
      </c>
      <c r="DG8" s="52" t="str">
        <v/>
      </c>
      <c r="DH8" s="52">
        <v>0</v>
      </c>
      <c r="DI8" s="52" t="str">
        <v/>
      </c>
      <c r="DJ8" s="52">
        <v>0</v>
      </c>
      <c r="DK8" s="52" t="str">
        <v/>
      </c>
      <c r="DL8" s="52">
        <v>0</v>
      </c>
      <c r="DM8" s="52" t="str">
        <v/>
      </c>
    </row>
    <row r="9" spans="1:117" x14ac:dyDescent="0.25">
      <c r="A9" s="54">
        <v>-3715.9500000000057</v>
      </c>
      <c r="B9" s="52">
        <v>0</v>
      </c>
      <c r="C9" s="52" t="str">
        <v/>
      </c>
      <c r="D9" s="52">
        <v>0</v>
      </c>
      <c r="E9" s="52" t="str">
        <v/>
      </c>
      <c r="F9" s="52">
        <v>0</v>
      </c>
      <c r="G9" s="52" t="str">
        <v/>
      </c>
      <c r="H9" s="52">
        <v>0</v>
      </c>
      <c r="I9" s="52" t="str">
        <v/>
      </c>
      <c r="J9" s="52">
        <v>0</v>
      </c>
      <c r="K9" s="52" t="str">
        <v/>
      </c>
      <c r="L9" s="52">
        <v>0</v>
      </c>
      <c r="M9" s="52" t="str">
        <v/>
      </c>
      <c r="N9" s="52">
        <v>0</v>
      </c>
      <c r="O9" s="52" t="str">
        <v/>
      </c>
      <c r="P9" s="52">
        <v>0</v>
      </c>
      <c r="Q9" s="52" t="str">
        <v/>
      </c>
      <c r="R9" s="52">
        <v>0</v>
      </c>
      <c r="S9" s="52" t="str">
        <v/>
      </c>
      <c r="T9" s="52">
        <v>0</v>
      </c>
      <c r="U9" s="52" t="str">
        <v/>
      </c>
      <c r="V9" s="52">
        <v>0</v>
      </c>
      <c r="W9" s="52" t="str">
        <v/>
      </c>
      <c r="X9" s="52">
        <v>0</v>
      </c>
      <c r="Y9" s="52" t="str">
        <v/>
      </c>
      <c r="Z9" s="52">
        <v>0</v>
      </c>
      <c r="AA9" s="52" t="str">
        <v/>
      </c>
      <c r="AB9" s="52">
        <v>0</v>
      </c>
      <c r="AC9" s="52" t="str">
        <v/>
      </c>
      <c r="AD9" s="52">
        <v>0</v>
      </c>
      <c r="AE9" s="52" t="str">
        <v/>
      </c>
      <c r="AF9" s="52">
        <v>0</v>
      </c>
      <c r="AG9" s="52" t="str">
        <v/>
      </c>
      <c r="AH9" s="52">
        <v>0</v>
      </c>
      <c r="AI9" s="52" t="str">
        <v/>
      </c>
      <c r="AJ9" s="52">
        <v>0</v>
      </c>
      <c r="AK9" s="52" t="str">
        <v/>
      </c>
      <c r="AL9" s="52">
        <v>0</v>
      </c>
      <c r="AM9" s="52" t="str">
        <v/>
      </c>
      <c r="AN9" s="52">
        <v>0</v>
      </c>
      <c r="AO9" s="52" t="str">
        <v/>
      </c>
      <c r="AP9" s="52">
        <v>0</v>
      </c>
      <c r="AQ9" s="52" t="str">
        <v/>
      </c>
      <c r="AR9" s="52">
        <v>0</v>
      </c>
      <c r="AS9" s="52" t="str">
        <v/>
      </c>
      <c r="AT9" s="52">
        <v>0</v>
      </c>
      <c r="AU9" s="52" t="str">
        <v/>
      </c>
      <c r="AV9" s="52">
        <v>0</v>
      </c>
      <c r="AW9" s="52" t="str">
        <v/>
      </c>
      <c r="AX9" s="52">
        <v>0</v>
      </c>
      <c r="AY9" s="52" t="str">
        <v/>
      </c>
      <c r="AZ9" s="52">
        <v>0</v>
      </c>
      <c r="BA9" s="52" t="str">
        <v/>
      </c>
      <c r="BB9" s="52">
        <v>0</v>
      </c>
      <c r="BC9" s="52" t="str">
        <v/>
      </c>
      <c r="BD9" s="52">
        <v>0</v>
      </c>
      <c r="BE9" s="52" t="str">
        <v/>
      </c>
      <c r="BF9" s="52">
        <v>0</v>
      </c>
      <c r="BG9" s="52" t="str">
        <v/>
      </c>
      <c r="BH9" s="52">
        <v>0</v>
      </c>
      <c r="BI9" s="52" t="str">
        <v/>
      </c>
      <c r="BJ9" s="52">
        <v>0</v>
      </c>
      <c r="BK9" s="52" t="str">
        <v/>
      </c>
      <c r="BL9" s="52">
        <v>0</v>
      </c>
      <c r="BM9" s="52" t="str">
        <v/>
      </c>
      <c r="BN9" s="52">
        <v>0</v>
      </c>
      <c r="BO9" s="52" t="str">
        <v/>
      </c>
      <c r="BP9" s="52">
        <v>0</v>
      </c>
      <c r="BQ9" s="52" t="str">
        <v/>
      </c>
      <c r="BR9" s="52">
        <v>0</v>
      </c>
      <c r="BS9" s="52" t="str">
        <v/>
      </c>
      <c r="BT9" s="52">
        <v>0</v>
      </c>
      <c r="BU9" s="52" t="str">
        <v/>
      </c>
      <c r="BV9" s="52">
        <v>0</v>
      </c>
      <c r="BW9" s="52" t="str">
        <v/>
      </c>
      <c r="BX9" s="52">
        <v>0</v>
      </c>
      <c r="BY9" s="52" t="str">
        <v/>
      </c>
      <c r="BZ9" s="52">
        <v>0</v>
      </c>
      <c r="CA9" s="52" t="str">
        <v/>
      </c>
      <c r="CB9" s="52">
        <v>0</v>
      </c>
      <c r="CC9" s="52" t="str">
        <v/>
      </c>
      <c r="CD9" s="52">
        <v>0</v>
      </c>
      <c r="CE9" s="52" t="str">
        <v/>
      </c>
      <c r="CF9" s="52">
        <v>0</v>
      </c>
      <c r="CG9" s="52" t="str">
        <v/>
      </c>
      <c r="CH9" s="52">
        <v>0</v>
      </c>
      <c r="CI9" s="52" t="str">
        <v/>
      </c>
      <c r="CJ9" s="52">
        <v>0</v>
      </c>
      <c r="CK9" s="52" t="str">
        <v/>
      </c>
      <c r="CL9" s="52">
        <v>0</v>
      </c>
      <c r="CM9" s="52" t="str">
        <v/>
      </c>
      <c r="CN9" s="52">
        <v>0</v>
      </c>
      <c r="CO9" s="52" t="str">
        <v/>
      </c>
      <c r="CP9" s="52">
        <v>0</v>
      </c>
      <c r="CQ9" s="52" t="str">
        <v/>
      </c>
      <c r="CR9" s="52">
        <v>0</v>
      </c>
      <c r="CS9" s="52" t="str">
        <v/>
      </c>
      <c r="CT9" s="52">
        <v>0</v>
      </c>
      <c r="CU9" s="52" t="str">
        <v/>
      </c>
      <c r="CV9" s="52">
        <v>0</v>
      </c>
      <c r="CW9" s="52" t="str">
        <v/>
      </c>
      <c r="CX9" s="52">
        <v>0</v>
      </c>
      <c r="CY9" s="52" t="str">
        <v/>
      </c>
      <c r="CZ9" s="52">
        <v>0</v>
      </c>
      <c r="DA9" s="52" t="str">
        <v/>
      </c>
      <c r="DB9" s="52">
        <v>0</v>
      </c>
      <c r="DC9" s="52" t="str">
        <v/>
      </c>
      <c r="DD9" s="52">
        <v>0</v>
      </c>
      <c r="DE9" s="52" t="str">
        <v/>
      </c>
      <c r="DF9" s="52">
        <v>0</v>
      </c>
      <c r="DG9" s="52" t="str">
        <v/>
      </c>
      <c r="DH9" s="52">
        <v>0</v>
      </c>
      <c r="DI9" s="52" t="str">
        <v/>
      </c>
      <c r="DJ9" s="52">
        <v>0</v>
      </c>
      <c r="DK9" s="52" t="str">
        <v/>
      </c>
      <c r="DL9" s="52">
        <v>0</v>
      </c>
      <c r="DM9" s="52" t="str">
        <v/>
      </c>
    </row>
    <row r="10" spans="1:117" x14ac:dyDescent="0.25">
      <c r="A10" s="54">
        <v>-3676.8000000000056</v>
      </c>
      <c r="B10" s="52">
        <v>0</v>
      </c>
      <c r="C10" s="52" t="str">
        <v/>
      </c>
      <c r="D10" s="52">
        <v>0</v>
      </c>
      <c r="E10" s="52" t="str">
        <v/>
      </c>
      <c r="F10" s="52">
        <v>0</v>
      </c>
      <c r="G10" s="52" t="str">
        <v/>
      </c>
      <c r="H10" s="52">
        <v>0</v>
      </c>
      <c r="I10" s="52" t="str">
        <v/>
      </c>
      <c r="J10" s="52">
        <v>0</v>
      </c>
      <c r="K10" s="52" t="str">
        <v/>
      </c>
      <c r="L10" s="52">
        <v>0</v>
      </c>
      <c r="M10" s="52" t="str">
        <v/>
      </c>
      <c r="N10" s="52">
        <v>0</v>
      </c>
      <c r="O10" s="52" t="str">
        <v/>
      </c>
      <c r="P10" s="52">
        <v>0</v>
      </c>
      <c r="Q10" s="52" t="str">
        <v/>
      </c>
      <c r="R10" s="52">
        <v>0</v>
      </c>
      <c r="S10" s="52" t="str">
        <v/>
      </c>
      <c r="T10" s="52">
        <v>0</v>
      </c>
      <c r="U10" s="52" t="str">
        <v/>
      </c>
      <c r="V10" s="52">
        <v>0</v>
      </c>
      <c r="W10" s="52" t="str">
        <v/>
      </c>
      <c r="X10" s="52">
        <v>0</v>
      </c>
      <c r="Y10" s="52" t="str">
        <v/>
      </c>
      <c r="Z10" s="52">
        <v>0</v>
      </c>
      <c r="AA10" s="52" t="str">
        <v/>
      </c>
      <c r="AB10" s="52">
        <v>0</v>
      </c>
      <c r="AC10" s="52" t="str">
        <v/>
      </c>
      <c r="AD10" s="52">
        <v>0</v>
      </c>
      <c r="AE10" s="52" t="str">
        <v/>
      </c>
      <c r="AF10" s="52">
        <v>0</v>
      </c>
      <c r="AG10" s="52" t="str">
        <v/>
      </c>
      <c r="AH10" s="52">
        <v>0</v>
      </c>
      <c r="AI10" s="52" t="str">
        <v/>
      </c>
      <c r="AJ10" s="52">
        <v>0</v>
      </c>
      <c r="AK10" s="52" t="str">
        <v/>
      </c>
      <c r="AL10" s="52">
        <v>0</v>
      </c>
      <c r="AM10" s="52" t="str">
        <v/>
      </c>
      <c r="AN10" s="52">
        <v>0</v>
      </c>
      <c r="AO10" s="52" t="str">
        <v/>
      </c>
      <c r="AP10" s="52">
        <v>0</v>
      </c>
      <c r="AQ10" s="52" t="str">
        <v/>
      </c>
      <c r="AR10" s="52">
        <v>0</v>
      </c>
      <c r="AS10" s="52" t="str">
        <v/>
      </c>
      <c r="AT10" s="52">
        <v>0</v>
      </c>
      <c r="AU10" s="52" t="str">
        <v/>
      </c>
      <c r="AV10" s="52">
        <v>0</v>
      </c>
      <c r="AW10" s="52" t="str">
        <v/>
      </c>
      <c r="AX10" s="52">
        <v>0</v>
      </c>
      <c r="AY10" s="52" t="str">
        <v/>
      </c>
      <c r="AZ10" s="52">
        <v>0</v>
      </c>
      <c r="BA10" s="52" t="str">
        <v/>
      </c>
      <c r="BB10" s="52">
        <v>0</v>
      </c>
      <c r="BC10" s="52" t="str">
        <v/>
      </c>
      <c r="BD10" s="52">
        <v>0</v>
      </c>
      <c r="BE10" s="52" t="str">
        <v/>
      </c>
      <c r="BF10" s="52">
        <v>0</v>
      </c>
      <c r="BG10" s="52" t="str">
        <v/>
      </c>
      <c r="BH10" s="52">
        <v>0</v>
      </c>
      <c r="BI10" s="52" t="str">
        <v/>
      </c>
      <c r="BJ10" s="52">
        <v>0</v>
      </c>
      <c r="BK10" s="52" t="str">
        <v/>
      </c>
      <c r="BL10" s="52">
        <v>0</v>
      </c>
      <c r="BM10" s="52" t="str">
        <v/>
      </c>
      <c r="BN10" s="52">
        <v>0</v>
      </c>
      <c r="BO10" s="52" t="str">
        <v/>
      </c>
      <c r="BP10" s="52">
        <v>0</v>
      </c>
      <c r="BQ10" s="52" t="str">
        <v/>
      </c>
      <c r="BR10" s="52">
        <v>0</v>
      </c>
      <c r="BS10" s="52" t="str">
        <v/>
      </c>
      <c r="BT10" s="52">
        <v>0</v>
      </c>
      <c r="BU10" s="52" t="str">
        <v/>
      </c>
      <c r="BV10" s="52">
        <v>0</v>
      </c>
      <c r="BW10" s="52" t="str">
        <v/>
      </c>
      <c r="BX10" s="52">
        <v>0</v>
      </c>
      <c r="BY10" s="52" t="str">
        <v/>
      </c>
      <c r="BZ10" s="52">
        <v>0</v>
      </c>
      <c r="CA10" s="52" t="str">
        <v/>
      </c>
      <c r="CB10" s="52">
        <v>0</v>
      </c>
      <c r="CC10" s="52" t="str">
        <v/>
      </c>
      <c r="CD10" s="52">
        <v>0</v>
      </c>
      <c r="CE10" s="52" t="str">
        <v/>
      </c>
      <c r="CF10" s="52">
        <v>0</v>
      </c>
      <c r="CG10" s="52" t="str">
        <v/>
      </c>
      <c r="CH10" s="52">
        <v>0</v>
      </c>
      <c r="CI10" s="52" t="str">
        <v/>
      </c>
      <c r="CJ10" s="52">
        <v>0</v>
      </c>
      <c r="CK10" s="52" t="str">
        <v/>
      </c>
      <c r="CL10" s="52">
        <v>0</v>
      </c>
      <c r="CM10" s="52" t="str">
        <v/>
      </c>
      <c r="CN10" s="52">
        <v>0</v>
      </c>
      <c r="CO10" s="52" t="str">
        <v/>
      </c>
      <c r="CP10" s="52">
        <v>0</v>
      </c>
      <c r="CQ10" s="52" t="str">
        <v/>
      </c>
      <c r="CR10" s="52">
        <v>0</v>
      </c>
      <c r="CS10" s="52" t="str">
        <v/>
      </c>
      <c r="CT10" s="52">
        <v>0</v>
      </c>
      <c r="CU10" s="52" t="str">
        <v/>
      </c>
      <c r="CV10" s="52">
        <v>0</v>
      </c>
      <c r="CW10" s="52" t="str">
        <v/>
      </c>
      <c r="CX10" s="52">
        <v>0</v>
      </c>
      <c r="CY10" s="52" t="str">
        <v/>
      </c>
      <c r="CZ10" s="52">
        <v>0</v>
      </c>
      <c r="DA10" s="52" t="str">
        <v/>
      </c>
      <c r="DB10" s="52">
        <v>0</v>
      </c>
      <c r="DC10" s="52" t="str">
        <v/>
      </c>
      <c r="DD10" s="52">
        <v>0</v>
      </c>
      <c r="DE10" s="52" t="str">
        <v/>
      </c>
      <c r="DF10" s="52">
        <v>0</v>
      </c>
      <c r="DG10" s="52" t="str">
        <v/>
      </c>
      <c r="DH10" s="52">
        <v>0</v>
      </c>
      <c r="DI10" s="52" t="str">
        <v/>
      </c>
      <c r="DJ10" s="52">
        <v>0</v>
      </c>
      <c r="DK10" s="52" t="str">
        <v/>
      </c>
      <c r="DL10" s="52">
        <v>0</v>
      </c>
      <c r="DM10" s="52" t="str">
        <v/>
      </c>
    </row>
    <row r="11" spans="1:117" x14ac:dyDescent="0.25">
      <c r="A11" s="54">
        <v>-3637.6500000000055</v>
      </c>
      <c r="B11" s="52">
        <v>0</v>
      </c>
      <c r="C11" s="52" t="str">
        <v/>
      </c>
      <c r="D11" s="52">
        <v>0</v>
      </c>
      <c r="E11" s="52" t="str">
        <v/>
      </c>
      <c r="F11" s="52">
        <v>0</v>
      </c>
      <c r="G11" s="52" t="str">
        <v/>
      </c>
      <c r="H11" s="52">
        <v>0</v>
      </c>
      <c r="I11" s="52" t="str">
        <v/>
      </c>
      <c r="J11" s="52">
        <v>0</v>
      </c>
      <c r="K11" s="52" t="str">
        <v/>
      </c>
      <c r="L11" s="52">
        <v>0</v>
      </c>
      <c r="M11" s="52" t="str">
        <v/>
      </c>
      <c r="N11" s="52">
        <v>0</v>
      </c>
      <c r="O11" s="52" t="str">
        <v/>
      </c>
      <c r="P11" s="52">
        <v>0</v>
      </c>
      <c r="Q11" s="52" t="str">
        <v/>
      </c>
      <c r="R11" s="52">
        <v>0</v>
      </c>
      <c r="S11" s="52" t="str">
        <v/>
      </c>
      <c r="T11" s="52">
        <v>0</v>
      </c>
      <c r="U11" s="52" t="str">
        <v/>
      </c>
      <c r="V11" s="52">
        <v>0</v>
      </c>
      <c r="W11" s="52" t="str">
        <v/>
      </c>
      <c r="X11" s="52">
        <v>0</v>
      </c>
      <c r="Y11" s="52" t="str">
        <v/>
      </c>
      <c r="Z11" s="52">
        <v>0</v>
      </c>
      <c r="AA11" s="52" t="str">
        <v/>
      </c>
      <c r="AB11" s="52">
        <v>0</v>
      </c>
      <c r="AC11" s="52" t="str">
        <v/>
      </c>
      <c r="AD11" s="52">
        <v>0</v>
      </c>
      <c r="AE11" s="52" t="str">
        <v/>
      </c>
      <c r="AF11" s="52">
        <v>0</v>
      </c>
      <c r="AG11" s="52" t="str">
        <v/>
      </c>
      <c r="AH11" s="52">
        <v>0</v>
      </c>
      <c r="AI11" s="52" t="str">
        <v/>
      </c>
      <c r="AJ11" s="52">
        <v>0</v>
      </c>
      <c r="AK11" s="52" t="str">
        <v/>
      </c>
      <c r="AL11" s="52">
        <v>0</v>
      </c>
      <c r="AM11" s="52" t="str">
        <v/>
      </c>
      <c r="AN11" s="52">
        <v>0</v>
      </c>
      <c r="AO11" s="52" t="str">
        <v/>
      </c>
      <c r="AP11" s="52">
        <v>0</v>
      </c>
      <c r="AQ11" s="52" t="str">
        <v/>
      </c>
      <c r="AR11" s="52">
        <v>0</v>
      </c>
      <c r="AS11" s="52" t="str">
        <v/>
      </c>
      <c r="AT11" s="52">
        <v>0</v>
      </c>
      <c r="AU11" s="52" t="str">
        <v/>
      </c>
      <c r="AV11" s="52">
        <v>0</v>
      </c>
      <c r="AW11" s="52" t="str">
        <v/>
      </c>
      <c r="AX11" s="52">
        <v>0</v>
      </c>
      <c r="AY11" s="52" t="str">
        <v/>
      </c>
      <c r="AZ11" s="52">
        <v>0</v>
      </c>
      <c r="BA11" s="52" t="str">
        <v/>
      </c>
      <c r="BB11" s="52">
        <v>0</v>
      </c>
      <c r="BC11" s="52" t="str">
        <v/>
      </c>
      <c r="BD11" s="52">
        <v>0</v>
      </c>
      <c r="BE11" s="52" t="str">
        <v/>
      </c>
      <c r="BF11" s="52">
        <v>0</v>
      </c>
      <c r="BG11" s="52" t="str">
        <v/>
      </c>
      <c r="BH11" s="52">
        <v>0</v>
      </c>
      <c r="BI11" s="52" t="str">
        <v/>
      </c>
      <c r="BJ11" s="52">
        <v>0</v>
      </c>
      <c r="BK11" s="52" t="str">
        <v/>
      </c>
      <c r="BL11" s="52">
        <v>0</v>
      </c>
      <c r="BM11" s="52" t="str">
        <v/>
      </c>
      <c r="BN11" s="52">
        <v>0</v>
      </c>
      <c r="BO11" s="52" t="str">
        <v/>
      </c>
      <c r="BP11" s="52">
        <v>0</v>
      </c>
      <c r="BQ11" s="52" t="str">
        <v/>
      </c>
      <c r="BR11" s="52">
        <v>0</v>
      </c>
      <c r="BS11" s="52" t="str">
        <v/>
      </c>
      <c r="BT11" s="52">
        <v>0</v>
      </c>
      <c r="BU11" s="52" t="str">
        <v/>
      </c>
      <c r="BV11" s="52">
        <v>0</v>
      </c>
      <c r="BW11" s="52" t="str">
        <v/>
      </c>
      <c r="BX11" s="52">
        <v>0</v>
      </c>
      <c r="BY11" s="52" t="str">
        <v/>
      </c>
      <c r="BZ11" s="52">
        <v>0</v>
      </c>
      <c r="CA11" s="52" t="str">
        <v/>
      </c>
      <c r="CB11" s="52">
        <v>0</v>
      </c>
      <c r="CC11" s="52" t="str">
        <v/>
      </c>
      <c r="CD11" s="52">
        <v>0</v>
      </c>
      <c r="CE11" s="52" t="str">
        <v/>
      </c>
      <c r="CF11" s="52">
        <v>0</v>
      </c>
      <c r="CG11" s="52" t="str">
        <v/>
      </c>
      <c r="CH11" s="52">
        <v>0</v>
      </c>
      <c r="CI11" s="52" t="str">
        <v/>
      </c>
      <c r="CJ11" s="52">
        <v>0</v>
      </c>
      <c r="CK11" s="52" t="str">
        <v/>
      </c>
      <c r="CL11" s="52">
        <v>0</v>
      </c>
      <c r="CM11" s="52" t="str">
        <v/>
      </c>
      <c r="CN11" s="52">
        <v>0</v>
      </c>
      <c r="CO11" s="52" t="str">
        <v/>
      </c>
      <c r="CP11" s="52">
        <v>0</v>
      </c>
      <c r="CQ11" s="52" t="str">
        <v/>
      </c>
      <c r="CR11" s="52">
        <v>0</v>
      </c>
      <c r="CS11" s="52" t="str">
        <v/>
      </c>
      <c r="CT11" s="52">
        <v>0</v>
      </c>
      <c r="CU11" s="52" t="str">
        <v/>
      </c>
      <c r="CV11" s="52">
        <v>0</v>
      </c>
      <c r="CW11" s="52" t="str">
        <v/>
      </c>
      <c r="CX11" s="52">
        <v>0</v>
      </c>
      <c r="CY11" s="52" t="str">
        <v/>
      </c>
      <c r="CZ11" s="52">
        <v>0</v>
      </c>
      <c r="DA11" s="52" t="str">
        <v/>
      </c>
      <c r="DB11" s="52">
        <v>0</v>
      </c>
      <c r="DC11" s="52" t="str">
        <v/>
      </c>
      <c r="DD11" s="52">
        <v>0</v>
      </c>
      <c r="DE11" s="52" t="str">
        <v/>
      </c>
      <c r="DF11" s="52">
        <v>0</v>
      </c>
      <c r="DG11" s="52" t="str">
        <v/>
      </c>
      <c r="DH11" s="52">
        <v>0</v>
      </c>
      <c r="DI11" s="52" t="str">
        <v/>
      </c>
      <c r="DJ11" s="52">
        <v>0</v>
      </c>
      <c r="DK11" s="52" t="str">
        <v/>
      </c>
      <c r="DL11" s="52">
        <v>0</v>
      </c>
      <c r="DM11" s="52" t="str">
        <v/>
      </c>
    </row>
    <row r="12" spans="1:117" x14ac:dyDescent="0.25">
      <c r="A12" s="54">
        <v>-3598.5000000000055</v>
      </c>
      <c r="B12" s="52">
        <v>0</v>
      </c>
      <c r="C12" s="52" t="str">
        <v/>
      </c>
      <c r="D12" s="52">
        <v>0</v>
      </c>
      <c r="E12" s="52" t="str">
        <v/>
      </c>
      <c r="F12" s="52">
        <v>0</v>
      </c>
      <c r="G12" s="52" t="str">
        <v/>
      </c>
      <c r="H12" s="52">
        <v>0</v>
      </c>
      <c r="I12" s="52" t="str">
        <v/>
      </c>
      <c r="J12" s="52">
        <v>0</v>
      </c>
      <c r="K12" s="52" t="str">
        <v/>
      </c>
      <c r="L12" s="52">
        <v>0</v>
      </c>
      <c r="M12" s="52" t="str">
        <v/>
      </c>
      <c r="N12" s="52">
        <v>0</v>
      </c>
      <c r="O12" s="52" t="str">
        <v/>
      </c>
      <c r="P12" s="52">
        <v>0</v>
      </c>
      <c r="Q12" s="52" t="str">
        <v/>
      </c>
      <c r="R12" s="52">
        <v>0</v>
      </c>
      <c r="S12" s="52" t="str">
        <v/>
      </c>
      <c r="T12" s="52">
        <v>0</v>
      </c>
      <c r="U12" s="52" t="str">
        <v/>
      </c>
      <c r="V12" s="52">
        <v>0</v>
      </c>
      <c r="W12" s="52" t="str">
        <v/>
      </c>
      <c r="X12" s="52">
        <v>0</v>
      </c>
      <c r="Y12" s="52" t="str">
        <v/>
      </c>
      <c r="Z12" s="52">
        <v>0</v>
      </c>
      <c r="AA12" s="52" t="str">
        <v/>
      </c>
      <c r="AB12" s="52">
        <v>0</v>
      </c>
      <c r="AC12" s="52" t="str">
        <v/>
      </c>
      <c r="AD12" s="52">
        <v>0</v>
      </c>
      <c r="AE12" s="52" t="str">
        <v/>
      </c>
      <c r="AF12" s="52">
        <v>0</v>
      </c>
      <c r="AG12" s="52" t="str">
        <v/>
      </c>
      <c r="AH12" s="52">
        <v>0</v>
      </c>
      <c r="AI12" s="52" t="str">
        <v/>
      </c>
      <c r="AJ12" s="52">
        <v>0</v>
      </c>
      <c r="AK12" s="52" t="str">
        <v/>
      </c>
      <c r="AL12" s="52">
        <v>0</v>
      </c>
      <c r="AM12" s="52" t="str">
        <v/>
      </c>
      <c r="AN12" s="52">
        <v>0</v>
      </c>
      <c r="AO12" s="52" t="str">
        <v/>
      </c>
      <c r="AP12" s="52">
        <v>0</v>
      </c>
      <c r="AQ12" s="52" t="str">
        <v/>
      </c>
      <c r="AR12" s="52">
        <v>0</v>
      </c>
      <c r="AS12" s="52" t="str">
        <v/>
      </c>
      <c r="AT12" s="52">
        <v>0</v>
      </c>
      <c r="AU12" s="52" t="str">
        <v/>
      </c>
      <c r="AV12" s="52">
        <v>0</v>
      </c>
      <c r="AW12" s="52" t="str">
        <v/>
      </c>
      <c r="AX12" s="52">
        <v>0</v>
      </c>
      <c r="AY12" s="52" t="str">
        <v/>
      </c>
      <c r="AZ12" s="52">
        <v>0</v>
      </c>
      <c r="BA12" s="52" t="str">
        <v/>
      </c>
      <c r="BB12" s="52">
        <v>0</v>
      </c>
      <c r="BC12" s="52" t="str">
        <v/>
      </c>
      <c r="BD12" s="52">
        <v>0</v>
      </c>
      <c r="BE12" s="52" t="str">
        <v/>
      </c>
      <c r="BF12" s="52">
        <v>0</v>
      </c>
      <c r="BG12" s="52" t="str">
        <v/>
      </c>
      <c r="BH12" s="52">
        <v>0</v>
      </c>
      <c r="BI12" s="52" t="str">
        <v/>
      </c>
      <c r="BJ12" s="52">
        <v>0</v>
      </c>
      <c r="BK12" s="52" t="str">
        <v/>
      </c>
      <c r="BL12" s="52">
        <v>0</v>
      </c>
      <c r="BM12" s="52" t="str">
        <v/>
      </c>
      <c r="BN12" s="52">
        <v>0</v>
      </c>
      <c r="BO12" s="52" t="str">
        <v/>
      </c>
      <c r="BP12" s="52">
        <v>0</v>
      </c>
      <c r="BQ12" s="52" t="str">
        <v/>
      </c>
      <c r="BR12" s="52">
        <v>0</v>
      </c>
      <c r="BS12" s="52" t="str">
        <v/>
      </c>
      <c r="BT12" s="52">
        <v>0</v>
      </c>
      <c r="BU12" s="52" t="str">
        <v/>
      </c>
      <c r="BV12" s="52">
        <v>0</v>
      </c>
      <c r="BW12" s="52" t="str">
        <v/>
      </c>
      <c r="BX12" s="52">
        <v>0</v>
      </c>
      <c r="BY12" s="52" t="str">
        <v/>
      </c>
      <c r="BZ12" s="52">
        <v>0</v>
      </c>
      <c r="CA12" s="52" t="str">
        <v/>
      </c>
      <c r="CB12" s="52">
        <v>0</v>
      </c>
      <c r="CC12" s="52" t="str">
        <v/>
      </c>
      <c r="CD12" s="52">
        <v>0</v>
      </c>
      <c r="CE12" s="52" t="str">
        <v/>
      </c>
      <c r="CF12" s="52">
        <v>0</v>
      </c>
      <c r="CG12" s="52" t="str">
        <v/>
      </c>
      <c r="CH12" s="52">
        <v>0</v>
      </c>
      <c r="CI12" s="52" t="str">
        <v/>
      </c>
      <c r="CJ12" s="52">
        <v>0</v>
      </c>
      <c r="CK12" s="52" t="str">
        <v/>
      </c>
      <c r="CL12" s="52">
        <v>0</v>
      </c>
      <c r="CM12" s="52" t="str">
        <v/>
      </c>
      <c r="CN12" s="52">
        <v>0</v>
      </c>
      <c r="CO12" s="52" t="str">
        <v/>
      </c>
      <c r="CP12" s="52">
        <v>0</v>
      </c>
      <c r="CQ12" s="52" t="str">
        <v/>
      </c>
      <c r="CR12" s="52">
        <v>0</v>
      </c>
      <c r="CS12" s="52" t="str">
        <v/>
      </c>
      <c r="CT12" s="52">
        <v>0</v>
      </c>
      <c r="CU12" s="52" t="str">
        <v/>
      </c>
      <c r="CV12" s="52">
        <v>0</v>
      </c>
      <c r="CW12" s="52" t="str">
        <v/>
      </c>
      <c r="CX12" s="52">
        <v>0</v>
      </c>
      <c r="CY12" s="52" t="str">
        <v/>
      </c>
      <c r="CZ12" s="52">
        <v>0</v>
      </c>
      <c r="DA12" s="52" t="str">
        <v/>
      </c>
      <c r="DB12" s="52">
        <v>0</v>
      </c>
      <c r="DC12" s="52" t="str">
        <v/>
      </c>
      <c r="DD12" s="52">
        <v>0</v>
      </c>
      <c r="DE12" s="52" t="str">
        <v/>
      </c>
      <c r="DF12" s="52">
        <v>0</v>
      </c>
      <c r="DG12" s="52" t="str">
        <v/>
      </c>
      <c r="DH12" s="52">
        <v>0</v>
      </c>
      <c r="DI12" s="52" t="str">
        <v/>
      </c>
      <c r="DJ12" s="52">
        <v>0</v>
      </c>
      <c r="DK12" s="52" t="str">
        <v/>
      </c>
      <c r="DL12" s="52">
        <v>0</v>
      </c>
      <c r="DM12" s="52" t="str">
        <v/>
      </c>
    </row>
    <row r="13" spans="1:117" x14ac:dyDescent="0.25">
      <c r="A13" s="54">
        <v>-3559.3500000000054</v>
      </c>
      <c r="B13" s="52">
        <v>0</v>
      </c>
      <c r="C13" s="52" t="str">
        <v/>
      </c>
      <c r="D13" s="52">
        <v>0</v>
      </c>
      <c r="E13" s="52" t="str">
        <v/>
      </c>
      <c r="F13" s="52">
        <v>0</v>
      </c>
      <c r="G13" s="52" t="str">
        <v/>
      </c>
      <c r="H13" s="52">
        <v>0</v>
      </c>
      <c r="I13" s="52" t="str">
        <v/>
      </c>
      <c r="J13" s="52">
        <v>0</v>
      </c>
      <c r="K13" s="52" t="str">
        <v/>
      </c>
      <c r="L13" s="52">
        <v>0</v>
      </c>
      <c r="M13" s="52" t="str">
        <v/>
      </c>
      <c r="N13" s="52">
        <v>0</v>
      </c>
      <c r="O13" s="52" t="str">
        <v/>
      </c>
      <c r="P13" s="52">
        <v>0</v>
      </c>
      <c r="Q13" s="52" t="str">
        <v/>
      </c>
      <c r="R13" s="52">
        <v>0</v>
      </c>
      <c r="S13" s="52" t="str">
        <v/>
      </c>
      <c r="T13" s="52">
        <v>0</v>
      </c>
      <c r="U13" s="52" t="str">
        <v/>
      </c>
      <c r="V13" s="52">
        <v>0</v>
      </c>
      <c r="W13" s="52" t="str">
        <v/>
      </c>
      <c r="X13" s="52">
        <v>0</v>
      </c>
      <c r="Y13" s="52" t="str">
        <v/>
      </c>
      <c r="Z13" s="52">
        <v>0</v>
      </c>
      <c r="AA13" s="52" t="str">
        <v/>
      </c>
      <c r="AB13" s="52">
        <v>0</v>
      </c>
      <c r="AC13" s="52" t="str">
        <v/>
      </c>
      <c r="AD13" s="52">
        <v>0</v>
      </c>
      <c r="AE13" s="52" t="str">
        <v/>
      </c>
      <c r="AF13" s="52">
        <v>0</v>
      </c>
      <c r="AG13" s="52" t="str">
        <v/>
      </c>
      <c r="AH13" s="52">
        <v>0</v>
      </c>
      <c r="AI13" s="52" t="str">
        <v/>
      </c>
      <c r="AJ13" s="52">
        <v>0</v>
      </c>
      <c r="AK13" s="52" t="str">
        <v/>
      </c>
      <c r="AL13" s="52">
        <v>0</v>
      </c>
      <c r="AM13" s="52" t="str">
        <v/>
      </c>
      <c r="AN13" s="52">
        <v>0</v>
      </c>
      <c r="AO13" s="52" t="str">
        <v/>
      </c>
      <c r="AP13" s="52">
        <v>0</v>
      </c>
      <c r="AQ13" s="52" t="str">
        <v/>
      </c>
      <c r="AR13" s="52">
        <v>0</v>
      </c>
      <c r="AS13" s="52" t="str">
        <v/>
      </c>
      <c r="AT13" s="52">
        <v>0</v>
      </c>
      <c r="AU13" s="52" t="str">
        <v/>
      </c>
      <c r="AV13" s="52">
        <v>0</v>
      </c>
      <c r="AW13" s="52" t="str">
        <v/>
      </c>
      <c r="AX13" s="52">
        <v>0</v>
      </c>
      <c r="AY13" s="52" t="str">
        <v/>
      </c>
      <c r="AZ13" s="52">
        <v>0</v>
      </c>
      <c r="BA13" s="52" t="str">
        <v/>
      </c>
      <c r="BB13" s="52">
        <v>0</v>
      </c>
      <c r="BC13" s="52" t="str">
        <v/>
      </c>
      <c r="BD13" s="52">
        <v>0</v>
      </c>
      <c r="BE13" s="52" t="str">
        <v/>
      </c>
      <c r="BF13" s="52">
        <v>0</v>
      </c>
      <c r="BG13" s="52" t="str">
        <v/>
      </c>
      <c r="BH13" s="52">
        <v>0</v>
      </c>
      <c r="BI13" s="52" t="str">
        <v/>
      </c>
      <c r="BJ13" s="52">
        <v>0</v>
      </c>
      <c r="BK13" s="52" t="str">
        <v/>
      </c>
      <c r="BL13" s="52">
        <v>0</v>
      </c>
      <c r="BM13" s="52" t="str">
        <v/>
      </c>
      <c r="BN13" s="52">
        <v>0</v>
      </c>
      <c r="BO13" s="52" t="str">
        <v/>
      </c>
      <c r="BP13" s="52">
        <v>0</v>
      </c>
      <c r="BQ13" s="52" t="str">
        <v/>
      </c>
      <c r="BR13" s="52">
        <v>0</v>
      </c>
      <c r="BS13" s="52" t="str">
        <v/>
      </c>
      <c r="BT13" s="52">
        <v>0</v>
      </c>
      <c r="BU13" s="52" t="str">
        <v/>
      </c>
      <c r="BV13" s="52">
        <v>0</v>
      </c>
      <c r="BW13" s="52" t="str">
        <v/>
      </c>
      <c r="BX13" s="52">
        <v>0</v>
      </c>
      <c r="BY13" s="52" t="str">
        <v/>
      </c>
      <c r="BZ13" s="52">
        <v>0</v>
      </c>
      <c r="CA13" s="52" t="str">
        <v/>
      </c>
      <c r="CB13" s="52">
        <v>0</v>
      </c>
      <c r="CC13" s="52" t="str">
        <v/>
      </c>
      <c r="CD13" s="52">
        <v>0</v>
      </c>
      <c r="CE13" s="52" t="str">
        <v/>
      </c>
      <c r="CF13" s="52">
        <v>0</v>
      </c>
      <c r="CG13" s="52" t="str">
        <v/>
      </c>
      <c r="CH13" s="52">
        <v>0</v>
      </c>
      <c r="CI13" s="52" t="str">
        <v/>
      </c>
      <c r="CJ13" s="52">
        <v>0</v>
      </c>
      <c r="CK13" s="52" t="str">
        <v/>
      </c>
      <c r="CL13" s="52">
        <v>0</v>
      </c>
      <c r="CM13" s="52" t="str">
        <v/>
      </c>
      <c r="CN13" s="52">
        <v>0</v>
      </c>
      <c r="CO13" s="52" t="str">
        <v/>
      </c>
      <c r="CP13" s="52">
        <v>0</v>
      </c>
      <c r="CQ13" s="52" t="str">
        <v/>
      </c>
      <c r="CR13" s="52">
        <v>0</v>
      </c>
      <c r="CS13" s="52" t="str">
        <v/>
      </c>
      <c r="CT13" s="52">
        <v>0</v>
      </c>
      <c r="CU13" s="52" t="str">
        <v/>
      </c>
      <c r="CV13" s="52">
        <v>0</v>
      </c>
      <c r="CW13" s="52" t="str">
        <v/>
      </c>
      <c r="CX13" s="52">
        <v>0</v>
      </c>
      <c r="CY13" s="52" t="str">
        <v/>
      </c>
      <c r="CZ13" s="52">
        <v>0</v>
      </c>
      <c r="DA13" s="52" t="str">
        <v/>
      </c>
      <c r="DB13" s="52">
        <v>0</v>
      </c>
      <c r="DC13" s="52" t="str">
        <v/>
      </c>
      <c r="DD13" s="52">
        <v>0</v>
      </c>
      <c r="DE13" s="52" t="str">
        <v/>
      </c>
      <c r="DF13" s="52">
        <v>0</v>
      </c>
      <c r="DG13" s="52" t="str">
        <v/>
      </c>
      <c r="DH13" s="52">
        <v>0</v>
      </c>
      <c r="DI13" s="52" t="str">
        <v/>
      </c>
      <c r="DJ13" s="52">
        <v>0</v>
      </c>
      <c r="DK13" s="52" t="str">
        <v/>
      </c>
      <c r="DL13" s="52">
        <v>0</v>
      </c>
      <c r="DM13" s="52" t="str">
        <v/>
      </c>
    </row>
    <row r="14" spans="1:117" x14ac:dyDescent="0.25">
      <c r="A14" s="54">
        <v>-3520.2000000000053</v>
      </c>
      <c r="B14" s="52">
        <v>0</v>
      </c>
      <c r="C14" s="52" t="str">
        <v/>
      </c>
      <c r="D14" s="52">
        <v>0</v>
      </c>
      <c r="E14" s="52" t="str">
        <v/>
      </c>
      <c r="F14" s="52">
        <v>0</v>
      </c>
      <c r="G14" s="52" t="str">
        <v/>
      </c>
      <c r="H14" s="52">
        <v>0</v>
      </c>
      <c r="I14" s="52" t="str">
        <v/>
      </c>
      <c r="J14" s="52">
        <v>0</v>
      </c>
      <c r="K14" s="52" t="str">
        <v/>
      </c>
      <c r="L14" s="52">
        <v>0</v>
      </c>
      <c r="M14" s="52" t="str">
        <v/>
      </c>
      <c r="N14" s="52">
        <v>0</v>
      </c>
      <c r="O14" s="52" t="str">
        <v/>
      </c>
      <c r="P14" s="52">
        <v>0</v>
      </c>
      <c r="Q14" s="52" t="str">
        <v/>
      </c>
      <c r="R14" s="52">
        <v>0</v>
      </c>
      <c r="S14" s="52" t="str">
        <v/>
      </c>
      <c r="T14" s="52">
        <v>0</v>
      </c>
      <c r="U14" s="52" t="str">
        <v/>
      </c>
      <c r="V14" s="52">
        <v>0</v>
      </c>
      <c r="W14" s="52" t="str">
        <v/>
      </c>
      <c r="X14" s="52">
        <v>0</v>
      </c>
      <c r="Y14" s="52" t="str">
        <v/>
      </c>
      <c r="Z14" s="52">
        <v>0</v>
      </c>
      <c r="AA14" s="52" t="str">
        <v/>
      </c>
      <c r="AB14" s="52">
        <v>0</v>
      </c>
      <c r="AC14" s="52" t="str">
        <v/>
      </c>
      <c r="AD14" s="52">
        <v>0</v>
      </c>
      <c r="AE14" s="52" t="str">
        <v/>
      </c>
      <c r="AF14" s="52">
        <v>0</v>
      </c>
      <c r="AG14" s="52" t="str">
        <v/>
      </c>
      <c r="AH14" s="52">
        <v>0</v>
      </c>
      <c r="AI14" s="52" t="str">
        <v/>
      </c>
      <c r="AJ14" s="52">
        <v>0</v>
      </c>
      <c r="AK14" s="52" t="str">
        <v/>
      </c>
      <c r="AL14" s="52">
        <v>0</v>
      </c>
      <c r="AM14" s="52" t="str">
        <v/>
      </c>
      <c r="AN14" s="52">
        <v>0</v>
      </c>
      <c r="AO14" s="52" t="str">
        <v/>
      </c>
      <c r="AP14" s="52">
        <v>0</v>
      </c>
      <c r="AQ14" s="52" t="str">
        <v/>
      </c>
      <c r="AR14" s="52">
        <v>0</v>
      </c>
      <c r="AS14" s="52" t="str">
        <v/>
      </c>
      <c r="AT14" s="52">
        <v>0</v>
      </c>
      <c r="AU14" s="52" t="str">
        <v/>
      </c>
      <c r="AV14" s="52">
        <v>0</v>
      </c>
      <c r="AW14" s="52" t="str">
        <v/>
      </c>
      <c r="AX14" s="52">
        <v>0</v>
      </c>
      <c r="AY14" s="52" t="str">
        <v/>
      </c>
      <c r="AZ14" s="52">
        <v>0</v>
      </c>
      <c r="BA14" s="52" t="str">
        <v/>
      </c>
      <c r="BB14" s="52">
        <v>0</v>
      </c>
      <c r="BC14" s="52" t="str">
        <v/>
      </c>
      <c r="BD14" s="52">
        <v>0</v>
      </c>
      <c r="BE14" s="52" t="str">
        <v/>
      </c>
      <c r="BF14" s="52">
        <v>0</v>
      </c>
      <c r="BG14" s="52" t="str">
        <v/>
      </c>
      <c r="BH14" s="52">
        <v>0</v>
      </c>
      <c r="BI14" s="52" t="str">
        <v/>
      </c>
      <c r="BJ14" s="52">
        <v>0</v>
      </c>
      <c r="BK14" s="52" t="str">
        <v/>
      </c>
      <c r="BL14" s="52">
        <v>0</v>
      </c>
      <c r="BM14" s="52" t="str">
        <v/>
      </c>
      <c r="BN14" s="52">
        <v>0</v>
      </c>
      <c r="BO14" s="52" t="str">
        <v/>
      </c>
      <c r="BP14" s="52">
        <v>0</v>
      </c>
      <c r="BQ14" s="52" t="str">
        <v/>
      </c>
      <c r="BR14" s="52">
        <v>0</v>
      </c>
      <c r="BS14" s="52" t="str">
        <v/>
      </c>
      <c r="BT14" s="52">
        <v>0</v>
      </c>
      <c r="BU14" s="52" t="str">
        <v/>
      </c>
      <c r="BV14" s="52">
        <v>0</v>
      </c>
      <c r="BW14" s="52" t="str">
        <v/>
      </c>
      <c r="BX14" s="52">
        <v>0</v>
      </c>
      <c r="BY14" s="52" t="str">
        <v/>
      </c>
      <c r="BZ14" s="52">
        <v>0</v>
      </c>
      <c r="CA14" s="52" t="str">
        <v/>
      </c>
      <c r="CB14" s="52">
        <v>0</v>
      </c>
      <c r="CC14" s="52" t="str">
        <v/>
      </c>
      <c r="CD14" s="52">
        <v>0</v>
      </c>
      <c r="CE14" s="52" t="str">
        <v/>
      </c>
      <c r="CF14" s="52">
        <v>0</v>
      </c>
      <c r="CG14" s="52" t="str">
        <v/>
      </c>
      <c r="CH14" s="52">
        <v>0</v>
      </c>
      <c r="CI14" s="52" t="str">
        <v/>
      </c>
      <c r="CJ14" s="52">
        <v>0</v>
      </c>
      <c r="CK14" s="52" t="str">
        <v/>
      </c>
      <c r="CL14" s="52">
        <v>0</v>
      </c>
      <c r="CM14" s="52" t="str">
        <v/>
      </c>
      <c r="CN14" s="52">
        <v>0</v>
      </c>
      <c r="CO14" s="52" t="str">
        <v/>
      </c>
      <c r="CP14" s="52">
        <v>0</v>
      </c>
      <c r="CQ14" s="52" t="str">
        <v/>
      </c>
      <c r="CR14" s="52">
        <v>0</v>
      </c>
      <c r="CS14" s="52" t="str">
        <v/>
      </c>
      <c r="CT14" s="52">
        <v>0</v>
      </c>
      <c r="CU14" s="52" t="str">
        <v/>
      </c>
      <c r="CV14" s="52">
        <v>0</v>
      </c>
      <c r="CW14" s="52" t="str">
        <v/>
      </c>
      <c r="CX14" s="52">
        <v>0</v>
      </c>
      <c r="CY14" s="52" t="str">
        <v/>
      </c>
      <c r="CZ14" s="52">
        <v>0</v>
      </c>
      <c r="DA14" s="52" t="str">
        <v/>
      </c>
      <c r="DB14" s="52">
        <v>0</v>
      </c>
      <c r="DC14" s="52" t="str">
        <v/>
      </c>
      <c r="DD14" s="52">
        <v>0</v>
      </c>
      <c r="DE14" s="52" t="str">
        <v/>
      </c>
      <c r="DF14" s="52">
        <v>0</v>
      </c>
      <c r="DG14" s="52" t="str">
        <v/>
      </c>
      <c r="DH14" s="52">
        <v>0</v>
      </c>
      <c r="DI14" s="52" t="str">
        <v/>
      </c>
      <c r="DJ14" s="52">
        <v>0</v>
      </c>
      <c r="DK14" s="52" t="str">
        <v/>
      </c>
      <c r="DL14" s="52">
        <v>0</v>
      </c>
      <c r="DM14" s="52" t="str">
        <v/>
      </c>
    </row>
    <row r="15" spans="1:117" x14ac:dyDescent="0.25">
      <c r="A15" s="54">
        <v>-3481.0500000000052</v>
      </c>
      <c r="B15" s="52">
        <v>0</v>
      </c>
      <c r="C15" s="52" t="str">
        <v/>
      </c>
      <c r="D15" s="52">
        <v>0</v>
      </c>
      <c r="E15" s="52" t="str">
        <v/>
      </c>
      <c r="F15" s="52">
        <v>0</v>
      </c>
      <c r="G15" s="52" t="str">
        <v/>
      </c>
      <c r="H15" s="52">
        <v>0</v>
      </c>
      <c r="I15" s="52" t="str">
        <v/>
      </c>
      <c r="J15" s="52">
        <v>0</v>
      </c>
      <c r="K15" s="52" t="str">
        <v/>
      </c>
      <c r="L15" s="52">
        <v>0</v>
      </c>
      <c r="M15" s="52" t="str">
        <v/>
      </c>
      <c r="N15" s="52">
        <v>0</v>
      </c>
      <c r="O15" s="52" t="str">
        <v/>
      </c>
      <c r="P15" s="52">
        <v>0</v>
      </c>
      <c r="Q15" s="52" t="str">
        <v/>
      </c>
      <c r="R15" s="52">
        <v>0</v>
      </c>
      <c r="S15" s="52" t="str">
        <v/>
      </c>
      <c r="T15" s="52">
        <v>0</v>
      </c>
      <c r="U15" s="52" t="str">
        <v/>
      </c>
      <c r="V15" s="52">
        <v>0</v>
      </c>
      <c r="W15" s="52" t="str">
        <v/>
      </c>
      <c r="X15" s="52">
        <v>0</v>
      </c>
      <c r="Y15" s="52" t="str">
        <v/>
      </c>
      <c r="Z15" s="52">
        <v>0</v>
      </c>
      <c r="AA15" s="52" t="str">
        <v/>
      </c>
      <c r="AB15" s="52">
        <v>0</v>
      </c>
      <c r="AC15" s="52" t="str">
        <v/>
      </c>
      <c r="AD15" s="52">
        <v>0</v>
      </c>
      <c r="AE15" s="52" t="str">
        <v/>
      </c>
      <c r="AF15" s="52">
        <v>0</v>
      </c>
      <c r="AG15" s="52" t="str">
        <v/>
      </c>
      <c r="AH15" s="52">
        <v>0</v>
      </c>
      <c r="AI15" s="52" t="str">
        <v/>
      </c>
      <c r="AJ15" s="52">
        <v>0</v>
      </c>
      <c r="AK15" s="52" t="str">
        <v/>
      </c>
      <c r="AL15" s="52">
        <v>0</v>
      </c>
      <c r="AM15" s="52" t="str">
        <v/>
      </c>
      <c r="AN15" s="52">
        <v>0</v>
      </c>
      <c r="AO15" s="52" t="str">
        <v/>
      </c>
      <c r="AP15" s="52">
        <v>0</v>
      </c>
      <c r="AQ15" s="52" t="str">
        <v/>
      </c>
      <c r="AR15" s="52">
        <v>0</v>
      </c>
      <c r="AS15" s="52" t="str">
        <v/>
      </c>
      <c r="AT15" s="52">
        <v>0</v>
      </c>
      <c r="AU15" s="52" t="str">
        <v/>
      </c>
      <c r="AV15" s="52">
        <v>0</v>
      </c>
      <c r="AW15" s="52" t="str">
        <v/>
      </c>
      <c r="AX15" s="52">
        <v>0</v>
      </c>
      <c r="AY15" s="52" t="str">
        <v/>
      </c>
      <c r="AZ15" s="52">
        <v>0</v>
      </c>
      <c r="BA15" s="52" t="str">
        <v/>
      </c>
      <c r="BB15" s="52">
        <v>0</v>
      </c>
      <c r="BC15" s="52" t="str">
        <v/>
      </c>
      <c r="BD15" s="52">
        <v>0</v>
      </c>
      <c r="BE15" s="52" t="str">
        <v/>
      </c>
      <c r="BF15" s="52">
        <v>0</v>
      </c>
      <c r="BG15" s="52" t="str">
        <v/>
      </c>
      <c r="BH15" s="52">
        <v>0</v>
      </c>
      <c r="BI15" s="52" t="str">
        <v/>
      </c>
      <c r="BJ15" s="52">
        <v>0</v>
      </c>
      <c r="BK15" s="52" t="str">
        <v/>
      </c>
      <c r="BL15" s="52">
        <v>0</v>
      </c>
      <c r="BM15" s="52" t="str">
        <v/>
      </c>
      <c r="BN15" s="52">
        <v>0</v>
      </c>
      <c r="BO15" s="52" t="str">
        <v/>
      </c>
      <c r="BP15" s="52">
        <v>0</v>
      </c>
      <c r="BQ15" s="52" t="str">
        <v/>
      </c>
      <c r="BR15" s="52">
        <v>0</v>
      </c>
      <c r="BS15" s="52" t="str">
        <v/>
      </c>
      <c r="BT15" s="52">
        <v>0</v>
      </c>
      <c r="BU15" s="52" t="str">
        <v/>
      </c>
      <c r="BV15" s="52">
        <v>0</v>
      </c>
      <c r="BW15" s="52" t="str">
        <v/>
      </c>
      <c r="BX15" s="52">
        <v>0</v>
      </c>
      <c r="BY15" s="52" t="str">
        <v/>
      </c>
      <c r="BZ15" s="52">
        <v>0</v>
      </c>
      <c r="CA15" s="52" t="str">
        <v/>
      </c>
      <c r="CB15" s="52">
        <v>0</v>
      </c>
      <c r="CC15" s="52" t="str">
        <v/>
      </c>
      <c r="CD15" s="52">
        <v>0</v>
      </c>
      <c r="CE15" s="52" t="str">
        <v/>
      </c>
      <c r="CF15" s="52">
        <v>0</v>
      </c>
      <c r="CG15" s="52" t="str">
        <v/>
      </c>
      <c r="CH15" s="52">
        <v>0</v>
      </c>
      <c r="CI15" s="52" t="str">
        <v/>
      </c>
      <c r="CJ15" s="52">
        <v>0</v>
      </c>
      <c r="CK15" s="52" t="str">
        <v/>
      </c>
      <c r="CL15" s="52">
        <v>0</v>
      </c>
      <c r="CM15" s="52" t="str">
        <v/>
      </c>
      <c r="CN15" s="52">
        <v>0</v>
      </c>
      <c r="CO15" s="52" t="str">
        <v/>
      </c>
      <c r="CP15" s="52">
        <v>0</v>
      </c>
      <c r="CQ15" s="52" t="str">
        <v/>
      </c>
      <c r="CR15" s="52">
        <v>0</v>
      </c>
      <c r="CS15" s="52" t="str">
        <v/>
      </c>
      <c r="CT15" s="52">
        <v>0</v>
      </c>
      <c r="CU15" s="52" t="str">
        <v/>
      </c>
      <c r="CV15" s="52">
        <v>0</v>
      </c>
      <c r="CW15" s="52" t="str">
        <v/>
      </c>
      <c r="CX15" s="52">
        <v>0</v>
      </c>
      <c r="CY15" s="52" t="str">
        <v/>
      </c>
      <c r="CZ15" s="52">
        <v>0</v>
      </c>
      <c r="DA15" s="52" t="str">
        <v/>
      </c>
      <c r="DB15" s="52">
        <v>0</v>
      </c>
      <c r="DC15" s="52" t="str">
        <v/>
      </c>
      <c r="DD15" s="52">
        <v>0</v>
      </c>
      <c r="DE15" s="52" t="str">
        <v/>
      </c>
      <c r="DF15" s="52">
        <v>0</v>
      </c>
      <c r="DG15" s="52" t="str">
        <v/>
      </c>
      <c r="DH15" s="52">
        <v>0</v>
      </c>
      <c r="DI15" s="52" t="str">
        <v/>
      </c>
      <c r="DJ15" s="52">
        <v>0</v>
      </c>
      <c r="DK15" s="52" t="str">
        <v/>
      </c>
      <c r="DL15" s="52">
        <v>0</v>
      </c>
      <c r="DM15" s="52" t="str">
        <v/>
      </c>
    </row>
    <row r="16" spans="1:117" x14ac:dyDescent="0.25">
      <c r="A16" s="54">
        <v>-3441.9000000000051</v>
      </c>
      <c r="B16" s="52">
        <v>0</v>
      </c>
      <c r="C16" s="52" t="str">
        <v/>
      </c>
      <c r="D16" s="52">
        <v>0</v>
      </c>
      <c r="E16" s="52" t="str">
        <v/>
      </c>
      <c r="F16" s="52">
        <v>0</v>
      </c>
      <c r="G16" s="52" t="str">
        <v/>
      </c>
      <c r="H16" s="52">
        <v>0</v>
      </c>
      <c r="I16" s="52" t="str">
        <v/>
      </c>
      <c r="J16" s="52">
        <v>0</v>
      </c>
      <c r="K16" s="52" t="str">
        <v/>
      </c>
      <c r="L16" s="52">
        <v>0</v>
      </c>
      <c r="M16" s="52" t="str">
        <v/>
      </c>
      <c r="N16" s="52">
        <v>0</v>
      </c>
      <c r="O16" s="52" t="str">
        <v/>
      </c>
      <c r="P16" s="52">
        <v>0</v>
      </c>
      <c r="Q16" s="52" t="str">
        <v/>
      </c>
      <c r="R16" s="52">
        <v>0</v>
      </c>
      <c r="S16" s="52" t="str">
        <v/>
      </c>
      <c r="T16" s="52">
        <v>0</v>
      </c>
      <c r="U16" s="52" t="str">
        <v/>
      </c>
      <c r="V16" s="52">
        <v>0</v>
      </c>
      <c r="W16" s="52" t="str">
        <v/>
      </c>
      <c r="X16" s="52">
        <v>0</v>
      </c>
      <c r="Y16" s="52" t="str">
        <v/>
      </c>
      <c r="Z16" s="52">
        <v>0</v>
      </c>
      <c r="AA16" s="52" t="str">
        <v/>
      </c>
      <c r="AB16" s="52">
        <v>0</v>
      </c>
      <c r="AC16" s="52" t="str">
        <v/>
      </c>
      <c r="AD16" s="52">
        <v>0</v>
      </c>
      <c r="AE16" s="52" t="str">
        <v/>
      </c>
      <c r="AF16" s="52">
        <v>0</v>
      </c>
      <c r="AG16" s="52" t="str">
        <v/>
      </c>
      <c r="AH16" s="52">
        <v>0</v>
      </c>
      <c r="AI16" s="52" t="str">
        <v/>
      </c>
      <c r="AJ16" s="52">
        <v>0</v>
      </c>
      <c r="AK16" s="52" t="str">
        <v/>
      </c>
      <c r="AL16" s="52">
        <v>0</v>
      </c>
      <c r="AM16" s="52" t="str">
        <v/>
      </c>
      <c r="AN16" s="52">
        <v>0</v>
      </c>
      <c r="AO16" s="52" t="str">
        <v/>
      </c>
      <c r="AP16" s="52">
        <v>0</v>
      </c>
      <c r="AQ16" s="52" t="str">
        <v/>
      </c>
      <c r="AR16" s="52">
        <v>0</v>
      </c>
      <c r="AS16" s="52" t="str">
        <v/>
      </c>
      <c r="AT16" s="52">
        <v>0</v>
      </c>
      <c r="AU16" s="52" t="str">
        <v/>
      </c>
      <c r="AV16" s="52">
        <v>0</v>
      </c>
      <c r="AW16" s="52" t="str">
        <v/>
      </c>
      <c r="AX16" s="52">
        <v>0</v>
      </c>
      <c r="AY16" s="52" t="str">
        <v/>
      </c>
      <c r="AZ16" s="52">
        <v>0</v>
      </c>
      <c r="BA16" s="52" t="str">
        <v/>
      </c>
      <c r="BB16" s="52">
        <v>0</v>
      </c>
      <c r="BC16" s="52" t="str">
        <v/>
      </c>
      <c r="BD16" s="52">
        <v>0</v>
      </c>
      <c r="BE16" s="52" t="str">
        <v/>
      </c>
      <c r="BF16" s="52">
        <v>0</v>
      </c>
      <c r="BG16" s="52" t="str">
        <v/>
      </c>
      <c r="BH16" s="52">
        <v>0</v>
      </c>
      <c r="BI16" s="52" t="str">
        <v/>
      </c>
      <c r="BJ16" s="52">
        <v>0</v>
      </c>
      <c r="BK16" s="52" t="str">
        <v/>
      </c>
      <c r="BL16" s="52">
        <v>0</v>
      </c>
      <c r="BM16" s="52" t="str">
        <v/>
      </c>
      <c r="BN16" s="52">
        <v>0</v>
      </c>
      <c r="BO16" s="52" t="str">
        <v/>
      </c>
      <c r="BP16" s="52">
        <v>0</v>
      </c>
      <c r="BQ16" s="52" t="str">
        <v/>
      </c>
      <c r="BR16" s="52">
        <v>0</v>
      </c>
      <c r="BS16" s="52" t="str">
        <v/>
      </c>
      <c r="BT16" s="52">
        <v>0</v>
      </c>
      <c r="BU16" s="52" t="str">
        <v/>
      </c>
      <c r="BV16" s="52">
        <v>0</v>
      </c>
      <c r="BW16" s="52" t="str">
        <v/>
      </c>
      <c r="BX16" s="52">
        <v>0</v>
      </c>
      <c r="BY16" s="52" t="str">
        <v/>
      </c>
      <c r="BZ16" s="52">
        <v>0</v>
      </c>
      <c r="CA16" s="52" t="str">
        <v/>
      </c>
      <c r="CB16" s="52">
        <v>0</v>
      </c>
      <c r="CC16" s="52" t="str">
        <v/>
      </c>
      <c r="CD16" s="52">
        <v>0</v>
      </c>
      <c r="CE16" s="52" t="str">
        <v/>
      </c>
      <c r="CF16" s="52">
        <v>0</v>
      </c>
      <c r="CG16" s="52" t="str">
        <v/>
      </c>
      <c r="CH16" s="52">
        <v>0</v>
      </c>
      <c r="CI16" s="52" t="str">
        <v/>
      </c>
      <c r="CJ16" s="52">
        <v>0</v>
      </c>
      <c r="CK16" s="52" t="str">
        <v/>
      </c>
      <c r="CL16" s="52">
        <v>0</v>
      </c>
      <c r="CM16" s="52" t="str">
        <v/>
      </c>
      <c r="CN16" s="52">
        <v>0</v>
      </c>
      <c r="CO16" s="52" t="str">
        <v/>
      </c>
      <c r="CP16" s="52">
        <v>0</v>
      </c>
      <c r="CQ16" s="52" t="str">
        <v/>
      </c>
      <c r="CR16" s="52">
        <v>0</v>
      </c>
      <c r="CS16" s="52" t="str">
        <v/>
      </c>
      <c r="CT16" s="52">
        <v>0</v>
      </c>
      <c r="CU16" s="52" t="str">
        <v/>
      </c>
      <c r="CV16" s="52">
        <v>0</v>
      </c>
      <c r="CW16" s="52" t="str">
        <v/>
      </c>
      <c r="CX16" s="52">
        <v>0</v>
      </c>
      <c r="CY16" s="52" t="str">
        <v/>
      </c>
      <c r="CZ16" s="52">
        <v>0</v>
      </c>
      <c r="DA16" s="52" t="str">
        <v/>
      </c>
      <c r="DB16" s="52">
        <v>0</v>
      </c>
      <c r="DC16" s="52" t="str">
        <v/>
      </c>
      <c r="DD16" s="52">
        <v>0</v>
      </c>
      <c r="DE16" s="52" t="str">
        <v/>
      </c>
      <c r="DF16" s="52">
        <v>0</v>
      </c>
      <c r="DG16" s="52" t="str">
        <v/>
      </c>
      <c r="DH16" s="52">
        <v>0</v>
      </c>
      <c r="DI16" s="52" t="str">
        <v/>
      </c>
      <c r="DJ16" s="52">
        <v>0</v>
      </c>
      <c r="DK16" s="52" t="str">
        <v/>
      </c>
      <c r="DL16" s="52">
        <v>0</v>
      </c>
      <c r="DM16" s="52" t="str">
        <v/>
      </c>
    </row>
    <row r="17" spans="1:117" x14ac:dyDescent="0.25">
      <c r="A17" s="54">
        <v>-3402.750000000005</v>
      </c>
      <c r="B17" s="52">
        <v>0</v>
      </c>
      <c r="C17" s="52" t="str">
        <v/>
      </c>
      <c r="D17" s="52">
        <v>0</v>
      </c>
      <c r="E17" s="52" t="str">
        <v/>
      </c>
      <c r="F17" s="52">
        <v>0</v>
      </c>
      <c r="G17" s="52" t="str">
        <v/>
      </c>
      <c r="H17" s="52">
        <v>0</v>
      </c>
      <c r="I17" s="52" t="str">
        <v/>
      </c>
      <c r="J17" s="52">
        <v>0</v>
      </c>
      <c r="K17" s="52" t="str">
        <v/>
      </c>
      <c r="L17" s="52">
        <v>0</v>
      </c>
      <c r="M17" s="52" t="str">
        <v/>
      </c>
      <c r="N17" s="52">
        <v>0</v>
      </c>
      <c r="O17" s="52" t="str">
        <v/>
      </c>
      <c r="P17" s="52">
        <v>0</v>
      </c>
      <c r="Q17" s="52" t="str">
        <v/>
      </c>
      <c r="R17" s="52">
        <v>0</v>
      </c>
      <c r="S17" s="52" t="str">
        <v/>
      </c>
      <c r="T17" s="52">
        <v>0</v>
      </c>
      <c r="U17" s="52" t="str">
        <v/>
      </c>
      <c r="V17" s="52">
        <v>0</v>
      </c>
      <c r="W17" s="52" t="str">
        <v/>
      </c>
      <c r="X17" s="52">
        <v>0</v>
      </c>
      <c r="Y17" s="52" t="str">
        <v/>
      </c>
      <c r="Z17" s="52">
        <v>0</v>
      </c>
      <c r="AA17" s="52" t="str">
        <v/>
      </c>
      <c r="AB17" s="52">
        <v>0</v>
      </c>
      <c r="AC17" s="52" t="str">
        <v/>
      </c>
      <c r="AD17" s="52">
        <v>0</v>
      </c>
      <c r="AE17" s="52" t="str">
        <v/>
      </c>
      <c r="AF17" s="52">
        <v>0</v>
      </c>
      <c r="AG17" s="52" t="str">
        <v/>
      </c>
      <c r="AH17" s="52">
        <v>0</v>
      </c>
      <c r="AI17" s="52" t="str">
        <v/>
      </c>
      <c r="AJ17" s="52">
        <v>0</v>
      </c>
      <c r="AK17" s="52" t="str">
        <v/>
      </c>
      <c r="AL17" s="52">
        <v>0</v>
      </c>
      <c r="AM17" s="52" t="str">
        <v/>
      </c>
      <c r="AN17" s="52">
        <v>0</v>
      </c>
      <c r="AO17" s="52" t="str">
        <v/>
      </c>
      <c r="AP17" s="52">
        <v>0</v>
      </c>
      <c r="AQ17" s="52" t="str">
        <v/>
      </c>
      <c r="AR17" s="52">
        <v>0</v>
      </c>
      <c r="AS17" s="52" t="str">
        <v/>
      </c>
      <c r="AT17" s="52">
        <v>0</v>
      </c>
      <c r="AU17" s="52" t="str">
        <v/>
      </c>
      <c r="AV17" s="52">
        <v>0</v>
      </c>
      <c r="AW17" s="52" t="str">
        <v/>
      </c>
      <c r="AX17" s="52">
        <v>0</v>
      </c>
      <c r="AY17" s="52" t="str">
        <v/>
      </c>
      <c r="AZ17" s="52">
        <v>0</v>
      </c>
      <c r="BA17" s="52" t="str">
        <v/>
      </c>
      <c r="BB17" s="52">
        <v>0</v>
      </c>
      <c r="BC17" s="52" t="str">
        <v/>
      </c>
      <c r="BD17" s="52">
        <v>0</v>
      </c>
      <c r="BE17" s="52" t="str">
        <v/>
      </c>
      <c r="BF17" s="52">
        <v>0</v>
      </c>
      <c r="BG17" s="52" t="str">
        <v/>
      </c>
      <c r="BH17" s="52">
        <v>0</v>
      </c>
      <c r="BI17" s="52" t="str">
        <v/>
      </c>
      <c r="BJ17" s="52">
        <v>0</v>
      </c>
      <c r="BK17" s="52" t="str">
        <v/>
      </c>
      <c r="BL17" s="52">
        <v>0</v>
      </c>
      <c r="BM17" s="52" t="str">
        <v/>
      </c>
      <c r="BN17" s="52">
        <v>0</v>
      </c>
      <c r="BO17" s="52" t="str">
        <v/>
      </c>
      <c r="BP17" s="52">
        <v>0</v>
      </c>
      <c r="BQ17" s="52" t="str">
        <v/>
      </c>
      <c r="BR17" s="52">
        <v>0</v>
      </c>
      <c r="BS17" s="52" t="str">
        <v/>
      </c>
      <c r="BT17" s="52">
        <v>0</v>
      </c>
      <c r="BU17" s="52" t="str">
        <v/>
      </c>
      <c r="BV17" s="52">
        <v>0</v>
      </c>
      <c r="BW17" s="52" t="str">
        <v/>
      </c>
      <c r="BX17" s="52">
        <v>0</v>
      </c>
      <c r="BY17" s="52" t="str">
        <v/>
      </c>
      <c r="BZ17" s="52">
        <v>0</v>
      </c>
      <c r="CA17" s="52" t="str">
        <v/>
      </c>
      <c r="CB17" s="52">
        <v>0</v>
      </c>
      <c r="CC17" s="52" t="str">
        <v/>
      </c>
      <c r="CD17" s="52">
        <v>0</v>
      </c>
      <c r="CE17" s="52" t="str">
        <v/>
      </c>
      <c r="CF17" s="52">
        <v>0</v>
      </c>
      <c r="CG17" s="52" t="str">
        <v/>
      </c>
      <c r="CH17" s="52">
        <v>0</v>
      </c>
      <c r="CI17" s="52" t="str">
        <v/>
      </c>
      <c r="CJ17" s="52">
        <v>0</v>
      </c>
      <c r="CK17" s="52" t="str">
        <v/>
      </c>
      <c r="CL17" s="52">
        <v>0</v>
      </c>
      <c r="CM17" s="52" t="str">
        <v/>
      </c>
      <c r="CN17" s="52">
        <v>0</v>
      </c>
      <c r="CO17" s="52" t="str">
        <v/>
      </c>
      <c r="CP17" s="52">
        <v>0</v>
      </c>
      <c r="CQ17" s="52" t="str">
        <v/>
      </c>
      <c r="CR17" s="52">
        <v>0</v>
      </c>
      <c r="CS17" s="52" t="str">
        <v/>
      </c>
      <c r="CT17" s="52">
        <v>0</v>
      </c>
      <c r="CU17" s="52" t="str">
        <v/>
      </c>
      <c r="CV17" s="52">
        <v>0</v>
      </c>
      <c r="CW17" s="52" t="str">
        <v/>
      </c>
      <c r="CX17" s="52">
        <v>0</v>
      </c>
      <c r="CY17" s="52" t="str">
        <v/>
      </c>
      <c r="CZ17" s="52">
        <v>0</v>
      </c>
      <c r="DA17" s="52" t="str">
        <v/>
      </c>
      <c r="DB17" s="52">
        <v>0</v>
      </c>
      <c r="DC17" s="52" t="str">
        <v/>
      </c>
      <c r="DD17" s="52">
        <v>0</v>
      </c>
      <c r="DE17" s="52" t="str">
        <v/>
      </c>
      <c r="DF17" s="52">
        <v>0</v>
      </c>
      <c r="DG17" s="52" t="str">
        <v/>
      </c>
      <c r="DH17" s="52">
        <v>0</v>
      </c>
      <c r="DI17" s="52" t="str">
        <v/>
      </c>
      <c r="DJ17" s="52">
        <v>0</v>
      </c>
      <c r="DK17" s="52" t="str">
        <v/>
      </c>
      <c r="DL17" s="52">
        <v>0</v>
      </c>
      <c r="DM17" s="52" t="str">
        <v/>
      </c>
    </row>
    <row r="18" spans="1:117" x14ac:dyDescent="0.25">
      <c r="A18" s="54">
        <v>-3363.6000000000049</v>
      </c>
      <c r="B18" s="52">
        <v>0</v>
      </c>
      <c r="C18" s="52" t="str">
        <v/>
      </c>
      <c r="D18" s="52">
        <v>0</v>
      </c>
      <c r="E18" s="52" t="str">
        <v/>
      </c>
      <c r="F18" s="52">
        <v>0</v>
      </c>
      <c r="G18" s="52" t="str">
        <v/>
      </c>
      <c r="H18" s="52">
        <v>0</v>
      </c>
      <c r="I18" s="52" t="str">
        <v/>
      </c>
      <c r="J18" s="52">
        <v>0</v>
      </c>
      <c r="K18" s="52" t="str">
        <v/>
      </c>
      <c r="L18" s="52">
        <v>0</v>
      </c>
      <c r="M18" s="52" t="str">
        <v/>
      </c>
      <c r="N18" s="52">
        <v>0</v>
      </c>
      <c r="O18" s="52" t="str">
        <v/>
      </c>
      <c r="P18" s="52">
        <v>0</v>
      </c>
      <c r="Q18" s="52" t="str">
        <v/>
      </c>
      <c r="R18" s="52">
        <v>0</v>
      </c>
      <c r="S18" s="52" t="str">
        <v/>
      </c>
      <c r="T18" s="52">
        <v>0</v>
      </c>
      <c r="U18" s="52" t="str">
        <v/>
      </c>
      <c r="V18" s="52">
        <v>0</v>
      </c>
      <c r="W18" s="52" t="str">
        <v/>
      </c>
      <c r="X18" s="52">
        <v>0</v>
      </c>
      <c r="Y18" s="52" t="str">
        <v/>
      </c>
      <c r="Z18" s="52">
        <v>0</v>
      </c>
      <c r="AA18" s="52" t="str">
        <v/>
      </c>
      <c r="AB18" s="52">
        <v>0</v>
      </c>
      <c r="AC18" s="52" t="str">
        <v/>
      </c>
      <c r="AD18" s="52">
        <v>0</v>
      </c>
      <c r="AE18" s="52" t="str">
        <v/>
      </c>
      <c r="AF18" s="52">
        <v>0</v>
      </c>
      <c r="AG18" s="52" t="str">
        <v/>
      </c>
      <c r="AH18" s="52">
        <v>0</v>
      </c>
      <c r="AI18" s="52" t="str">
        <v/>
      </c>
      <c r="AJ18" s="52">
        <v>0</v>
      </c>
      <c r="AK18" s="52" t="str">
        <v/>
      </c>
      <c r="AL18" s="52">
        <v>0</v>
      </c>
      <c r="AM18" s="52" t="str">
        <v/>
      </c>
      <c r="AN18" s="52">
        <v>0</v>
      </c>
      <c r="AO18" s="52" t="str">
        <v/>
      </c>
      <c r="AP18" s="52">
        <v>0</v>
      </c>
      <c r="AQ18" s="52" t="str">
        <v/>
      </c>
      <c r="AR18" s="52">
        <v>0</v>
      </c>
      <c r="AS18" s="52" t="str">
        <v/>
      </c>
      <c r="AT18" s="52">
        <v>0</v>
      </c>
      <c r="AU18" s="52" t="str">
        <v/>
      </c>
      <c r="AV18" s="52">
        <v>0</v>
      </c>
      <c r="AW18" s="52" t="str">
        <v/>
      </c>
      <c r="AX18" s="52">
        <v>0</v>
      </c>
      <c r="AY18" s="52" t="str">
        <v/>
      </c>
      <c r="AZ18" s="52">
        <v>0</v>
      </c>
      <c r="BA18" s="52" t="str">
        <v/>
      </c>
      <c r="BB18" s="52">
        <v>0</v>
      </c>
      <c r="BC18" s="52" t="str">
        <v/>
      </c>
      <c r="BD18" s="52">
        <v>0</v>
      </c>
      <c r="BE18" s="52" t="str">
        <v/>
      </c>
      <c r="BF18" s="52">
        <v>0</v>
      </c>
      <c r="BG18" s="52" t="str">
        <v/>
      </c>
      <c r="BH18" s="52">
        <v>0</v>
      </c>
      <c r="BI18" s="52" t="str">
        <v/>
      </c>
      <c r="BJ18" s="52">
        <v>0</v>
      </c>
      <c r="BK18" s="52" t="str">
        <v/>
      </c>
      <c r="BL18" s="52">
        <v>0</v>
      </c>
      <c r="BM18" s="52" t="str">
        <v/>
      </c>
      <c r="BN18" s="52">
        <v>0</v>
      </c>
      <c r="BO18" s="52" t="str">
        <v/>
      </c>
      <c r="BP18" s="52">
        <v>0</v>
      </c>
      <c r="BQ18" s="52" t="str">
        <v/>
      </c>
      <c r="BR18" s="52">
        <v>0</v>
      </c>
      <c r="BS18" s="52" t="str">
        <v/>
      </c>
      <c r="BT18" s="52">
        <v>0</v>
      </c>
      <c r="BU18" s="52" t="str">
        <v/>
      </c>
      <c r="BV18" s="52">
        <v>0</v>
      </c>
      <c r="BW18" s="52" t="str">
        <v/>
      </c>
      <c r="BX18" s="52">
        <v>0</v>
      </c>
      <c r="BY18" s="52" t="str">
        <v/>
      </c>
      <c r="BZ18" s="52">
        <v>0</v>
      </c>
      <c r="CA18" s="52" t="str">
        <v/>
      </c>
      <c r="CB18" s="52">
        <v>0</v>
      </c>
      <c r="CC18" s="52" t="str">
        <v/>
      </c>
      <c r="CD18" s="52">
        <v>0</v>
      </c>
      <c r="CE18" s="52" t="str">
        <v/>
      </c>
      <c r="CF18" s="52">
        <v>0</v>
      </c>
      <c r="CG18" s="52" t="str">
        <v/>
      </c>
      <c r="CH18" s="52">
        <v>0</v>
      </c>
      <c r="CI18" s="52" t="str">
        <v/>
      </c>
      <c r="CJ18" s="52">
        <v>0</v>
      </c>
      <c r="CK18" s="52" t="str">
        <v/>
      </c>
      <c r="CL18" s="52">
        <v>0</v>
      </c>
      <c r="CM18" s="52" t="str">
        <v/>
      </c>
      <c r="CN18" s="52">
        <v>0</v>
      </c>
      <c r="CO18" s="52" t="str">
        <v/>
      </c>
      <c r="CP18" s="52">
        <v>0</v>
      </c>
      <c r="CQ18" s="52" t="str">
        <v/>
      </c>
      <c r="CR18" s="52">
        <v>0</v>
      </c>
      <c r="CS18" s="52" t="str">
        <v/>
      </c>
      <c r="CT18" s="52">
        <v>0</v>
      </c>
      <c r="CU18" s="52" t="str">
        <v/>
      </c>
      <c r="CV18" s="52">
        <v>0</v>
      </c>
      <c r="CW18" s="52" t="str">
        <v/>
      </c>
      <c r="CX18" s="52">
        <v>0</v>
      </c>
      <c r="CY18" s="52" t="str">
        <v/>
      </c>
      <c r="CZ18" s="52">
        <v>0</v>
      </c>
      <c r="DA18" s="52" t="str">
        <v/>
      </c>
      <c r="DB18" s="52">
        <v>0</v>
      </c>
      <c r="DC18" s="52" t="str">
        <v/>
      </c>
      <c r="DD18" s="52">
        <v>0</v>
      </c>
      <c r="DE18" s="52" t="str">
        <v/>
      </c>
      <c r="DF18" s="52">
        <v>0</v>
      </c>
      <c r="DG18" s="52" t="str">
        <v/>
      </c>
      <c r="DH18" s="52">
        <v>0</v>
      </c>
      <c r="DI18" s="52" t="str">
        <v/>
      </c>
      <c r="DJ18" s="52">
        <v>0</v>
      </c>
      <c r="DK18" s="52" t="str">
        <v/>
      </c>
      <c r="DL18" s="52">
        <v>0</v>
      </c>
      <c r="DM18" s="52" t="str">
        <v/>
      </c>
    </row>
    <row r="19" spans="1:117" x14ac:dyDescent="0.25">
      <c r="A19" s="54">
        <v>-3324.4500000000048</v>
      </c>
      <c r="B19" s="52">
        <v>0</v>
      </c>
      <c r="C19" s="52" t="str">
        <v/>
      </c>
      <c r="D19" s="52">
        <v>0</v>
      </c>
      <c r="E19" s="52" t="str">
        <v/>
      </c>
      <c r="F19" s="52">
        <v>0</v>
      </c>
      <c r="G19" s="52" t="str">
        <v/>
      </c>
      <c r="H19" s="52">
        <v>0</v>
      </c>
      <c r="I19" s="52" t="str">
        <v/>
      </c>
      <c r="J19" s="52">
        <v>0</v>
      </c>
      <c r="K19" s="52" t="str">
        <v/>
      </c>
      <c r="L19" s="52">
        <v>0</v>
      </c>
      <c r="M19" s="52" t="str">
        <v/>
      </c>
      <c r="N19" s="52">
        <v>0</v>
      </c>
      <c r="O19" s="52" t="str">
        <v/>
      </c>
      <c r="P19" s="52">
        <v>0</v>
      </c>
      <c r="Q19" s="52" t="str">
        <v/>
      </c>
      <c r="R19" s="52">
        <v>0</v>
      </c>
      <c r="S19" s="52" t="str">
        <v/>
      </c>
      <c r="T19" s="52">
        <v>0</v>
      </c>
      <c r="U19" s="52" t="str">
        <v/>
      </c>
      <c r="V19" s="52">
        <v>0</v>
      </c>
      <c r="W19" s="52" t="str">
        <v/>
      </c>
      <c r="X19" s="52">
        <v>0</v>
      </c>
      <c r="Y19" s="52" t="str">
        <v/>
      </c>
      <c r="Z19" s="52">
        <v>0</v>
      </c>
      <c r="AA19" s="52" t="str">
        <v/>
      </c>
      <c r="AB19" s="52">
        <v>0</v>
      </c>
      <c r="AC19" s="52" t="str">
        <v/>
      </c>
      <c r="AD19" s="52">
        <v>0</v>
      </c>
      <c r="AE19" s="52" t="str">
        <v/>
      </c>
      <c r="AF19" s="52">
        <v>0</v>
      </c>
      <c r="AG19" s="52" t="str">
        <v/>
      </c>
      <c r="AH19" s="52">
        <v>0</v>
      </c>
      <c r="AI19" s="52" t="str">
        <v/>
      </c>
      <c r="AJ19" s="52">
        <v>0</v>
      </c>
      <c r="AK19" s="52" t="str">
        <v/>
      </c>
      <c r="AL19" s="52">
        <v>0</v>
      </c>
      <c r="AM19" s="52" t="str">
        <v/>
      </c>
      <c r="AN19" s="52">
        <v>0</v>
      </c>
      <c r="AO19" s="52" t="str">
        <v/>
      </c>
      <c r="AP19" s="52">
        <v>0</v>
      </c>
      <c r="AQ19" s="52" t="str">
        <v/>
      </c>
      <c r="AR19" s="52">
        <v>0</v>
      </c>
      <c r="AS19" s="52" t="str">
        <v/>
      </c>
      <c r="AT19" s="52">
        <v>0</v>
      </c>
      <c r="AU19" s="52" t="str">
        <v/>
      </c>
      <c r="AV19" s="52">
        <v>0</v>
      </c>
      <c r="AW19" s="52" t="str">
        <v/>
      </c>
      <c r="AX19" s="52">
        <v>0</v>
      </c>
      <c r="AY19" s="52" t="str">
        <v/>
      </c>
      <c r="AZ19" s="52">
        <v>0</v>
      </c>
      <c r="BA19" s="52" t="str">
        <v/>
      </c>
      <c r="BB19" s="52">
        <v>0</v>
      </c>
      <c r="BC19" s="52" t="str">
        <v/>
      </c>
      <c r="BD19" s="52">
        <v>0</v>
      </c>
      <c r="BE19" s="52" t="str">
        <v/>
      </c>
      <c r="BF19" s="52">
        <v>0</v>
      </c>
      <c r="BG19" s="52" t="str">
        <v/>
      </c>
      <c r="BH19" s="52">
        <v>0</v>
      </c>
      <c r="BI19" s="52" t="str">
        <v/>
      </c>
      <c r="BJ19" s="52">
        <v>0</v>
      </c>
      <c r="BK19" s="52" t="str">
        <v/>
      </c>
      <c r="BL19" s="52">
        <v>0</v>
      </c>
      <c r="BM19" s="52" t="str">
        <v/>
      </c>
      <c r="BN19" s="52">
        <v>0</v>
      </c>
      <c r="BO19" s="52" t="str">
        <v/>
      </c>
      <c r="BP19" s="52">
        <v>0</v>
      </c>
      <c r="BQ19" s="52" t="str">
        <v/>
      </c>
      <c r="BR19" s="52">
        <v>0</v>
      </c>
      <c r="BS19" s="52" t="str">
        <v/>
      </c>
      <c r="BT19" s="52">
        <v>0</v>
      </c>
      <c r="BU19" s="52" t="str">
        <v/>
      </c>
      <c r="BV19" s="52">
        <v>0</v>
      </c>
      <c r="BW19" s="52" t="str">
        <v/>
      </c>
      <c r="BX19" s="52">
        <v>0</v>
      </c>
      <c r="BY19" s="52" t="str">
        <v/>
      </c>
      <c r="BZ19" s="52">
        <v>0</v>
      </c>
      <c r="CA19" s="52" t="str">
        <v/>
      </c>
      <c r="CB19" s="52">
        <v>0</v>
      </c>
      <c r="CC19" s="52" t="str">
        <v/>
      </c>
      <c r="CD19" s="52">
        <v>0</v>
      </c>
      <c r="CE19" s="52" t="str">
        <v/>
      </c>
      <c r="CF19" s="52">
        <v>0</v>
      </c>
      <c r="CG19" s="52" t="str">
        <v/>
      </c>
      <c r="CH19" s="52">
        <v>0</v>
      </c>
      <c r="CI19" s="52" t="str">
        <v/>
      </c>
      <c r="CJ19" s="52">
        <v>0</v>
      </c>
      <c r="CK19" s="52" t="str">
        <v/>
      </c>
      <c r="CL19" s="52">
        <v>0</v>
      </c>
      <c r="CM19" s="52" t="str">
        <v/>
      </c>
      <c r="CN19" s="52">
        <v>0</v>
      </c>
      <c r="CO19" s="52" t="str">
        <v/>
      </c>
      <c r="CP19" s="52">
        <v>0</v>
      </c>
      <c r="CQ19" s="52" t="str">
        <v/>
      </c>
      <c r="CR19" s="52">
        <v>0</v>
      </c>
      <c r="CS19" s="52" t="str">
        <v/>
      </c>
      <c r="CT19" s="52">
        <v>0</v>
      </c>
      <c r="CU19" s="52" t="str">
        <v/>
      </c>
      <c r="CV19" s="52">
        <v>0</v>
      </c>
      <c r="CW19" s="52" t="str">
        <v/>
      </c>
      <c r="CX19" s="52">
        <v>0</v>
      </c>
      <c r="CY19" s="52" t="str">
        <v/>
      </c>
      <c r="CZ19" s="52">
        <v>0</v>
      </c>
      <c r="DA19" s="52" t="str">
        <v/>
      </c>
      <c r="DB19" s="52">
        <v>0</v>
      </c>
      <c r="DC19" s="52" t="str">
        <v/>
      </c>
      <c r="DD19" s="52">
        <v>0</v>
      </c>
      <c r="DE19" s="52" t="str">
        <v/>
      </c>
      <c r="DF19" s="52">
        <v>0</v>
      </c>
      <c r="DG19" s="52" t="str">
        <v/>
      </c>
      <c r="DH19" s="52">
        <v>0</v>
      </c>
      <c r="DI19" s="52" t="str">
        <v/>
      </c>
      <c r="DJ19" s="52">
        <v>0</v>
      </c>
      <c r="DK19" s="52" t="str">
        <v/>
      </c>
      <c r="DL19" s="52">
        <v>0</v>
      </c>
      <c r="DM19" s="52" t="str">
        <v/>
      </c>
    </row>
    <row r="20" spans="1:117" x14ac:dyDescent="0.25">
      <c r="A20" s="54">
        <v>-3285.3000000000047</v>
      </c>
      <c r="B20" s="52">
        <v>0</v>
      </c>
      <c r="C20" s="52" t="str">
        <v/>
      </c>
      <c r="D20" s="52">
        <v>0</v>
      </c>
      <c r="E20" s="52" t="str">
        <v/>
      </c>
      <c r="F20" s="52">
        <v>0</v>
      </c>
      <c r="G20" s="52" t="str">
        <v/>
      </c>
      <c r="H20" s="52">
        <v>0</v>
      </c>
      <c r="I20" s="52" t="str">
        <v/>
      </c>
      <c r="J20" s="52">
        <v>0</v>
      </c>
      <c r="K20" s="52" t="str">
        <v/>
      </c>
      <c r="L20" s="52">
        <v>0</v>
      </c>
      <c r="M20" s="52" t="str">
        <v/>
      </c>
      <c r="N20" s="52">
        <v>0</v>
      </c>
      <c r="O20" s="52" t="str">
        <v/>
      </c>
      <c r="P20" s="52">
        <v>0</v>
      </c>
      <c r="Q20" s="52" t="str">
        <v/>
      </c>
      <c r="R20" s="52">
        <v>0</v>
      </c>
      <c r="S20" s="52" t="str">
        <v/>
      </c>
      <c r="T20" s="52">
        <v>0</v>
      </c>
      <c r="U20" s="52" t="str">
        <v/>
      </c>
      <c r="V20" s="52">
        <v>0</v>
      </c>
      <c r="W20" s="52" t="str">
        <v/>
      </c>
      <c r="X20" s="52">
        <v>0</v>
      </c>
      <c r="Y20" s="52" t="str">
        <v/>
      </c>
      <c r="Z20" s="52">
        <v>0</v>
      </c>
      <c r="AA20" s="52" t="str">
        <v/>
      </c>
      <c r="AB20" s="52">
        <v>0</v>
      </c>
      <c r="AC20" s="52" t="str">
        <v/>
      </c>
      <c r="AD20" s="52">
        <v>0</v>
      </c>
      <c r="AE20" s="52" t="str">
        <v/>
      </c>
      <c r="AF20" s="52">
        <v>0</v>
      </c>
      <c r="AG20" s="52" t="str">
        <v/>
      </c>
      <c r="AH20" s="52">
        <v>0</v>
      </c>
      <c r="AI20" s="52" t="str">
        <v/>
      </c>
      <c r="AJ20" s="52">
        <v>0</v>
      </c>
      <c r="AK20" s="52" t="str">
        <v/>
      </c>
      <c r="AL20" s="52">
        <v>0</v>
      </c>
      <c r="AM20" s="52" t="str">
        <v/>
      </c>
      <c r="AN20" s="52">
        <v>0</v>
      </c>
      <c r="AO20" s="52" t="str">
        <v/>
      </c>
      <c r="AP20" s="52">
        <v>0</v>
      </c>
      <c r="AQ20" s="52" t="str">
        <v/>
      </c>
      <c r="AR20" s="52">
        <v>0</v>
      </c>
      <c r="AS20" s="52" t="str">
        <v/>
      </c>
      <c r="AT20" s="52">
        <v>0</v>
      </c>
      <c r="AU20" s="52" t="str">
        <v/>
      </c>
      <c r="AV20" s="52">
        <v>0</v>
      </c>
      <c r="AW20" s="52" t="str">
        <v/>
      </c>
      <c r="AX20" s="52">
        <v>0</v>
      </c>
      <c r="AY20" s="52" t="str">
        <v/>
      </c>
      <c r="AZ20" s="52">
        <v>0</v>
      </c>
      <c r="BA20" s="52" t="str">
        <v/>
      </c>
      <c r="BB20" s="52">
        <v>0</v>
      </c>
      <c r="BC20" s="52" t="str">
        <v/>
      </c>
      <c r="BD20" s="52">
        <v>0</v>
      </c>
      <c r="BE20" s="52" t="str">
        <v/>
      </c>
      <c r="BF20" s="52">
        <v>0</v>
      </c>
      <c r="BG20" s="52" t="str">
        <v/>
      </c>
      <c r="BH20" s="52">
        <v>0</v>
      </c>
      <c r="BI20" s="52" t="str">
        <v/>
      </c>
      <c r="BJ20" s="52">
        <v>0</v>
      </c>
      <c r="BK20" s="52" t="str">
        <v/>
      </c>
      <c r="BL20" s="52">
        <v>0</v>
      </c>
      <c r="BM20" s="52" t="str">
        <v/>
      </c>
      <c r="BN20" s="52">
        <v>0</v>
      </c>
      <c r="BO20" s="52" t="str">
        <v/>
      </c>
      <c r="BP20" s="52">
        <v>0</v>
      </c>
      <c r="BQ20" s="52" t="str">
        <v/>
      </c>
      <c r="BR20" s="52">
        <v>0</v>
      </c>
      <c r="BS20" s="52" t="str">
        <v/>
      </c>
      <c r="BT20" s="52">
        <v>0</v>
      </c>
      <c r="BU20" s="52" t="str">
        <v/>
      </c>
      <c r="BV20" s="52">
        <v>0</v>
      </c>
      <c r="BW20" s="52" t="str">
        <v/>
      </c>
      <c r="BX20" s="52">
        <v>0</v>
      </c>
      <c r="BY20" s="52" t="str">
        <v/>
      </c>
      <c r="BZ20" s="52">
        <v>0</v>
      </c>
      <c r="CA20" s="52" t="str">
        <v/>
      </c>
      <c r="CB20" s="52">
        <v>0</v>
      </c>
      <c r="CC20" s="52" t="str">
        <v/>
      </c>
      <c r="CD20" s="52">
        <v>0</v>
      </c>
      <c r="CE20" s="52" t="str">
        <v/>
      </c>
      <c r="CF20" s="52">
        <v>0</v>
      </c>
      <c r="CG20" s="52" t="str">
        <v/>
      </c>
      <c r="CH20" s="52">
        <v>0</v>
      </c>
      <c r="CI20" s="52" t="str">
        <v/>
      </c>
      <c r="CJ20" s="52">
        <v>0</v>
      </c>
      <c r="CK20" s="52" t="str">
        <v/>
      </c>
      <c r="CL20" s="52">
        <v>0</v>
      </c>
      <c r="CM20" s="52" t="str">
        <v/>
      </c>
      <c r="CN20" s="52">
        <v>0</v>
      </c>
      <c r="CO20" s="52" t="str">
        <v/>
      </c>
      <c r="CP20" s="52">
        <v>0</v>
      </c>
      <c r="CQ20" s="52" t="str">
        <v/>
      </c>
      <c r="CR20" s="52">
        <v>0</v>
      </c>
      <c r="CS20" s="52" t="str">
        <v/>
      </c>
      <c r="CT20" s="52">
        <v>0</v>
      </c>
      <c r="CU20" s="52" t="str">
        <v/>
      </c>
      <c r="CV20" s="52">
        <v>0</v>
      </c>
      <c r="CW20" s="52" t="str">
        <v/>
      </c>
      <c r="CX20" s="52">
        <v>0</v>
      </c>
      <c r="CY20" s="52" t="str">
        <v/>
      </c>
      <c r="CZ20" s="52">
        <v>0</v>
      </c>
      <c r="DA20" s="52" t="str">
        <v/>
      </c>
      <c r="DB20" s="52">
        <v>0</v>
      </c>
      <c r="DC20" s="52" t="str">
        <v/>
      </c>
      <c r="DD20" s="52">
        <v>0</v>
      </c>
      <c r="DE20" s="52" t="str">
        <v/>
      </c>
      <c r="DF20" s="52">
        <v>0</v>
      </c>
      <c r="DG20" s="52" t="str">
        <v/>
      </c>
      <c r="DH20" s="52">
        <v>0</v>
      </c>
      <c r="DI20" s="52" t="str">
        <v/>
      </c>
      <c r="DJ20" s="52">
        <v>0</v>
      </c>
      <c r="DK20" s="52" t="str">
        <v/>
      </c>
      <c r="DL20" s="52">
        <v>0</v>
      </c>
      <c r="DM20" s="52" t="str">
        <v/>
      </c>
    </row>
    <row r="21" spans="1:117" x14ac:dyDescent="0.25">
      <c r="A21" s="54">
        <v>-3246.1500000000046</v>
      </c>
      <c r="B21" s="52">
        <v>0</v>
      </c>
      <c r="C21" s="52" t="str">
        <v/>
      </c>
      <c r="D21" s="52">
        <v>0</v>
      </c>
      <c r="E21" s="52" t="str">
        <v/>
      </c>
      <c r="F21" s="52">
        <v>0</v>
      </c>
      <c r="G21" s="52" t="str">
        <v/>
      </c>
      <c r="H21" s="52">
        <v>0</v>
      </c>
      <c r="I21" s="52" t="str">
        <v/>
      </c>
      <c r="J21" s="52">
        <v>0</v>
      </c>
      <c r="K21" s="52" t="str">
        <v/>
      </c>
      <c r="L21" s="52">
        <v>0</v>
      </c>
      <c r="M21" s="52" t="str">
        <v/>
      </c>
      <c r="N21" s="52">
        <v>0</v>
      </c>
      <c r="O21" s="52" t="str">
        <v/>
      </c>
      <c r="P21" s="52">
        <v>0</v>
      </c>
      <c r="Q21" s="52" t="str">
        <v/>
      </c>
      <c r="R21" s="52">
        <v>0</v>
      </c>
      <c r="S21" s="52" t="str">
        <v/>
      </c>
      <c r="T21" s="52">
        <v>0</v>
      </c>
      <c r="U21" s="52" t="str">
        <v/>
      </c>
      <c r="V21" s="52">
        <v>0</v>
      </c>
      <c r="W21" s="52" t="str">
        <v/>
      </c>
      <c r="X21" s="52">
        <v>0</v>
      </c>
      <c r="Y21" s="52" t="str">
        <v/>
      </c>
      <c r="Z21" s="52">
        <v>0</v>
      </c>
      <c r="AA21" s="52" t="str">
        <v/>
      </c>
      <c r="AB21" s="52">
        <v>0</v>
      </c>
      <c r="AC21" s="52" t="str">
        <v/>
      </c>
      <c r="AD21" s="52">
        <v>0</v>
      </c>
      <c r="AE21" s="52" t="str">
        <v/>
      </c>
      <c r="AF21" s="52">
        <v>0</v>
      </c>
      <c r="AG21" s="52" t="str">
        <v/>
      </c>
      <c r="AH21" s="52">
        <v>0</v>
      </c>
      <c r="AI21" s="52" t="str">
        <v/>
      </c>
      <c r="AJ21" s="52">
        <v>0</v>
      </c>
      <c r="AK21" s="52" t="str">
        <v/>
      </c>
      <c r="AL21" s="52">
        <v>0</v>
      </c>
      <c r="AM21" s="52" t="str">
        <v/>
      </c>
      <c r="AN21" s="52">
        <v>0</v>
      </c>
      <c r="AO21" s="52" t="str">
        <v/>
      </c>
      <c r="AP21" s="52">
        <v>0</v>
      </c>
      <c r="AQ21" s="52" t="str">
        <v/>
      </c>
      <c r="AR21" s="52">
        <v>0</v>
      </c>
      <c r="AS21" s="52" t="str">
        <v/>
      </c>
      <c r="AT21" s="52">
        <v>0</v>
      </c>
      <c r="AU21" s="52" t="str">
        <v/>
      </c>
      <c r="AV21" s="52">
        <v>0</v>
      </c>
      <c r="AW21" s="52" t="str">
        <v/>
      </c>
      <c r="AX21" s="52">
        <v>0</v>
      </c>
      <c r="AY21" s="52" t="str">
        <v/>
      </c>
      <c r="AZ21" s="52">
        <v>0</v>
      </c>
      <c r="BA21" s="52" t="str">
        <v/>
      </c>
      <c r="BB21" s="52">
        <v>0</v>
      </c>
      <c r="BC21" s="52" t="str">
        <v/>
      </c>
      <c r="BD21" s="52">
        <v>0</v>
      </c>
      <c r="BE21" s="52" t="str">
        <v/>
      </c>
      <c r="BF21" s="52">
        <v>0</v>
      </c>
      <c r="BG21" s="52" t="str">
        <v/>
      </c>
      <c r="BH21" s="52">
        <v>0</v>
      </c>
      <c r="BI21" s="52" t="str">
        <v/>
      </c>
      <c r="BJ21" s="52">
        <v>0</v>
      </c>
      <c r="BK21" s="52" t="str">
        <v/>
      </c>
      <c r="BL21" s="52">
        <v>0</v>
      </c>
      <c r="BM21" s="52" t="str">
        <v/>
      </c>
      <c r="BN21" s="52">
        <v>0</v>
      </c>
      <c r="BO21" s="52" t="str">
        <v/>
      </c>
      <c r="BP21" s="52">
        <v>0</v>
      </c>
      <c r="BQ21" s="52" t="str">
        <v/>
      </c>
      <c r="BR21" s="52">
        <v>0</v>
      </c>
      <c r="BS21" s="52" t="str">
        <v/>
      </c>
      <c r="BT21" s="52">
        <v>0</v>
      </c>
      <c r="BU21" s="52" t="str">
        <v/>
      </c>
      <c r="BV21" s="52">
        <v>0</v>
      </c>
      <c r="BW21" s="52" t="str">
        <v/>
      </c>
      <c r="BX21" s="52">
        <v>0</v>
      </c>
      <c r="BY21" s="52" t="str">
        <v/>
      </c>
      <c r="BZ21" s="52">
        <v>0</v>
      </c>
      <c r="CA21" s="52" t="str">
        <v/>
      </c>
      <c r="CB21" s="52">
        <v>0</v>
      </c>
      <c r="CC21" s="52" t="str">
        <v/>
      </c>
      <c r="CD21" s="52">
        <v>0</v>
      </c>
      <c r="CE21" s="52" t="str">
        <v/>
      </c>
      <c r="CF21" s="52">
        <v>0</v>
      </c>
      <c r="CG21" s="52" t="str">
        <v/>
      </c>
      <c r="CH21" s="52">
        <v>0</v>
      </c>
      <c r="CI21" s="52" t="str">
        <v/>
      </c>
      <c r="CJ21" s="52">
        <v>0</v>
      </c>
      <c r="CK21" s="52" t="str">
        <v/>
      </c>
      <c r="CL21" s="52">
        <v>0</v>
      </c>
      <c r="CM21" s="52" t="str">
        <v/>
      </c>
      <c r="CN21" s="52">
        <v>0</v>
      </c>
      <c r="CO21" s="52" t="str">
        <v/>
      </c>
      <c r="CP21" s="52">
        <v>0</v>
      </c>
      <c r="CQ21" s="52" t="str">
        <v/>
      </c>
      <c r="CR21" s="52">
        <v>0</v>
      </c>
      <c r="CS21" s="52" t="str">
        <v/>
      </c>
      <c r="CT21" s="52">
        <v>0</v>
      </c>
      <c r="CU21" s="52" t="str">
        <v/>
      </c>
      <c r="CV21" s="52">
        <v>0</v>
      </c>
      <c r="CW21" s="52" t="str">
        <v/>
      </c>
      <c r="CX21" s="52">
        <v>0</v>
      </c>
      <c r="CY21" s="52" t="str">
        <v/>
      </c>
      <c r="CZ21" s="52">
        <v>0</v>
      </c>
      <c r="DA21" s="52" t="str">
        <v/>
      </c>
      <c r="DB21" s="52">
        <v>0</v>
      </c>
      <c r="DC21" s="52" t="str">
        <v/>
      </c>
      <c r="DD21" s="52">
        <v>0</v>
      </c>
      <c r="DE21" s="52" t="str">
        <v/>
      </c>
      <c r="DF21" s="52">
        <v>0</v>
      </c>
      <c r="DG21" s="52" t="str">
        <v/>
      </c>
      <c r="DH21" s="52">
        <v>0</v>
      </c>
      <c r="DI21" s="52" t="str">
        <v/>
      </c>
      <c r="DJ21" s="52">
        <v>0</v>
      </c>
      <c r="DK21" s="52" t="str">
        <v/>
      </c>
      <c r="DL21" s="52">
        <v>0</v>
      </c>
      <c r="DM21" s="52" t="str">
        <v/>
      </c>
    </row>
    <row r="22" spans="1:117" x14ac:dyDescent="0.25">
      <c r="A22" s="54">
        <v>-3207.0000000000045</v>
      </c>
      <c r="B22" s="52">
        <v>0</v>
      </c>
      <c r="C22" s="52" t="str">
        <v/>
      </c>
      <c r="D22" s="52">
        <v>0</v>
      </c>
      <c r="E22" s="52" t="str">
        <v/>
      </c>
      <c r="F22" s="52">
        <v>0</v>
      </c>
      <c r="G22" s="52" t="str">
        <v/>
      </c>
      <c r="H22" s="52">
        <v>0</v>
      </c>
      <c r="I22" s="52" t="str">
        <v/>
      </c>
      <c r="J22" s="52">
        <v>0</v>
      </c>
      <c r="K22" s="52" t="str">
        <v/>
      </c>
      <c r="L22" s="52">
        <v>0</v>
      </c>
      <c r="M22" s="52" t="str">
        <v/>
      </c>
      <c r="N22" s="52">
        <v>0</v>
      </c>
      <c r="O22" s="52" t="str">
        <v/>
      </c>
      <c r="P22" s="52">
        <v>0</v>
      </c>
      <c r="Q22" s="52" t="str">
        <v/>
      </c>
      <c r="R22" s="52">
        <v>0</v>
      </c>
      <c r="S22" s="52" t="str">
        <v/>
      </c>
      <c r="T22" s="52">
        <v>0</v>
      </c>
      <c r="U22" s="52" t="str">
        <v/>
      </c>
      <c r="V22" s="52">
        <v>0</v>
      </c>
      <c r="W22" s="52" t="str">
        <v/>
      </c>
      <c r="X22" s="52">
        <v>0</v>
      </c>
      <c r="Y22" s="52" t="str">
        <v/>
      </c>
      <c r="Z22" s="52">
        <v>0</v>
      </c>
      <c r="AA22" s="52" t="str">
        <v/>
      </c>
      <c r="AB22" s="52">
        <v>0</v>
      </c>
      <c r="AC22" s="52" t="str">
        <v/>
      </c>
      <c r="AD22" s="52">
        <v>0</v>
      </c>
      <c r="AE22" s="52" t="str">
        <v/>
      </c>
      <c r="AF22" s="52">
        <v>0</v>
      </c>
      <c r="AG22" s="52" t="str">
        <v/>
      </c>
      <c r="AH22" s="52">
        <v>0</v>
      </c>
      <c r="AI22" s="52" t="str">
        <v/>
      </c>
      <c r="AJ22" s="52">
        <v>0</v>
      </c>
      <c r="AK22" s="52" t="str">
        <v/>
      </c>
      <c r="AL22" s="52">
        <v>0</v>
      </c>
      <c r="AM22" s="52" t="str">
        <v/>
      </c>
      <c r="AN22" s="52">
        <v>0</v>
      </c>
      <c r="AO22" s="52" t="str">
        <v/>
      </c>
      <c r="AP22" s="52">
        <v>0</v>
      </c>
      <c r="AQ22" s="52" t="str">
        <v/>
      </c>
      <c r="AR22" s="52">
        <v>0</v>
      </c>
      <c r="AS22" s="52" t="str">
        <v/>
      </c>
      <c r="AT22" s="52">
        <v>0</v>
      </c>
      <c r="AU22" s="52" t="str">
        <v/>
      </c>
      <c r="AV22" s="52">
        <v>0</v>
      </c>
      <c r="AW22" s="52" t="str">
        <v/>
      </c>
      <c r="AX22" s="52">
        <v>0</v>
      </c>
      <c r="AY22" s="52" t="str">
        <v/>
      </c>
      <c r="AZ22" s="52">
        <v>0</v>
      </c>
      <c r="BA22" s="52" t="str">
        <v/>
      </c>
      <c r="BB22" s="52">
        <v>0</v>
      </c>
      <c r="BC22" s="52" t="str">
        <v/>
      </c>
      <c r="BD22" s="52">
        <v>0</v>
      </c>
      <c r="BE22" s="52" t="str">
        <v/>
      </c>
      <c r="BF22" s="52">
        <v>0</v>
      </c>
      <c r="BG22" s="52" t="str">
        <v/>
      </c>
      <c r="BH22" s="52">
        <v>0</v>
      </c>
      <c r="BI22" s="52" t="str">
        <v/>
      </c>
      <c r="BJ22" s="52">
        <v>0</v>
      </c>
      <c r="BK22" s="52" t="str">
        <v/>
      </c>
      <c r="BL22" s="52">
        <v>0</v>
      </c>
      <c r="BM22" s="52" t="str">
        <v/>
      </c>
      <c r="BN22" s="52">
        <v>0</v>
      </c>
      <c r="BO22" s="52" t="str">
        <v/>
      </c>
      <c r="BP22" s="52">
        <v>0</v>
      </c>
      <c r="BQ22" s="52" t="str">
        <v/>
      </c>
      <c r="BR22" s="52">
        <v>0</v>
      </c>
      <c r="BS22" s="52" t="str">
        <v/>
      </c>
      <c r="BT22" s="52">
        <v>0</v>
      </c>
      <c r="BU22" s="52" t="str">
        <v/>
      </c>
      <c r="BV22" s="52">
        <v>0</v>
      </c>
      <c r="BW22" s="52" t="str">
        <v/>
      </c>
      <c r="BX22" s="52">
        <v>0</v>
      </c>
      <c r="BY22" s="52" t="str">
        <v/>
      </c>
      <c r="BZ22" s="52">
        <v>0</v>
      </c>
      <c r="CA22" s="52" t="str">
        <v/>
      </c>
      <c r="CB22" s="52">
        <v>0</v>
      </c>
      <c r="CC22" s="52" t="str">
        <v/>
      </c>
      <c r="CD22" s="52">
        <v>0</v>
      </c>
      <c r="CE22" s="52" t="str">
        <v/>
      </c>
      <c r="CF22" s="52">
        <v>0</v>
      </c>
      <c r="CG22" s="52" t="str">
        <v/>
      </c>
      <c r="CH22" s="52">
        <v>0</v>
      </c>
      <c r="CI22" s="52" t="str">
        <v/>
      </c>
      <c r="CJ22" s="52">
        <v>0</v>
      </c>
      <c r="CK22" s="52" t="str">
        <v/>
      </c>
      <c r="CL22" s="52">
        <v>0</v>
      </c>
      <c r="CM22" s="52" t="str">
        <v/>
      </c>
      <c r="CN22" s="52">
        <v>0</v>
      </c>
      <c r="CO22" s="52" t="str">
        <v/>
      </c>
      <c r="CP22" s="52">
        <v>0</v>
      </c>
      <c r="CQ22" s="52" t="str">
        <v/>
      </c>
      <c r="CR22" s="52">
        <v>0</v>
      </c>
      <c r="CS22" s="52" t="str">
        <v/>
      </c>
      <c r="CT22" s="52">
        <v>0</v>
      </c>
      <c r="CU22" s="52" t="str">
        <v/>
      </c>
      <c r="CV22" s="52">
        <v>0</v>
      </c>
      <c r="CW22" s="52" t="str">
        <v/>
      </c>
      <c r="CX22" s="52">
        <v>0</v>
      </c>
      <c r="CY22" s="52" t="str">
        <v/>
      </c>
      <c r="CZ22" s="52">
        <v>0</v>
      </c>
      <c r="DA22" s="52" t="str">
        <v/>
      </c>
      <c r="DB22" s="52">
        <v>0</v>
      </c>
      <c r="DC22" s="52" t="str">
        <v/>
      </c>
      <c r="DD22" s="52">
        <v>0</v>
      </c>
      <c r="DE22" s="52" t="str">
        <v/>
      </c>
      <c r="DF22" s="52">
        <v>0</v>
      </c>
      <c r="DG22" s="52" t="str">
        <v/>
      </c>
      <c r="DH22" s="52">
        <v>0</v>
      </c>
      <c r="DI22" s="52" t="str">
        <v/>
      </c>
      <c r="DJ22" s="52">
        <v>0</v>
      </c>
      <c r="DK22" s="52" t="str">
        <v/>
      </c>
      <c r="DL22" s="52">
        <v>0</v>
      </c>
      <c r="DM22" s="52" t="str">
        <v/>
      </c>
    </row>
    <row r="23" spans="1:117" x14ac:dyDescent="0.25">
      <c r="A23" s="54">
        <v>-3167.8500000000045</v>
      </c>
      <c r="B23" s="52">
        <v>0</v>
      </c>
      <c r="C23" s="52" t="str">
        <v/>
      </c>
      <c r="D23" s="52">
        <v>0</v>
      </c>
      <c r="E23" s="52" t="str">
        <v/>
      </c>
      <c r="F23" s="52">
        <v>0</v>
      </c>
      <c r="G23" s="52" t="str">
        <v/>
      </c>
      <c r="H23" s="52">
        <v>0</v>
      </c>
      <c r="I23" s="52" t="str">
        <v/>
      </c>
      <c r="J23" s="52">
        <v>0</v>
      </c>
      <c r="K23" s="52" t="str">
        <v/>
      </c>
      <c r="L23" s="52">
        <v>0</v>
      </c>
      <c r="M23" s="52" t="str">
        <v/>
      </c>
      <c r="N23" s="52">
        <v>0</v>
      </c>
      <c r="O23" s="52" t="str">
        <v/>
      </c>
      <c r="P23" s="52">
        <v>0</v>
      </c>
      <c r="Q23" s="52" t="str">
        <v/>
      </c>
      <c r="R23" s="52">
        <v>0</v>
      </c>
      <c r="S23" s="52" t="str">
        <v/>
      </c>
      <c r="T23" s="52">
        <v>0</v>
      </c>
      <c r="U23" s="52" t="str">
        <v/>
      </c>
      <c r="V23" s="52">
        <v>0</v>
      </c>
      <c r="W23" s="52" t="str">
        <v/>
      </c>
      <c r="X23" s="52">
        <v>0</v>
      </c>
      <c r="Y23" s="52" t="str">
        <v/>
      </c>
      <c r="Z23" s="52">
        <v>0</v>
      </c>
      <c r="AA23" s="52" t="str">
        <v/>
      </c>
      <c r="AB23" s="52">
        <v>0</v>
      </c>
      <c r="AC23" s="52" t="str">
        <v/>
      </c>
      <c r="AD23" s="52">
        <v>0</v>
      </c>
      <c r="AE23" s="52" t="str">
        <v/>
      </c>
      <c r="AF23" s="52">
        <v>0</v>
      </c>
      <c r="AG23" s="52" t="str">
        <v/>
      </c>
      <c r="AH23" s="52">
        <v>0</v>
      </c>
      <c r="AI23" s="52" t="str">
        <v/>
      </c>
      <c r="AJ23" s="52">
        <v>0</v>
      </c>
      <c r="AK23" s="52" t="str">
        <v/>
      </c>
      <c r="AL23" s="52">
        <v>0</v>
      </c>
      <c r="AM23" s="52" t="str">
        <v/>
      </c>
      <c r="AN23" s="52">
        <v>0</v>
      </c>
      <c r="AO23" s="52" t="str">
        <v/>
      </c>
      <c r="AP23" s="52">
        <v>0</v>
      </c>
      <c r="AQ23" s="52" t="str">
        <v/>
      </c>
      <c r="AR23" s="52">
        <v>0</v>
      </c>
      <c r="AS23" s="52" t="str">
        <v/>
      </c>
      <c r="AT23" s="52">
        <v>0</v>
      </c>
      <c r="AU23" s="52" t="str">
        <v/>
      </c>
      <c r="AV23" s="52">
        <v>0</v>
      </c>
      <c r="AW23" s="52" t="str">
        <v/>
      </c>
      <c r="AX23" s="52">
        <v>0</v>
      </c>
      <c r="AY23" s="52" t="str">
        <v/>
      </c>
      <c r="AZ23" s="52">
        <v>0</v>
      </c>
      <c r="BA23" s="52" t="str">
        <v/>
      </c>
      <c r="BB23" s="52">
        <v>0</v>
      </c>
      <c r="BC23" s="52" t="str">
        <v/>
      </c>
      <c r="BD23" s="52">
        <v>0</v>
      </c>
      <c r="BE23" s="52" t="str">
        <v/>
      </c>
      <c r="BF23" s="52">
        <v>0</v>
      </c>
      <c r="BG23" s="52" t="str">
        <v/>
      </c>
      <c r="BH23" s="52">
        <v>0</v>
      </c>
      <c r="BI23" s="52" t="str">
        <v/>
      </c>
      <c r="BJ23" s="52">
        <v>0</v>
      </c>
      <c r="BK23" s="52" t="str">
        <v/>
      </c>
      <c r="BL23" s="52">
        <v>0</v>
      </c>
      <c r="BM23" s="52" t="str">
        <v/>
      </c>
      <c r="BN23" s="52">
        <v>0</v>
      </c>
      <c r="BO23" s="52" t="str">
        <v/>
      </c>
      <c r="BP23" s="52">
        <v>0</v>
      </c>
      <c r="BQ23" s="52" t="str">
        <v/>
      </c>
      <c r="BR23" s="52">
        <v>0</v>
      </c>
      <c r="BS23" s="52" t="str">
        <v/>
      </c>
      <c r="BT23" s="52">
        <v>0</v>
      </c>
      <c r="BU23" s="52" t="str">
        <v/>
      </c>
      <c r="BV23" s="52">
        <v>0</v>
      </c>
      <c r="BW23" s="52" t="str">
        <v/>
      </c>
      <c r="BX23" s="52">
        <v>0</v>
      </c>
      <c r="BY23" s="52" t="str">
        <v/>
      </c>
      <c r="BZ23" s="52">
        <v>0</v>
      </c>
      <c r="CA23" s="52" t="str">
        <v/>
      </c>
      <c r="CB23" s="52">
        <v>0</v>
      </c>
      <c r="CC23" s="52" t="str">
        <v/>
      </c>
      <c r="CD23" s="52">
        <v>0</v>
      </c>
      <c r="CE23" s="52" t="str">
        <v/>
      </c>
      <c r="CF23" s="52">
        <v>0</v>
      </c>
      <c r="CG23" s="52" t="str">
        <v/>
      </c>
      <c r="CH23" s="52">
        <v>0</v>
      </c>
      <c r="CI23" s="52" t="str">
        <v/>
      </c>
      <c r="CJ23" s="52">
        <v>0</v>
      </c>
      <c r="CK23" s="52" t="str">
        <v/>
      </c>
      <c r="CL23" s="52">
        <v>0</v>
      </c>
      <c r="CM23" s="52" t="str">
        <v/>
      </c>
      <c r="CN23" s="52">
        <v>0</v>
      </c>
      <c r="CO23" s="52" t="str">
        <v/>
      </c>
      <c r="CP23" s="52">
        <v>0</v>
      </c>
      <c r="CQ23" s="52" t="str">
        <v/>
      </c>
      <c r="CR23" s="52">
        <v>0</v>
      </c>
      <c r="CS23" s="52" t="str">
        <v/>
      </c>
      <c r="CT23" s="52">
        <v>0</v>
      </c>
      <c r="CU23" s="52" t="str">
        <v/>
      </c>
      <c r="CV23" s="52">
        <v>0</v>
      </c>
      <c r="CW23" s="52" t="str">
        <v/>
      </c>
      <c r="CX23" s="52">
        <v>0</v>
      </c>
      <c r="CY23" s="52" t="str">
        <v/>
      </c>
      <c r="CZ23" s="52">
        <v>0</v>
      </c>
      <c r="DA23" s="52" t="str">
        <v/>
      </c>
      <c r="DB23" s="52">
        <v>0</v>
      </c>
      <c r="DC23" s="52" t="str">
        <v/>
      </c>
      <c r="DD23" s="52">
        <v>0</v>
      </c>
      <c r="DE23" s="52" t="str">
        <v/>
      </c>
      <c r="DF23" s="52">
        <v>0</v>
      </c>
      <c r="DG23" s="52" t="str">
        <v/>
      </c>
      <c r="DH23" s="52">
        <v>0</v>
      </c>
      <c r="DI23" s="52" t="str">
        <v/>
      </c>
      <c r="DJ23" s="52">
        <v>0</v>
      </c>
      <c r="DK23" s="52" t="str">
        <v/>
      </c>
      <c r="DL23" s="52">
        <v>0</v>
      </c>
      <c r="DM23" s="52" t="str">
        <v/>
      </c>
    </row>
    <row r="24" spans="1:117" x14ac:dyDescent="0.25">
      <c r="A24" s="54">
        <v>-3128.7000000000044</v>
      </c>
      <c r="B24" s="52">
        <v>0</v>
      </c>
      <c r="C24" s="52" t="str">
        <v/>
      </c>
      <c r="D24" s="52">
        <v>0</v>
      </c>
      <c r="E24" s="52" t="str">
        <v/>
      </c>
      <c r="F24" s="52">
        <v>0</v>
      </c>
      <c r="G24" s="52" t="str">
        <v/>
      </c>
      <c r="H24" s="52">
        <v>0</v>
      </c>
      <c r="I24" s="52" t="str">
        <v/>
      </c>
      <c r="J24" s="52">
        <v>0</v>
      </c>
      <c r="K24" s="52" t="str">
        <v/>
      </c>
      <c r="L24" s="52">
        <v>0</v>
      </c>
      <c r="M24" s="52" t="str">
        <v/>
      </c>
      <c r="N24" s="52">
        <v>0</v>
      </c>
      <c r="O24" s="52" t="str">
        <v/>
      </c>
      <c r="P24" s="52">
        <v>0</v>
      </c>
      <c r="Q24" s="52" t="str">
        <v/>
      </c>
      <c r="R24" s="52">
        <v>0</v>
      </c>
      <c r="S24" s="52" t="str">
        <v/>
      </c>
      <c r="T24" s="52">
        <v>0</v>
      </c>
      <c r="U24" s="52" t="str">
        <v/>
      </c>
      <c r="V24" s="52">
        <v>0</v>
      </c>
      <c r="W24" s="52" t="str">
        <v/>
      </c>
      <c r="X24" s="52">
        <v>0</v>
      </c>
      <c r="Y24" s="52" t="str">
        <v/>
      </c>
      <c r="Z24" s="52" t="str">
        <v>colossalRocketry</v>
      </c>
      <c r="AA24" s="52" t="str">
        <v>Colossal Rocketry</v>
      </c>
      <c r="AB24" s="52">
        <v>0</v>
      </c>
      <c r="AC24" s="52" t="str">
        <v/>
      </c>
      <c r="AD24" s="52">
        <v>0</v>
      </c>
      <c r="AE24" s="52" t="str">
        <v/>
      </c>
      <c r="AF24" s="52">
        <v>0</v>
      </c>
      <c r="AG24" s="52" t="str">
        <v/>
      </c>
      <c r="AH24" s="52">
        <v>0</v>
      </c>
      <c r="AI24" s="52" t="str">
        <v/>
      </c>
      <c r="AJ24" s="52">
        <v>0</v>
      </c>
      <c r="AK24" s="52" t="str">
        <v/>
      </c>
      <c r="AL24" s="52">
        <v>0</v>
      </c>
      <c r="AM24" s="52" t="str">
        <v/>
      </c>
      <c r="AN24" s="52">
        <v>0</v>
      </c>
      <c r="AO24" s="52" t="str">
        <v/>
      </c>
      <c r="AP24" s="52">
        <v>0</v>
      </c>
      <c r="AQ24" s="52" t="str">
        <v/>
      </c>
      <c r="AR24" s="52">
        <v>0</v>
      </c>
      <c r="AS24" s="52" t="str">
        <v/>
      </c>
      <c r="AT24" s="52">
        <v>0</v>
      </c>
      <c r="AU24" s="52" t="str">
        <v/>
      </c>
      <c r="AV24" s="52">
        <v>0</v>
      </c>
      <c r="AW24" s="52" t="str">
        <v/>
      </c>
      <c r="AX24" s="52">
        <v>0</v>
      </c>
      <c r="AY24" s="52" t="str">
        <v/>
      </c>
      <c r="AZ24" s="52">
        <v>0</v>
      </c>
      <c r="BA24" s="52" t="str">
        <v/>
      </c>
      <c r="BB24" s="52">
        <v>0</v>
      </c>
      <c r="BC24" s="52" t="str">
        <v/>
      </c>
      <c r="BD24" s="52">
        <v>0</v>
      </c>
      <c r="BE24" s="52" t="str">
        <v/>
      </c>
      <c r="BF24" s="52">
        <v>0</v>
      </c>
      <c r="BG24" s="52" t="str">
        <v/>
      </c>
      <c r="BH24" s="52">
        <v>0</v>
      </c>
      <c r="BI24" s="52" t="str">
        <v/>
      </c>
      <c r="BJ24" s="52">
        <v>0</v>
      </c>
      <c r="BK24" s="52" t="str">
        <v/>
      </c>
      <c r="BL24" s="52">
        <v>0</v>
      </c>
      <c r="BM24" s="52" t="str">
        <v/>
      </c>
      <c r="BN24" s="52">
        <v>0</v>
      </c>
      <c r="BO24" s="52" t="str">
        <v/>
      </c>
      <c r="BP24" s="52">
        <v>0</v>
      </c>
      <c r="BQ24" s="52" t="str">
        <v/>
      </c>
      <c r="BR24" s="52">
        <v>0</v>
      </c>
      <c r="BS24" s="52" t="str">
        <v/>
      </c>
      <c r="BT24" s="52">
        <v>0</v>
      </c>
      <c r="BU24" s="52" t="str">
        <v/>
      </c>
      <c r="BV24" s="52">
        <v>0</v>
      </c>
      <c r="BW24" s="52" t="str">
        <v/>
      </c>
      <c r="BX24" s="52">
        <v>0</v>
      </c>
      <c r="BY24" s="52" t="str">
        <v/>
      </c>
      <c r="BZ24" s="52">
        <v>0</v>
      </c>
      <c r="CA24" s="52" t="str">
        <v/>
      </c>
      <c r="CB24" s="52">
        <v>0</v>
      </c>
      <c r="CC24" s="52" t="str">
        <v/>
      </c>
      <c r="CD24" s="52">
        <v>0</v>
      </c>
      <c r="CE24" s="52" t="str">
        <v/>
      </c>
      <c r="CF24" s="52">
        <v>0</v>
      </c>
      <c r="CG24" s="52" t="str">
        <v/>
      </c>
      <c r="CH24" s="52">
        <v>0</v>
      </c>
      <c r="CI24" s="52" t="str">
        <v/>
      </c>
      <c r="CJ24" s="52">
        <v>0</v>
      </c>
      <c r="CK24" s="52" t="str">
        <v/>
      </c>
      <c r="CL24" s="52">
        <v>0</v>
      </c>
      <c r="CM24" s="52" t="str">
        <v/>
      </c>
      <c r="CN24" s="52">
        <v>0</v>
      </c>
      <c r="CO24" s="52" t="str">
        <v/>
      </c>
      <c r="CP24" s="52">
        <v>0</v>
      </c>
      <c r="CQ24" s="52" t="str">
        <v/>
      </c>
      <c r="CR24" s="52">
        <v>0</v>
      </c>
      <c r="CS24" s="52" t="str">
        <v/>
      </c>
      <c r="CT24" s="52">
        <v>0</v>
      </c>
      <c r="CU24" s="52" t="str">
        <v/>
      </c>
      <c r="CV24" s="52">
        <v>0</v>
      </c>
      <c r="CW24" s="52" t="str">
        <v/>
      </c>
      <c r="CX24" s="52">
        <v>0</v>
      </c>
      <c r="CY24" s="52" t="str">
        <v/>
      </c>
      <c r="CZ24" s="52">
        <v>0</v>
      </c>
      <c r="DA24" s="52" t="str">
        <v/>
      </c>
      <c r="DB24" s="52">
        <v>0</v>
      </c>
      <c r="DC24" s="52" t="str">
        <v/>
      </c>
      <c r="DD24" s="52">
        <v>0</v>
      </c>
      <c r="DE24" s="52" t="str">
        <v/>
      </c>
      <c r="DF24" s="52">
        <v>0</v>
      </c>
      <c r="DG24" s="52" t="str">
        <v/>
      </c>
      <c r="DH24" s="52">
        <v>0</v>
      </c>
      <c r="DI24" s="52" t="str">
        <v/>
      </c>
      <c r="DJ24" s="52">
        <v>0</v>
      </c>
      <c r="DK24" s="52" t="str">
        <v/>
      </c>
      <c r="DL24" s="52">
        <v>0</v>
      </c>
      <c r="DM24" s="52" t="str">
        <v/>
      </c>
    </row>
    <row r="25" spans="1:117" x14ac:dyDescent="0.25">
      <c r="A25" s="54">
        <v>-3089.5500000000043</v>
      </c>
      <c r="B25" s="52">
        <v>0</v>
      </c>
      <c r="C25" s="52" t="str">
        <v/>
      </c>
      <c r="D25" s="52">
        <v>0</v>
      </c>
      <c r="E25" s="52" t="str">
        <v/>
      </c>
      <c r="F25" s="52">
        <v>0</v>
      </c>
      <c r="G25" s="52" t="str">
        <v/>
      </c>
      <c r="H25" s="52">
        <v>0</v>
      </c>
      <c r="I25" s="52" t="str">
        <v/>
      </c>
      <c r="J25" s="52">
        <v>0</v>
      </c>
      <c r="K25" s="52" t="str">
        <v/>
      </c>
      <c r="L25" s="52">
        <v>0</v>
      </c>
      <c r="M25" s="52" t="str">
        <v/>
      </c>
      <c r="N25" s="52">
        <v>0</v>
      </c>
      <c r="O25" s="52" t="str">
        <v/>
      </c>
      <c r="P25" s="52">
        <v>0</v>
      </c>
      <c r="Q25" s="52" t="str">
        <v/>
      </c>
      <c r="R25" s="52">
        <v>0</v>
      </c>
      <c r="S25" s="52" t="str">
        <v/>
      </c>
      <c r="T25" s="52">
        <v>0</v>
      </c>
      <c r="U25" s="52" t="str">
        <v/>
      </c>
      <c r="V25" s="52">
        <v>0</v>
      </c>
      <c r="W25" s="52" t="str">
        <v/>
      </c>
      <c r="X25" s="52">
        <v>0</v>
      </c>
      <c r="Y25" s="52" t="str">
        <v/>
      </c>
      <c r="Z25" s="52">
        <v>0</v>
      </c>
      <c r="AA25" s="52" t="str">
        <v/>
      </c>
      <c r="AB25" s="52">
        <v>0</v>
      </c>
      <c r="AC25" s="52" t="str">
        <v/>
      </c>
      <c r="AD25" s="52">
        <v>0</v>
      </c>
      <c r="AE25" s="52" t="str">
        <v/>
      </c>
      <c r="AF25" s="52">
        <v>0</v>
      </c>
      <c r="AG25" s="52" t="str">
        <v/>
      </c>
      <c r="AH25" s="52">
        <v>0</v>
      </c>
      <c r="AI25" s="52" t="str">
        <v/>
      </c>
      <c r="AJ25" s="52">
        <v>0</v>
      </c>
      <c r="AK25" s="52" t="str">
        <v/>
      </c>
      <c r="AL25" s="52">
        <v>0</v>
      </c>
      <c r="AM25" s="52" t="str">
        <v/>
      </c>
      <c r="AN25" s="52">
        <v>0</v>
      </c>
      <c r="AO25" s="52" t="str">
        <v/>
      </c>
      <c r="AP25" s="52">
        <v>0</v>
      </c>
      <c r="AQ25" s="52" t="str">
        <v/>
      </c>
      <c r="AR25" s="52">
        <v>0</v>
      </c>
      <c r="AS25" s="52" t="str">
        <v/>
      </c>
      <c r="AT25" s="52">
        <v>0</v>
      </c>
      <c r="AU25" s="52" t="str">
        <v/>
      </c>
      <c r="AV25" s="52">
        <v>0</v>
      </c>
      <c r="AW25" s="52" t="str">
        <v/>
      </c>
      <c r="AX25" s="52">
        <v>0</v>
      </c>
      <c r="AY25" s="52" t="str">
        <v/>
      </c>
      <c r="AZ25" s="52">
        <v>0</v>
      </c>
      <c r="BA25" s="52" t="str">
        <v/>
      </c>
      <c r="BB25" s="52">
        <v>0</v>
      </c>
      <c r="BC25" s="52" t="str">
        <v/>
      </c>
      <c r="BD25" s="52">
        <v>0</v>
      </c>
      <c r="BE25" s="52" t="str">
        <v/>
      </c>
      <c r="BF25" s="52">
        <v>0</v>
      </c>
      <c r="BG25" s="52" t="str">
        <v/>
      </c>
      <c r="BH25" s="52">
        <v>0</v>
      </c>
      <c r="BI25" s="52" t="str">
        <v/>
      </c>
      <c r="BJ25" s="52">
        <v>0</v>
      </c>
      <c r="BK25" s="52" t="str">
        <v/>
      </c>
      <c r="BL25" s="52">
        <v>0</v>
      </c>
      <c r="BM25" s="52" t="str">
        <v/>
      </c>
      <c r="BN25" s="52">
        <v>0</v>
      </c>
      <c r="BO25" s="52" t="str">
        <v/>
      </c>
      <c r="BP25" s="52">
        <v>0</v>
      </c>
      <c r="BQ25" s="52" t="str">
        <v/>
      </c>
      <c r="BR25" s="52">
        <v>0</v>
      </c>
      <c r="BS25" s="52" t="str">
        <v/>
      </c>
      <c r="BT25" s="52">
        <v>0</v>
      </c>
      <c r="BU25" s="52" t="str">
        <v/>
      </c>
      <c r="BV25" s="52">
        <v>0</v>
      </c>
      <c r="BW25" s="52" t="str">
        <v/>
      </c>
      <c r="BX25" s="52">
        <v>0</v>
      </c>
      <c r="BY25" s="52" t="str">
        <v/>
      </c>
      <c r="BZ25" s="52">
        <v>0</v>
      </c>
      <c r="CA25" s="52" t="str">
        <v/>
      </c>
      <c r="CB25" s="52">
        <v>0</v>
      </c>
      <c r="CC25" s="52" t="str">
        <v/>
      </c>
      <c r="CD25" s="52">
        <v>0</v>
      </c>
      <c r="CE25" s="52" t="str">
        <v/>
      </c>
      <c r="CF25" s="52">
        <v>0</v>
      </c>
      <c r="CG25" s="52" t="str">
        <v/>
      </c>
      <c r="CH25" s="52">
        <v>0</v>
      </c>
      <c r="CI25" s="52" t="str">
        <v/>
      </c>
      <c r="CJ25" s="52">
        <v>0</v>
      </c>
      <c r="CK25" s="52" t="str">
        <v/>
      </c>
      <c r="CL25" s="52">
        <v>0</v>
      </c>
      <c r="CM25" s="52" t="str">
        <v/>
      </c>
      <c r="CN25" s="52">
        <v>0</v>
      </c>
      <c r="CO25" s="52" t="str">
        <v/>
      </c>
      <c r="CP25" s="52">
        <v>0</v>
      </c>
      <c r="CQ25" s="52" t="str">
        <v/>
      </c>
      <c r="CR25" s="52">
        <v>0</v>
      </c>
      <c r="CS25" s="52" t="str">
        <v/>
      </c>
      <c r="CT25" s="52">
        <v>0</v>
      </c>
      <c r="CU25" s="52" t="str">
        <v/>
      </c>
      <c r="CV25" s="52">
        <v>0</v>
      </c>
      <c r="CW25" s="52" t="str">
        <v/>
      </c>
      <c r="CX25" s="52">
        <v>0</v>
      </c>
      <c r="CY25" s="52" t="str">
        <v/>
      </c>
      <c r="CZ25" s="52">
        <v>0</v>
      </c>
      <c r="DA25" s="52" t="str">
        <v/>
      </c>
      <c r="DB25" s="52">
        <v>0</v>
      </c>
      <c r="DC25" s="52" t="str">
        <v/>
      </c>
      <c r="DD25" s="52">
        <v>0</v>
      </c>
      <c r="DE25" s="52" t="str">
        <v/>
      </c>
      <c r="DF25" s="52">
        <v>0</v>
      </c>
      <c r="DG25" s="52" t="str">
        <v/>
      </c>
      <c r="DH25" s="52">
        <v>0</v>
      </c>
      <c r="DI25" s="52" t="str">
        <v/>
      </c>
      <c r="DJ25" s="52">
        <v>0</v>
      </c>
      <c r="DK25" s="52" t="str">
        <v/>
      </c>
      <c r="DL25" s="52">
        <v>0</v>
      </c>
      <c r="DM25" s="52" t="str">
        <v/>
      </c>
    </row>
    <row r="26" spans="1:117" x14ac:dyDescent="0.25">
      <c r="A26" s="54">
        <v>-3050.4000000000042</v>
      </c>
      <c r="B26" s="52">
        <v>0</v>
      </c>
      <c r="C26" s="52" t="str">
        <v/>
      </c>
      <c r="D26" s="52">
        <v>0</v>
      </c>
      <c r="E26" s="52" t="str">
        <v/>
      </c>
      <c r="F26" s="52">
        <v>0</v>
      </c>
      <c r="G26" s="52" t="str">
        <v/>
      </c>
      <c r="H26" s="52">
        <v>0</v>
      </c>
      <c r="I26" s="52" t="str">
        <v/>
      </c>
      <c r="J26" s="52">
        <v>0</v>
      </c>
      <c r="K26" s="52" t="str">
        <v/>
      </c>
      <c r="L26" s="52">
        <v>0</v>
      </c>
      <c r="M26" s="52" t="str">
        <v/>
      </c>
      <c r="N26" s="52">
        <v>0</v>
      </c>
      <c r="O26" s="52" t="str">
        <v/>
      </c>
      <c r="P26" s="52">
        <v>0</v>
      </c>
      <c r="Q26" s="52" t="str">
        <v/>
      </c>
      <c r="R26" s="52">
        <v>0</v>
      </c>
      <c r="S26" s="52" t="str">
        <v/>
      </c>
      <c r="T26" s="52">
        <v>0</v>
      </c>
      <c r="U26" s="52" t="str">
        <v/>
      </c>
      <c r="V26" s="52">
        <v>0</v>
      </c>
      <c r="W26" s="52" t="str">
        <v/>
      </c>
      <c r="X26" s="52">
        <v>0</v>
      </c>
      <c r="Y26" s="52" t="str">
        <v/>
      </c>
      <c r="Z26" s="52">
        <v>0</v>
      </c>
      <c r="AA26" s="52" t="str">
        <v/>
      </c>
      <c r="AB26" s="52">
        <v>0</v>
      </c>
      <c r="AC26" s="52" t="str">
        <v/>
      </c>
      <c r="AD26" s="52" t="str">
        <v>giganticRocketry</v>
      </c>
      <c r="AE26" s="52" t="str">
        <v>10m Rocketry</v>
      </c>
      <c r="AF26" s="52">
        <v>0</v>
      </c>
      <c r="AG26" s="52" t="str">
        <v/>
      </c>
      <c r="AH26" s="52" t="str">
        <v>advVeryHeavyRocketry</v>
      </c>
      <c r="AI26" s="52" t="str">
        <v>Advanced 7.75m Rocketry</v>
      </c>
      <c r="AJ26" s="52">
        <v>0</v>
      </c>
      <c r="AK26" s="52" t="str">
        <v/>
      </c>
      <c r="AL26" s="52" t="str">
        <v>experimentalHeavierRocketry</v>
      </c>
      <c r="AM26" s="52" t="str">
        <v>Experimental 5m Rocketry</v>
      </c>
      <c r="AN26" s="52">
        <v>0</v>
      </c>
      <c r="AO26" s="52" t="str">
        <v/>
      </c>
      <c r="AP26" s="52">
        <v>0</v>
      </c>
      <c r="AQ26" s="52" t="str">
        <v/>
      </c>
      <c r="AR26" s="52">
        <v>0</v>
      </c>
      <c r="AS26" s="52" t="str">
        <v/>
      </c>
      <c r="AT26" s="52">
        <v>0</v>
      </c>
      <c r="AU26" s="52" t="str">
        <v/>
      </c>
      <c r="AV26" s="52">
        <v>0</v>
      </c>
      <c r="AW26" s="52" t="str">
        <v/>
      </c>
      <c r="AX26" s="52">
        <v>0</v>
      </c>
      <c r="AY26" s="52" t="str">
        <v/>
      </c>
      <c r="AZ26" s="52">
        <v>0</v>
      </c>
      <c r="BA26" s="52" t="str">
        <v/>
      </c>
      <c r="BB26" s="52">
        <v>0</v>
      </c>
      <c r="BC26" s="52" t="str">
        <v/>
      </c>
      <c r="BD26" s="52">
        <v>0</v>
      </c>
      <c r="BE26" s="52" t="str">
        <v/>
      </c>
      <c r="BF26" s="52">
        <v>0</v>
      </c>
      <c r="BG26" s="52" t="str">
        <v/>
      </c>
      <c r="BH26" s="52">
        <v>0</v>
      </c>
      <c r="BI26" s="52" t="str">
        <v/>
      </c>
      <c r="BJ26" s="52">
        <v>0</v>
      </c>
      <c r="BK26" s="52" t="str">
        <v/>
      </c>
      <c r="BL26" s="52">
        <v>0</v>
      </c>
      <c r="BM26" s="52" t="str">
        <v/>
      </c>
      <c r="BN26" s="52">
        <v>0</v>
      </c>
      <c r="BO26" s="52" t="str">
        <v/>
      </c>
      <c r="BP26" s="52">
        <v>0</v>
      </c>
      <c r="BQ26" s="52" t="str">
        <v/>
      </c>
      <c r="BR26" s="52">
        <v>0</v>
      </c>
      <c r="BS26" s="52" t="str">
        <v/>
      </c>
      <c r="BT26" s="52">
        <v>0</v>
      </c>
      <c r="BU26" s="52" t="str">
        <v/>
      </c>
      <c r="BV26" s="52">
        <v>0</v>
      </c>
      <c r="BW26" s="52" t="str">
        <v/>
      </c>
      <c r="BX26" s="52">
        <v>0</v>
      </c>
      <c r="BY26" s="52" t="str">
        <v/>
      </c>
      <c r="BZ26" s="52">
        <v>0</v>
      </c>
      <c r="CA26" s="52" t="str">
        <v/>
      </c>
      <c r="CB26" s="52">
        <v>0</v>
      </c>
      <c r="CC26" s="52" t="str">
        <v/>
      </c>
      <c r="CD26" s="52">
        <v>0</v>
      </c>
      <c r="CE26" s="52" t="str">
        <v/>
      </c>
      <c r="CF26" s="52">
        <v>0</v>
      </c>
      <c r="CG26" s="52" t="str">
        <v/>
      </c>
      <c r="CH26" s="52">
        <v>0</v>
      </c>
      <c r="CI26" s="52" t="str">
        <v/>
      </c>
      <c r="CJ26" s="52">
        <v>0</v>
      </c>
      <c r="CK26" s="52" t="str">
        <v/>
      </c>
      <c r="CL26" s="52">
        <v>0</v>
      </c>
      <c r="CM26" s="52" t="str">
        <v/>
      </c>
      <c r="CN26" s="52">
        <v>0</v>
      </c>
      <c r="CO26" s="52" t="str">
        <v/>
      </c>
      <c r="CP26" s="52">
        <v>0</v>
      </c>
      <c r="CQ26" s="52" t="str">
        <v/>
      </c>
      <c r="CR26" s="52">
        <v>0</v>
      </c>
      <c r="CS26" s="52" t="str">
        <v/>
      </c>
      <c r="CT26" s="52">
        <v>0</v>
      </c>
      <c r="CU26" s="52" t="str">
        <v/>
      </c>
      <c r="CV26" s="52">
        <v>0</v>
      </c>
      <c r="CW26" s="52" t="str">
        <v/>
      </c>
      <c r="CX26" s="52">
        <v>0</v>
      </c>
      <c r="CY26" s="52" t="str">
        <v/>
      </c>
      <c r="CZ26" s="52">
        <v>0</v>
      </c>
      <c r="DA26" s="52" t="str">
        <v/>
      </c>
      <c r="DB26" s="52">
        <v>0</v>
      </c>
      <c r="DC26" s="52" t="str">
        <v/>
      </c>
      <c r="DD26" s="52">
        <v>0</v>
      </c>
      <c r="DE26" s="52" t="str">
        <v/>
      </c>
      <c r="DF26" s="52">
        <v>0</v>
      </c>
      <c r="DG26" s="52" t="str">
        <v/>
      </c>
      <c r="DH26" s="52">
        <v>0</v>
      </c>
      <c r="DI26" s="52" t="str">
        <v/>
      </c>
      <c r="DJ26" s="52">
        <v>0</v>
      </c>
      <c r="DK26" s="52" t="str">
        <v/>
      </c>
      <c r="DL26" s="52">
        <v>0</v>
      </c>
      <c r="DM26" s="52" t="str">
        <v/>
      </c>
    </row>
    <row r="27" spans="1:117" x14ac:dyDescent="0.25">
      <c r="A27" s="54">
        <v>-3011.2500000000041</v>
      </c>
      <c r="B27" s="52">
        <v>0</v>
      </c>
      <c r="C27" s="52" t="str">
        <v/>
      </c>
      <c r="D27" s="52">
        <v>0</v>
      </c>
      <c r="E27" s="52" t="str">
        <v/>
      </c>
      <c r="F27" s="52">
        <v>0</v>
      </c>
      <c r="G27" s="52" t="str">
        <v/>
      </c>
      <c r="H27" s="52">
        <v>0</v>
      </c>
      <c r="I27" s="52" t="str">
        <v/>
      </c>
      <c r="J27" s="52">
        <v>0</v>
      </c>
      <c r="K27" s="52" t="str">
        <v/>
      </c>
      <c r="L27" s="52">
        <v>0</v>
      </c>
      <c r="M27" s="52" t="str">
        <v/>
      </c>
      <c r="N27" s="52">
        <v>0</v>
      </c>
      <c r="O27" s="52" t="str">
        <v/>
      </c>
      <c r="P27" s="52">
        <v>0</v>
      </c>
      <c r="Q27" s="52" t="str">
        <v/>
      </c>
      <c r="R27" s="52">
        <v>0</v>
      </c>
      <c r="S27" s="52" t="str">
        <v/>
      </c>
      <c r="T27" s="52">
        <v>0</v>
      </c>
      <c r="U27" s="52" t="str">
        <v/>
      </c>
      <c r="V27" s="52">
        <v>0</v>
      </c>
      <c r="W27" s="52" t="str">
        <v/>
      </c>
      <c r="X27" s="52">
        <v>0</v>
      </c>
      <c r="Y27" s="52" t="str">
        <v/>
      </c>
      <c r="Z27" s="52">
        <v>0</v>
      </c>
      <c r="AA27" s="52" t="str">
        <v/>
      </c>
      <c r="AB27" s="52">
        <v>0</v>
      </c>
      <c r="AC27" s="52" t="str">
        <v/>
      </c>
      <c r="AD27" s="52">
        <v>0</v>
      </c>
      <c r="AE27" s="52" t="str">
        <v/>
      </c>
      <c r="AF27" s="52">
        <v>0</v>
      </c>
      <c r="AG27" s="52" t="str">
        <v/>
      </c>
      <c r="AH27" s="52">
        <v>0</v>
      </c>
      <c r="AI27" s="52" t="str">
        <v/>
      </c>
      <c r="AJ27" s="52">
        <v>0</v>
      </c>
      <c r="AK27" s="52" t="str">
        <v/>
      </c>
      <c r="AL27" s="52">
        <v>0</v>
      </c>
      <c r="AM27" s="52" t="str">
        <v/>
      </c>
      <c r="AN27" s="52">
        <v>0</v>
      </c>
      <c r="AO27" s="52" t="str">
        <v/>
      </c>
      <c r="AP27" s="52">
        <v>0</v>
      </c>
      <c r="AQ27" s="52" t="str">
        <v/>
      </c>
      <c r="AR27" s="52">
        <v>0</v>
      </c>
      <c r="AS27" s="52" t="str">
        <v/>
      </c>
      <c r="AT27" s="52">
        <v>0</v>
      </c>
      <c r="AU27" s="52" t="str">
        <v/>
      </c>
      <c r="AV27" s="52">
        <v>0</v>
      </c>
      <c r="AW27" s="52" t="str">
        <v/>
      </c>
      <c r="AX27" s="52">
        <v>0</v>
      </c>
      <c r="AY27" s="52" t="str">
        <v/>
      </c>
      <c r="AZ27" s="52">
        <v>0</v>
      </c>
      <c r="BA27" s="52" t="str">
        <v/>
      </c>
      <c r="BB27" s="52">
        <v>0</v>
      </c>
      <c r="BC27" s="52" t="str">
        <v/>
      </c>
      <c r="BD27" s="52">
        <v>0</v>
      </c>
      <c r="BE27" s="52" t="str">
        <v/>
      </c>
      <c r="BF27" s="52">
        <v>0</v>
      </c>
      <c r="BG27" s="52" t="str">
        <v/>
      </c>
      <c r="BH27" s="52">
        <v>0</v>
      </c>
      <c r="BI27" s="52" t="str">
        <v/>
      </c>
      <c r="BJ27" s="52">
        <v>0</v>
      </c>
      <c r="BK27" s="52" t="str">
        <v/>
      </c>
      <c r="BL27" s="52">
        <v>0</v>
      </c>
      <c r="BM27" s="52" t="str">
        <v/>
      </c>
      <c r="BN27" s="52">
        <v>0</v>
      </c>
      <c r="BO27" s="52" t="str">
        <v/>
      </c>
      <c r="BP27" s="52">
        <v>0</v>
      </c>
      <c r="BQ27" s="52" t="str">
        <v/>
      </c>
      <c r="BR27" s="52">
        <v>0</v>
      </c>
      <c r="BS27" s="52" t="str">
        <v/>
      </c>
      <c r="BT27" s="52">
        <v>0</v>
      </c>
      <c r="BU27" s="52" t="str">
        <v/>
      </c>
      <c r="BV27" s="52">
        <v>0</v>
      </c>
      <c r="BW27" s="52" t="str">
        <v/>
      </c>
      <c r="BX27" s="52">
        <v>0</v>
      </c>
      <c r="BY27" s="52" t="str">
        <v/>
      </c>
      <c r="BZ27" s="52">
        <v>0</v>
      </c>
      <c r="CA27" s="52" t="str">
        <v/>
      </c>
      <c r="CB27" s="52">
        <v>0</v>
      </c>
      <c r="CC27" s="52" t="str">
        <v/>
      </c>
      <c r="CD27" s="52">
        <v>0</v>
      </c>
      <c r="CE27" s="52" t="str">
        <v/>
      </c>
      <c r="CF27" s="52">
        <v>0</v>
      </c>
      <c r="CG27" s="52" t="str">
        <v/>
      </c>
      <c r="CH27" s="52">
        <v>0</v>
      </c>
      <c r="CI27" s="52" t="str">
        <v/>
      </c>
      <c r="CJ27" s="52">
        <v>0</v>
      </c>
      <c r="CK27" s="52" t="str">
        <v/>
      </c>
      <c r="CL27" s="52">
        <v>0</v>
      </c>
      <c r="CM27" s="52" t="str">
        <v/>
      </c>
      <c r="CN27" s="52">
        <v>0</v>
      </c>
      <c r="CO27" s="52" t="str">
        <v/>
      </c>
      <c r="CP27" s="52">
        <v>0</v>
      </c>
      <c r="CQ27" s="52" t="str">
        <v/>
      </c>
      <c r="CR27" s="52">
        <v>0</v>
      </c>
      <c r="CS27" s="52" t="str">
        <v/>
      </c>
      <c r="CT27" s="52">
        <v>0</v>
      </c>
      <c r="CU27" s="52" t="str">
        <v/>
      </c>
      <c r="CV27" s="52">
        <v>0</v>
      </c>
      <c r="CW27" s="52" t="str">
        <v/>
      </c>
      <c r="CX27" s="52">
        <v>0</v>
      </c>
      <c r="CY27" s="52" t="str">
        <v/>
      </c>
      <c r="CZ27" s="52">
        <v>0</v>
      </c>
      <c r="DA27" s="52" t="str">
        <v/>
      </c>
      <c r="DB27" s="52">
        <v>0</v>
      </c>
      <c r="DC27" s="52" t="str">
        <v/>
      </c>
      <c r="DD27" s="52">
        <v>0</v>
      </c>
      <c r="DE27" s="52" t="str">
        <v/>
      </c>
      <c r="DF27" s="52">
        <v>0</v>
      </c>
      <c r="DG27" s="52" t="str">
        <v/>
      </c>
      <c r="DH27" s="52">
        <v>0</v>
      </c>
      <c r="DI27" s="52" t="str">
        <v/>
      </c>
      <c r="DJ27" s="52">
        <v>0</v>
      </c>
      <c r="DK27" s="52" t="str">
        <v/>
      </c>
      <c r="DL27" s="52">
        <v>0</v>
      </c>
      <c r="DM27" s="52" t="str">
        <v/>
      </c>
    </row>
    <row r="28" spans="1:117" x14ac:dyDescent="0.25">
      <c r="A28" s="54">
        <v>-2972.100000000004</v>
      </c>
      <c r="B28" s="52">
        <v>0</v>
      </c>
      <c r="C28" s="52" t="str">
        <v/>
      </c>
      <c r="D28" s="52">
        <v>0</v>
      </c>
      <c r="E28" s="52" t="str">
        <v/>
      </c>
      <c r="F28" s="52">
        <v>0</v>
      </c>
      <c r="G28" s="52" t="str">
        <v/>
      </c>
      <c r="H28" s="52">
        <v>0</v>
      </c>
      <c r="I28" s="52" t="str">
        <v/>
      </c>
      <c r="J28" s="52">
        <v>0</v>
      </c>
      <c r="K28" s="52" t="str">
        <v/>
      </c>
      <c r="L28" s="52">
        <v>0</v>
      </c>
      <c r="M28" s="52" t="str">
        <v/>
      </c>
      <c r="N28" s="52">
        <v>0</v>
      </c>
      <c r="O28" s="52" t="str">
        <v/>
      </c>
      <c r="P28" s="52">
        <v>0</v>
      </c>
      <c r="Q28" s="52" t="str">
        <v/>
      </c>
      <c r="R28" s="52">
        <v>0</v>
      </c>
      <c r="S28" s="52" t="str">
        <v/>
      </c>
      <c r="T28" s="52">
        <v>0</v>
      </c>
      <c r="U28" s="52" t="str">
        <v/>
      </c>
      <c r="V28" s="52">
        <v>0</v>
      </c>
      <c r="W28" s="52" t="str">
        <v/>
      </c>
      <c r="X28" s="52">
        <v>0</v>
      </c>
      <c r="Y28" s="52" t="str">
        <v/>
      </c>
      <c r="Z28" s="52">
        <v>0</v>
      </c>
      <c r="AA28" s="52" t="str">
        <v/>
      </c>
      <c r="AB28" s="52">
        <v>0</v>
      </c>
      <c r="AC28" s="52" t="str">
        <v/>
      </c>
      <c r="AD28" s="52">
        <v>0</v>
      </c>
      <c r="AE28" s="52" t="str">
        <v/>
      </c>
      <c r="AF28" s="52">
        <v>0</v>
      </c>
      <c r="AG28" s="52" t="str">
        <v/>
      </c>
      <c r="AH28" s="52" t="str">
        <v>veryHeavyRocketry</v>
      </c>
      <c r="AI28" s="52" t="str">
        <v>7.75m Rocketry</v>
      </c>
      <c r="AJ28" s="52">
        <v>0</v>
      </c>
      <c r="AK28" s="52" t="str">
        <v/>
      </c>
      <c r="AL28" s="52" t="str">
        <v>advHeavierRocketry</v>
      </c>
      <c r="AM28" s="52" t="str">
        <v>Advanced 5m Rocketry</v>
      </c>
      <c r="AN28" s="52">
        <v>0</v>
      </c>
      <c r="AO28" s="52" t="str">
        <v/>
      </c>
      <c r="AP28" s="52" t="str">
        <v>experimentalHeavyRocketry</v>
      </c>
      <c r="AQ28" s="52" t="str">
        <v>Experimental 3.75m Rocketry</v>
      </c>
      <c r="AR28" s="52">
        <v>0</v>
      </c>
      <c r="AS28" s="52" t="str">
        <v/>
      </c>
      <c r="AT28" s="52">
        <v>0</v>
      </c>
      <c r="AU28" s="52" t="str">
        <v/>
      </c>
      <c r="AV28" s="52">
        <v>0</v>
      </c>
      <c r="AW28" s="52" t="str">
        <v/>
      </c>
      <c r="AX28" s="52">
        <v>0</v>
      </c>
      <c r="AY28" s="52" t="str">
        <v/>
      </c>
      <c r="AZ28" s="52">
        <v>0</v>
      </c>
      <c r="BA28" s="52" t="str">
        <v/>
      </c>
      <c r="BB28" s="52">
        <v>0</v>
      </c>
      <c r="BC28" s="52" t="str">
        <v/>
      </c>
      <c r="BD28" s="52">
        <v>0</v>
      </c>
      <c r="BE28" s="52" t="str">
        <v/>
      </c>
      <c r="BF28" s="52">
        <v>0</v>
      </c>
      <c r="BG28" s="52" t="str">
        <v/>
      </c>
      <c r="BH28" s="52">
        <v>0</v>
      </c>
      <c r="BI28" s="52" t="str">
        <v/>
      </c>
      <c r="BJ28" s="52">
        <v>0</v>
      </c>
      <c r="BK28" s="52" t="str">
        <v/>
      </c>
      <c r="BL28" s="52">
        <v>0</v>
      </c>
      <c r="BM28" s="52" t="str">
        <v/>
      </c>
      <c r="BN28" s="52">
        <v>0</v>
      </c>
      <c r="BO28" s="52" t="str">
        <v/>
      </c>
      <c r="BP28" s="52">
        <v>0</v>
      </c>
      <c r="BQ28" s="52" t="str">
        <v/>
      </c>
      <c r="BR28" s="52">
        <v>0</v>
      </c>
      <c r="BS28" s="52" t="str">
        <v/>
      </c>
      <c r="BT28" s="52">
        <v>0</v>
      </c>
      <c r="BU28" s="52" t="str">
        <v/>
      </c>
      <c r="BV28" s="52" t="str">
        <v>exoticFuelStorage</v>
      </c>
      <c r="BW28" s="52" t="str">
        <v>Experimental Conversion Systems</v>
      </c>
      <c r="BX28" s="52">
        <v>0</v>
      </c>
      <c r="BY28" s="52" t="str">
        <v/>
      </c>
      <c r="BZ28" s="52">
        <v>0</v>
      </c>
      <c r="CA28" s="52" t="str">
        <v/>
      </c>
      <c r="CB28" s="52">
        <v>0</v>
      </c>
      <c r="CC28" s="52" t="str">
        <v/>
      </c>
      <c r="CD28" s="52">
        <v>0</v>
      </c>
      <c r="CE28" s="52" t="str">
        <v/>
      </c>
      <c r="CF28" s="52">
        <v>0</v>
      </c>
      <c r="CG28" s="52" t="str">
        <v/>
      </c>
      <c r="CH28" s="52">
        <v>0</v>
      </c>
      <c r="CI28" s="52" t="str">
        <v/>
      </c>
      <c r="CJ28" s="52">
        <v>0</v>
      </c>
      <c r="CK28" s="52" t="str">
        <v/>
      </c>
      <c r="CL28" s="52">
        <v>0</v>
      </c>
      <c r="CM28" s="52" t="str">
        <v/>
      </c>
      <c r="CN28" s="52">
        <v>0</v>
      </c>
      <c r="CO28" s="52" t="str">
        <v/>
      </c>
      <c r="CP28" s="52">
        <v>0</v>
      </c>
      <c r="CQ28" s="52" t="str">
        <v/>
      </c>
      <c r="CR28" s="52">
        <v>0</v>
      </c>
      <c r="CS28" s="52" t="str">
        <v/>
      </c>
      <c r="CT28" s="52">
        <v>0</v>
      </c>
      <c r="CU28" s="52" t="str">
        <v/>
      </c>
      <c r="CV28" s="52">
        <v>0</v>
      </c>
      <c r="CW28" s="52" t="str">
        <v/>
      </c>
      <c r="CX28" s="52">
        <v>0</v>
      </c>
      <c r="CY28" s="52" t="str">
        <v/>
      </c>
      <c r="CZ28" s="52">
        <v>0</v>
      </c>
      <c r="DA28" s="52" t="str">
        <v/>
      </c>
      <c r="DB28" s="52">
        <v>0</v>
      </c>
      <c r="DC28" s="52" t="str">
        <v/>
      </c>
      <c r="DD28" s="52">
        <v>0</v>
      </c>
      <c r="DE28" s="52" t="str">
        <v/>
      </c>
      <c r="DF28" s="52">
        <v>0</v>
      </c>
      <c r="DG28" s="52" t="str">
        <v/>
      </c>
      <c r="DH28" s="52">
        <v>0</v>
      </c>
      <c r="DI28" s="52" t="str">
        <v/>
      </c>
      <c r="DJ28" s="52">
        <v>0</v>
      </c>
      <c r="DK28" s="52" t="str">
        <v/>
      </c>
      <c r="DL28" s="52">
        <v>0</v>
      </c>
      <c r="DM28" s="52" t="str">
        <v/>
      </c>
    </row>
    <row r="29" spans="1:117" x14ac:dyDescent="0.25">
      <c r="A29" s="54">
        <v>-2932.9500000000039</v>
      </c>
      <c r="B29" s="52">
        <v>0</v>
      </c>
      <c r="C29" s="52" t="str">
        <v/>
      </c>
      <c r="D29" s="52">
        <v>0</v>
      </c>
      <c r="E29" s="52" t="str">
        <v/>
      </c>
      <c r="F29" s="52">
        <v>0</v>
      </c>
      <c r="G29" s="52" t="str">
        <v/>
      </c>
      <c r="H29" s="52">
        <v>0</v>
      </c>
      <c r="I29" s="52" t="str">
        <v/>
      </c>
      <c r="J29" s="52">
        <v>0</v>
      </c>
      <c r="K29" s="52" t="str">
        <v/>
      </c>
      <c r="L29" s="52">
        <v>0</v>
      </c>
      <c r="M29" s="52" t="str">
        <v/>
      </c>
      <c r="N29" s="52">
        <v>0</v>
      </c>
      <c r="O29" s="52" t="str">
        <v/>
      </c>
      <c r="P29" s="52">
        <v>0</v>
      </c>
      <c r="Q29" s="52" t="str">
        <v/>
      </c>
      <c r="R29" s="52">
        <v>0</v>
      </c>
      <c r="S29" s="52" t="str">
        <v/>
      </c>
      <c r="T29" s="52">
        <v>0</v>
      </c>
      <c r="U29" s="52" t="str">
        <v/>
      </c>
      <c r="V29" s="52">
        <v>0</v>
      </c>
      <c r="W29" s="52" t="str">
        <v/>
      </c>
      <c r="X29" s="52">
        <v>0</v>
      </c>
      <c r="Y29" s="52" t="str">
        <v/>
      </c>
      <c r="Z29" s="52">
        <v>0</v>
      </c>
      <c r="AA29" s="52" t="str">
        <v/>
      </c>
      <c r="AB29" s="52">
        <v>0</v>
      </c>
      <c r="AC29" s="52" t="str">
        <v/>
      </c>
      <c r="AD29" s="52">
        <v>0</v>
      </c>
      <c r="AE29" s="52" t="str">
        <v/>
      </c>
      <c r="AF29" s="52">
        <v>0</v>
      </c>
      <c r="AG29" s="52" t="str">
        <v/>
      </c>
      <c r="AH29" s="52">
        <v>0</v>
      </c>
      <c r="AI29" s="52" t="str">
        <v/>
      </c>
      <c r="AJ29" s="52">
        <v>0</v>
      </c>
      <c r="AK29" s="52" t="str">
        <v/>
      </c>
      <c r="AL29" s="52">
        <v>0</v>
      </c>
      <c r="AM29" s="52" t="str">
        <v/>
      </c>
      <c r="AN29" s="52">
        <v>0</v>
      </c>
      <c r="AO29" s="52" t="str">
        <v/>
      </c>
      <c r="AP29" s="52">
        <v>0</v>
      </c>
      <c r="AQ29" s="52" t="str">
        <v/>
      </c>
      <c r="AR29" s="52">
        <v>0</v>
      </c>
      <c r="AS29" s="52" t="str">
        <v/>
      </c>
      <c r="AT29" s="52">
        <v>0</v>
      </c>
      <c r="AU29" s="52" t="str">
        <v/>
      </c>
      <c r="AV29" s="52">
        <v>0</v>
      </c>
      <c r="AW29" s="52" t="str">
        <v/>
      </c>
      <c r="AX29" s="52">
        <v>0</v>
      </c>
      <c r="AY29" s="52" t="str">
        <v/>
      </c>
      <c r="AZ29" s="52">
        <v>0</v>
      </c>
      <c r="BA29" s="52" t="str">
        <v/>
      </c>
      <c r="BB29" s="52">
        <v>0</v>
      </c>
      <c r="BC29" s="52" t="str">
        <v/>
      </c>
      <c r="BD29" s="52">
        <v>0</v>
      </c>
      <c r="BE29" s="52" t="str">
        <v/>
      </c>
      <c r="BF29" s="52">
        <v>0</v>
      </c>
      <c r="BG29" s="52" t="str">
        <v/>
      </c>
      <c r="BH29" s="52">
        <v>0</v>
      </c>
      <c r="BI29" s="52" t="str">
        <v/>
      </c>
      <c r="BJ29" s="52">
        <v>0</v>
      </c>
      <c r="BK29" s="52" t="str">
        <v/>
      </c>
      <c r="BL29" s="52">
        <v>0</v>
      </c>
      <c r="BM29" s="52" t="str">
        <v/>
      </c>
      <c r="BN29" s="52">
        <v>0</v>
      </c>
      <c r="BO29" s="52" t="str">
        <v/>
      </c>
      <c r="BP29" s="52">
        <v>0</v>
      </c>
      <c r="BQ29" s="52" t="str">
        <v/>
      </c>
      <c r="BR29" s="52">
        <v>0</v>
      </c>
      <c r="BS29" s="52" t="str">
        <v/>
      </c>
      <c r="BT29" s="52">
        <v>0</v>
      </c>
      <c r="BU29" s="52" t="str">
        <v/>
      </c>
      <c r="BV29" s="52">
        <v>0</v>
      </c>
      <c r="BW29" s="52" t="str">
        <v/>
      </c>
      <c r="BX29" s="52">
        <v>0</v>
      </c>
      <c r="BY29" s="52" t="str">
        <v/>
      </c>
      <c r="BZ29" s="52">
        <v>0</v>
      </c>
      <c r="CA29" s="52" t="str">
        <v/>
      </c>
      <c r="CB29" s="52">
        <v>0</v>
      </c>
      <c r="CC29" s="52" t="str">
        <v/>
      </c>
      <c r="CD29" s="52">
        <v>0</v>
      </c>
      <c r="CE29" s="52" t="str">
        <v/>
      </c>
      <c r="CF29" s="52">
        <v>0</v>
      </c>
      <c r="CG29" s="52" t="str">
        <v/>
      </c>
      <c r="CH29" s="52">
        <v>0</v>
      </c>
      <c r="CI29" s="52" t="str">
        <v/>
      </c>
      <c r="CJ29" s="52">
        <v>0</v>
      </c>
      <c r="CK29" s="52" t="str">
        <v/>
      </c>
      <c r="CL29" s="52">
        <v>0</v>
      </c>
      <c r="CM29" s="52" t="str">
        <v/>
      </c>
      <c r="CN29" s="52">
        <v>0</v>
      </c>
      <c r="CO29" s="52" t="str">
        <v/>
      </c>
      <c r="CP29" s="52">
        <v>0</v>
      </c>
      <c r="CQ29" s="52" t="str">
        <v/>
      </c>
      <c r="CR29" s="52">
        <v>0</v>
      </c>
      <c r="CS29" s="52" t="str">
        <v/>
      </c>
      <c r="CT29" s="52">
        <v>0</v>
      </c>
      <c r="CU29" s="52" t="str">
        <v/>
      </c>
      <c r="CV29" s="52">
        <v>0</v>
      </c>
      <c r="CW29" s="52" t="str">
        <v/>
      </c>
      <c r="CX29" s="52">
        <v>0</v>
      </c>
      <c r="CY29" s="52" t="str">
        <v/>
      </c>
      <c r="CZ29" s="52">
        <v>0</v>
      </c>
      <c r="DA29" s="52" t="str">
        <v/>
      </c>
      <c r="DB29" s="52">
        <v>0</v>
      </c>
      <c r="DC29" s="52" t="str">
        <v/>
      </c>
      <c r="DD29" s="52">
        <v>0</v>
      </c>
      <c r="DE29" s="52" t="str">
        <v/>
      </c>
      <c r="DF29" s="52">
        <v>0</v>
      </c>
      <c r="DG29" s="52" t="str">
        <v/>
      </c>
      <c r="DH29" s="52">
        <v>0</v>
      </c>
      <c r="DI29" s="52" t="str">
        <v/>
      </c>
      <c r="DJ29" s="52">
        <v>0</v>
      </c>
      <c r="DK29" s="52" t="str">
        <v/>
      </c>
      <c r="DL29" s="52">
        <v>0</v>
      </c>
      <c r="DM29" s="52" t="str">
        <v/>
      </c>
    </row>
    <row r="30" spans="1:117" x14ac:dyDescent="0.25">
      <c r="A30" s="54">
        <v>-2893.8000000000038</v>
      </c>
      <c r="B30" s="52">
        <v>0</v>
      </c>
      <c r="C30" s="52" t="str">
        <v/>
      </c>
      <c r="D30" s="52">
        <v>0</v>
      </c>
      <c r="E30" s="52" t="str">
        <v/>
      </c>
      <c r="F30" s="52">
        <v>0</v>
      </c>
      <c r="G30" s="52" t="str">
        <v/>
      </c>
      <c r="H30" s="52">
        <v>0</v>
      </c>
      <c r="I30" s="52" t="str">
        <v/>
      </c>
      <c r="J30" s="52">
        <v>0</v>
      </c>
      <c r="K30" s="52" t="str">
        <v/>
      </c>
      <c r="L30" s="52">
        <v>0</v>
      </c>
      <c r="M30" s="52" t="str">
        <v/>
      </c>
      <c r="N30" s="52">
        <v>0</v>
      </c>
      <c r="O30" s="52" t="str">
        <v/>
      </c>
      <c r="P30" s="52">
        <v>0</v>
      </c>
      <c r="Q30" s="52" t="str">
        <v/>
      </c>
      <c r="R30" s="52">
        <v>0</v>
      </c>
      <c r="S30" s="52" t="str">
        <v/>
      </c>
      <c r="T30" s="52">
        <v>0</v>
      </c>
      <c r="U30" s="52" t="str">
        <v/>
      </c>
      <c r="V30" s="52">
        <v>0</v>
      </c>
      <c r="W30" s="52" t="str">
        <v/>
      </c>
      <c r="X30" s="52">
        <v>0</v>
      </c>
      <c r="Y30" s="52" t="str">
        <v/>
      </c>
      <c r="Z30" s="52">
        <v>0</v>
      </c>
      <c r="AA30" s="52" t="str">
        <v/>
      </c>
      <c r="AB30" s="52">
        <v>0</v>
      </c>
      <c r="AC30" s="52" t="str">
        <v/>
      </c>
      <c r="AD30" s="52">
        <v>0</v>
      </c>
      <c r="AE30" s="52" t="str">
        <v/>
      </c>
      <c r="AF30" s="52">
        <v>0</v>
      </c>
      <c r="AG30" s="52" t="str">
        <v/>
      </c>
      <c r="AH30" s="52">
        <v>0</v>
      </c>
      <c r="AI30" s="52" t="str">
        <v/>
      </c>
      <c r="AJ30" s="52">
        <v>0</v>
      </c>
      <c r="AK30" s="52" t="str">
        <v/>
      </c>
      <c r="AL30" s="52" t="str">
        <v>heavierRocketry</v>
      </c>
      <c r="AM30" s="52" t="str">
        <v>5m Rocketry</v>
      </c>
      <c r="AN30" s="52">
        <v>0</v>
      </c>
      <c r="AO30" s="52" t="str">
        <v/>
      </c>
      <c r="AP30" s="52" t="str">
        <v>advHeavyRocketry</v>
      </c>
      <c r="AQ30" s="52" t="str">
        <v>Advanced 3.75m Rocketry</v>
      </c>
      <c r="AR30" s="52">
        <v>0</v>
      </c>
      <c r="AS30" s="52" t="str">
        <v/>
      </c>
      <c r="AT30" s="52" t="str">
        <v>experimentalAdvancedRocketry</v>
      </c>
      <c r="AU30" s="52" t="str">
        <v>Experimental 2.5m Rocketry</v>
      </c>
      <c r="AV30" s="52">
        <v>0</v>
      </c>
      <c r="AW30" s="52" t="str">
        <v/>
      </c>
      <c r="AX30" s="52">
        <v>0</v>
      </c>
      <c r="AY30" s="52" t="str">
        <v/>
      </c>
      <c r="AZ30" s="52">
        <v>0</v>
      </c>
      <c r="BA30" s="52" t="str">
        <v/>
      </c>
      <c r="BB30" s="52">
        <v>0</v>
      </c>
      <c r="BC30" s="52" t="str">
        <v/>
      </c>
      <c r="BD30" s="52">
        <v>0</v>
      </c>
      <c r="BE30" s="52" t="str">
        <v/>
      </c>
      <c r="BF30" s="52">
        <v>0</v>
      </c>
      <c r="BG30" s="52" t="str">
        <v/>
      </c>
      <c r="BH30" s="52">
        <v>0</v>
      </c>
      <c r="BI30" s="52" t="str">
        <v/>
      </c>
      <c r="BJ30" s="52">
        <v>0</v>
      </c>
      <c r="BK30" s="52" t="str">
        <v/>
      </c>
      <c r="BL30" s="52">
        <v>0</v>
      </c>
      <c r="BM30" s="52" t="str">
        <v/>
      </c>
      <c r="BN30" s="52">
        <v>0</v>
      </c>
      <c r="BO30" s="52" t="str">
        <v/>
      </c>
      <c r="BP30" s="52">
        <v>0</v>
      </c>
      <c r="BQ30" s="52" t="str">
        <v/>
      </c>
      <c r="BR30" s="52" t="str">
        <v>resourceExploitation</v>
      </c>
      <c r="BS30" s="52" t="str">
        <v>Resource Exploitation</v>
      </c>
      <c r="BT30" s="52">
        <v>0</v>
      </c>
      <c r="BU30" s="52" t="str">
        <v/>
      </c>
      <c r="BV30" s="52" t="str">
        <v>extremeFuelStorage</v>
      </c>
      <c r="BW30" s="52" t="str">
        <v>Advanced Conversion Systems</v>
      </c>
      <c r="BX30" s="52">
        <v>0</v>
      </c>
      <c r="BY30" s="52" t="str">
        <v/>
      </c>
      <c r="BZ30" s="52">
        <v>0</v>
      </c>
      <c r="CA30" s="52" t="str">
        <v/>
      </c>
      <c r="CB30" s="52">
        <v>0</v>
      </c>
      <c r="CC30" s="52" t="str">
        <v/>
      </c>
      <c r="CD30" s="52">
        <v>0</v>
      </c>
      <c r="CE30" s="52" t="str">
        <v/>
      </c>
      <c r="CF30" s="52">
        <v>0</v>
      </c>
      <c r="CG30" s="52" t="str">
        <v/>
      </c>
      <c r="CH30" s="52">
        <v>0</v>
      </c>
      <c r="CI30" s="52" t="str">
        <v/>
      </c>
      <c r="CJ30" s="52">
        <v>0</v>
      </c>
      <c r="CK30" s="52" t="str">
        <v/>
      </c>
      <c r="CL30" s="52">
        <v>0</v>
      </c>
      <c r="CM30" s="52" t="str">
        <v/>
      </c>
      <c r="CN30" s="52">
        <v>0</v>
      </c>
      <c r="CO30" s="52" t="str">
        <v/>
      </c>
      <c r="CP30" s="52">
        <v>0</v>
      </c>
      <c r="CQ30" s="52" t="str">
        <v/>
      </c>
      <c r="CR30" s="52">
        <v>0</v>
      </c>
      <c r="CS30" s="52" t="str">
        <v/>
      </c>
      <c r="CT30" s="52">
        <v>0</v>
      </c>
      <c r="CU30" s="52" t="str">
        <v/>
      </c>
      <c r="CV30" s="52">
        <v>0</v>
      </c>
      <c r="CW30" s="52" t="str">
        <v/>
      </c>
      <c r="CX30" s="52">
        <v>0</v>
      </c>
      <c r="CY30" s="52" t="str">
        <v/>
      </c>
      <c r="CZ30" s="52">
        <v>0</v>
      </c>
      <c r="DA30" s="52" t="str">
        <v/>
      </c>
      <c r="DB30" s="52">
        <v>0</v>
      </c>
      <c r="DC30" s="52" t="str">
        <v/>
      </c>
      <c r="DD30" s="52">
        <v>0</v>
      </c>
      <c r="DE30" s="52" t="str">
        <v/>
      </c>
      <c r="DF30" s="52">
        <v>0</v>
      </c>
      <c r="DG30" s="52" t="str">
        <v/>
      </c>
      <c r="DH30" s="52">
        <v>0</v>
      </c>
      <c r="DI30" s="52" t="str">
        <v/>
      </c>
      <c r="DJ30" s="52">
        <v>0</v>
      </c>
      <c r="DK30" s="52" t="str">
        <v/>
      </c>
      <c r="DL30" s="52">
        <v>0</v>
      </c>
      <c r="DM30" s="52" t="str">
        <v/>
      </c>
    </row>
    <row r="31" spans="1:117" x14ac:dyDescent="0.25">
      <c r="A31" s="54">
        <v>-2854.6500000000037</v>
      </c>
      <c r="B31" s="52">
        <v>0</v>
      </c>
      <c r="C31" s="52" t="str">
        <v/>
      </c>
      <c r="D31" s="52">
        <v>0</v>
      </c>
      <c r="E31" s="52" t="str">
        <v/>
      </c>
      <c r="F31" s="52">
        <v>0</v>
      </c>
      <c r="G31" s="52" t="str">
        <v/>
      </c>
      <c r="H31" s="52">
        <v>0</v>
      </c>
      <c r="I31" s="52" t="str">
        <v/>
      </c>
      <c r="J31" s="52">
        <v>0</v>
      </c>
      <c r="K31" s="52" t="str">
        <v/>
      </c>
      <c r="L31" s="52">
        <v>0</v>
      </c>
      <c r="M31" s="52" t="str">
        <v/>
      </c>
      <c r="N31" s="52">
        <v>0</v>
      </c>
      <c r="O31" s="52" t="str">
        <v/>
      </c>
      <c r="P31" s="52">
        <v>0</v>
      </c>
      <c r="Q31" s="52" t="str">
        <v/>
      </c>
      <c r="R31" s="52">
        <v>0</v>
      </c>
      <c r="S31" s="52" t="str">
        <v/>
      </c>
      <c r="T31" s="52">
        <v>0</v>
      </c>
      <c r="U31" s="52" t="str">
        <v/>
      </c>
      <c r="V31" s="52">
        <v>0</v>
      </c>
      <c r="W31" s="52" t="str">
        <v/>
      </c>
      <c r="X31" s="52">
        <v>0</v>
      </c>
      <c r="Y31" s="52" t="str">
        <v/>
      </c>
      <c r="Z31" s="52">
        <v>0</v>
      </c>
      <c r="AA31" s="52" t="str">
        <v/>
      </c>
      <c r="AB31" s="52">
        <v>0</v>
      </c>
      <c r="AC31" s="52" t="str">
        <v/>
      </c>
      <c r="AD31" s="52">
        <v>0</v>
      </c>
      <c r="AE31" s="52" t="str">
        <v/>
      </c>
      <c r="AF31" s="52">
        <v>0</v>
      </c>
      <c r="AG31" s="52" t="str">
        <v/>
      </c>
      <c r="AH31" s="52">
        <v>0</v>
      </c>
      <c r="AI31" s="52" t="str">
        <v/>
      </c>
      <c r="AJ31" s="52">
        <v>0</v>
      </c>
      <c r="AK31" s="52" t="str">
        <v/>
      </c>
      <c r="AL31" s="52">
        <v>0</v>
      </c>
      <c r="AM31" s="52" t="str">
        <v/>
      </c>
      <c r="AN31" s="52">
        <v>0</v>
      </c>
      <c r="AO31" s="52" t="str">
        <v/>
      </c>
      <c r="AP31" s="52">
        <v>0</v>
      </c>
      <c r="AQ31" s="52" t="str">
        <v/>
      </c>
      <c r="AR31" s="52">
        <v>0</v>
      </c>
      <c r="AS31" s="52" t="str">
        <v/>
      </c>
      <c r="AT31" s="52">
        <v>0</v>
      </c>
      <c r="AU31" s="52" t="str">
        <v/>
      </c>
      <c r="AV31" s="52">
        <v>0</v>
      </c>
      <c r="AW31" s="52" t="str">
        <v/>
      </c>
      <c r="AX31" s="52">
        <v>0</v>
      </c>
      <c r="AY31" s="52" t="str">
        <v/>
      </c>
      <c r="AZ31" s="52">
        <v>0</v>
      </c>
      <c r="BA31" s="52" t="str">
        <v/>
      </c>
      <c r="BB31" s="52">
        <v>0</v>
      </c>
      <c r="BC31" s="52" t="str">
        <v/>
      </c>
      <c r="BD31" s="52">
        <v>0</v>
      </c>
      <c r="BE31" s="52" t="str">
        <v/>
      </c>
      <c r="BF31" s="52">
        <v>0</v>
      </c>
      <c r="BG31" s="52" t="str">
        <v/>
      </c>
      <c r="BH31" s="52">
        <v>0</v>
      </c>
      <c r="BI31" s="52" t="str">
        <v/>
      </c>
      <c r="BJ31" s="52">
        <v>0</v>
      </c>
      <c r="BK31" s="52" t="str">
        <v/>
      </c>
      <c r="BL31" s="52">
        <v>0</v>
      </c>
      <c r="BM31" s="52" t="str">
        <v/>
      </c>
      <c r="BN31" s="52">
        <v>0</v>
      </c>
      <c r="BO31" s="52" t="str">
        <v/>
      </c>
      <c r="BP31" s="52">
        <v>0</v>
      </c>
      <c r="BQ31" s="52" t="str">
        <v/>
      </c>
      <c r="BR31" s="52">
        <v>0</v>
      </c>
      <c r="BS31" s="52" t="str">
        <v/>
      </c>
      <c r="BT31" s="52">
        <v>0</v>
      </c>
      <c r="BU31" s="52" t="str">
        <v/>
      </c>
      <c r="BV31" s="52">
        <v>0</v>
      </c>
      <c r="BW31" s="52" t="str">
        <v/>
      </c>
      <c r="BX31" s="52">
        <v>0</v>
      </c>
      <c r="BY31" s="52" t="str">
        <v/>
      </c>
      <c r="BZ31" s="52">
        <v>0</v>
      </c>
      <c r="CA31" s="52" t="str">
        <v/>
      </c>
      <c r="CB31" s="52">
        <v>0</v>
      </c>
      <c r="CC31" s="52" t="str">
        <v/>
      </c>
      <c r="CD31" s="52">
        <v>0</v>
      </c>
      <c r="CE31" s="52" t="str">
        <v/>
      </c>
      <c r="CF31" s="52">
        <v>0</v>
      </c>
      <c r="CG31" s="52" t="str">
        <v/>
      </c>
      <c r="CH31" s="52">
        <v>0</v>
      </c>
      <c r="CI31" s="52" t="str">
        <v/>
      </c>
      <c r="CJ31" s="52">
        <v>0</v>
      </c>
      <c r="CK31" s="52" t="str">
        <v/>
      </c>
      <c r="CL31" s="52">
        <v>0</v>
      </c>
      <c r="CM31" s="52" t="str">
        <v/>
      </c>
      <c r="CN31" s="52">
        <v>0</v>
      </c>
      <c r="CO31" s="52" t="str">
        <v/>
      </c>
      <c r="CP31" s="52">
        <v>0</v>
      </c>
      <c r="CQ31" s="52" t="str">
        <v/>
      </c>
      <c r="CR31" s="52">
        <v>0</v>
      </c>
      <c r="CS31" s="52" t="str">
        <v/>
      </c>
      <c r="CT31" s="52">
        <v>0</v>
      </c>
      <c r="CU31" s="52" t="str">
        <v/>
      </c>
      <c r="CV31" s="52">
        <v>0</v>
      </c>
      <c r="CW31" s="52" t="str">
        <v/>
      </c>
      <c r="CX31" s="52">
        <v>0</v>
      </c>
      <c r="CY31" s="52" t="str">
        <v/>
      </c>
      <c r="CZ31" s="52">
        <v>0</v>
      </c>
      <c r="DA31" s="52" t="str">
        <v/>
      </c>
      <c r="DB31" s="52">
        <v>0</v>
      </c>
      <c r="DC31" s="52" t="str">
        <v/>
      </c>
      <c r="DD31" s="52">
        <v>0</v>
      </c>
      <c r="DE31" s="52" t="str">
        <v/>
      </c>
      <c r="DF31" s="52">
        <v>0</v>
      </c>
      <c r="DG31" s="52" t="str">
        <v/>
      </c>
      <c r="DH31" s="52">
        <v>0</v>
      </c>
      <c r="DI31" s="52" t="str">
        <v/>
      </c>
      <c r="DJ31" s="52">
        <v>0</v>
      </c>
      <c r="DK31" s="52" t="str">
        <v/>
      </c>
      <c r="DL31" s="52">
        <v>0</v>
      </c>
      <c r="DM31" s="52" t="str">
        <v/>
      </c>
    </row>
    <row r="32" spans="1:117" x14ac:dyDescent="0.25">
      <c r="A32" s="54">
        <v>-2815.5000000000036</v>
      </c>
      <c r="B32" s="52">
        <v>0</v>
      </c>
      <c r="C32" s="52" t="str">
        <v/>
      </c>
      <c r="D32" s="52">
        <v>0</v>
      </c>
      <c r="E32" s="52" t="str">
        <v/>
      </c>
      <c r="F32" s="52">
        <v>0</v>
      </c>
      <c r="G32" s="52" t="str">
        <v/>
      </c>
      <c r="H32" s="52">
        <v>0</v>
      </c>
      <c r="I32" s="52" t="str">
        <v/>
      </c>
      <c r="J32" s="52" t="str">
        <v>ultraHighEnergyPhysics</v>
      </c>
      <c r="K32" s="52" t="str">
        <v>Ultra High Energy Physics</v>
      </c>
      <c r="L32" s="52">
        <v>0</v>
      </c>
      <c r="M32" s="52" t="str">
        <v/>
      </c>
      <c r="N32" s="52">
        <v>0</v>
      </c>
      <c r="O32" s="52" t="str">
        <v/>
      </c>
      <c r="P32" s="52">
        <v>0</v>
      </c>
      <c r="Q32" s="52" t="str">
        <v/>
      </c>
      <c r="R32" s="52">
        <v>0</v>
      </c>
      <c r="S32" s="52" t="str">
        <v/>
      </c>
      <c r="T32" s="52">
        <v>0</v>
      </c>
      <c r="U32" s="52" t="str">
        <v/>
      </c>
      <c r="V32" s="52">
        <v>0</v>
      </c>
      <c r="W32" s="52" t="str">
        <v/>
      </c>
      <c r="X32" s="52">
        <v>0</v>
      </c>
      <c r="Y32" s="52" t="str">
        <v/>
      </c>
      <c r="Z32" s="52">
        <v>0</v>
      </c>
      <c r="AA32" s="52" t="str">
        <v/>
      </c>
      <c r="AB32" s="52">
        <v>0</v>
      </c>
      <c r="AC32" s="52" t="str">
        <v/>
      </c>
      <c r="AD32" s="52">
        <v>0</v>
      </c>
      <c r="AE32" s="52" t="str">
        <v/>
      </c>
      <c r="AF32" s="52">
        <v>0</v>
      </c>
      <c r="AG32" s="52" t="str">
        <v/>
      </c>
      <c r="AH32" s="52">
        <v>0</v>
      </c>
      <c r="AI32" s="52" t="str">
        <v/>
      </c>
      <c r="AJ32" s="52">
        <v>0</v>
      </c>
      <c r="AK32" s="52" t="str">
        <v/>
      </c>
      <c r="AL32" s="52">
        <v>0</v>
      </c>
      <c r="AM32" s="52" t="str">
        <v/>
      </c>
      <c r="AN32" s="52">
        <v>0</v>
      </c>
      <c r="AO32" s="52" t="str">
        <v/>
      </c>
      <c r="AP32" s="52" t="str">
        <v>heavyRocketry</v>
      </c>
      <c r="AQ32" s="52" t="str">
        <v>3.75m Rocketry</v>
      </c>
      <c r="AR32" s="52">
        <v>0</v>
      </c>
      <c r="AS32" s="52" t="str">
        <v/>
      </c>
      <c r="AT32" s="52" t="str">
        <v>advAdvancedRocketry</v>
      </c>
      <c r="AU32" s="52" t="str">
        <v>Advanced 2.5m Rocketry</v>
      </c>
      <c r="AV32" s="52">
        <v>0</v>
      </c>
      <c r="AW32" s="52" t="str">
        <v/>
      </c>
      <c r="AX32" s="52" t="str">
        <v>experimentalIntermediateRocketry</v>
      </c>
      <c r="AY32" s="52" t="str">
        <v>Experimental 1.875m rocketry</v>
      </c>
      <c r="AZ32" s="52">
        <v>0</v>
      </c>
      <c r="BA32" s="52" t="str">
        <v/>
      </c>
      <c r="BB32" s="52">
        <v>0</v>
      </c>
      <c r="BC32" s="52" t="str">
        <v/>
      </c>
      <c r="BD32" s="52">
        <v>0</v>
      </c>
      <c r="BE32" s="52" t="str">
        <v/>
      </c>
      <c r="BF32" s="52">
        <v>0</v>
      </c>
      <c r="BG32" s="52" t="str">
        <v/>
      </c>
      <c r="BH32" s="52">
        <v>0</v>
      </c>
      <c r="BI32" s="52" t="str">
        <v/>
      </c>
      <c r="BJ32" s="52">
        <v>0</v>
      </c>
      <c r="BK32" s="52" t="str">
        <v/>
      </c>
      <c r="BL32" s="52">
        <v>0</v>
      </c>
      <c r="BM32" s="52" t="str">
        <v/>
      </c>
      <c r="BN32" s="52">
        <v>0</v>
      </c>
      <c r="BO32" s="52" t="str">
        <v/>
      </c>
      <c r="BP32" s="52">
        <v>0</v>
      </c>
      <c r="BQ32" s="52" t="str">
        <v/>
      </c>
      <c r="BR32" s="52" t="str">
        <v>advOffWorldMining</v>
      </c>
      <c r="BS32" s="52" t="str">
        <v>Advanced Mining</v>
      </c>
      <c r="BT32" s="52">
        <v>0</v>
      </c>
      <c r="BU32" s="52" t="str">
        <v/>
      </c>
      <c r="BV32" s="52" t="str">
        <v>specializedFuelStorage</v>
      </c>
      <c r="BW32" s="52" t="str">
        <v>Resource Conversion Systems</v>
      </c>
      <c r="BX32" s="52">
        <v>0</v>
      </c>
      <c r="BY32" s="52" t="str">
        <v/>
      </c>
      <c r="BZ32" s="52">
        <v>0</v>
      </c>
      <c r="CA32" s="52" t="str">
        <v/>
      </c>
      <c r="CB32" s="52">
        <v>0</v>
      </c>
      <c r="CC32" s="52" t="str">
        <v/>
      </c>
      <c r="CD32" s="52">
        <v>0</v>
      </c>
      <c r="CE32" s="52" t="str">
        <v/>
      </c>
      <c r="CF32" s="52">
        <v>0</v>
      </c>
      <c r="CG32" s="52" t="str">
        <v/>
      </c>
      <c r="CH32" s="52">
        <v>0</v>
      </c>
      <c r="CI32" s="52" t="str">
        <v/>
      </c>
      <c r="CJ32" s="52">
        <v>0</v>
      </c>
      <c r="CK32" s="52" t="str">
        <v/>
      </c>
      <c r="CL32" s="52">
        <v>0</v>
      </c>
      <c r="CM32" s="52" t="str">
        <v/>
      </c>
      <c r="CN32" s="52">
        <v>0</v>
      </c>
      <c r="CO32" s="52" t="str">
        <v/>
      </c>
      <c r="CP32" s="52">
        <v>0</v>
      </c>
      <c r="CQ32" s="52" t="str">
        <v/>
      </c>
      <c r="CR32" s="52">
        <v>0</v>
      </c>
      <c r="CS32" s="52" t="str">
        <v/>
      </c>
      <c r="CT32" s="52">
        <v>0</v>
      </c>
      <c r="CU32" s="52" t="str">
        <v/>
      </c>
      <c r="CV32" s="52">
        <v>0</v>
      </c>
      <c r="CW32" s="52" t="str">
        <v/>
      </c>
      <c r="CX32" s="52">
        <v>0</v>
      </c>
      <c r="CY32" s="52" t="str">
        <v/>
      </c>
      <c r="CZ32" s="52">
        <v>0</v>
      </c>
      <c r="DA32" s="52" t="str">
        <v/>
      </c>
      <c r="DB32" s="52">
        <v>0</v>
      </c>
      <c r="DC32" s="52" t="str">
        <v/>
      </c>
      <c r="DD32" s="52">
        <v>0</v>
      </c>
      <c r="DE32" s="52" t="str">
        <v/>
      </c>
      <c r="DF32" s="52">
        <v>0</v>
      </c>
      <c r="DG32" s="52" t="str">
        <v/>
      </c>
      <c r="DH32" s="52">
        <v>0</v>
      </c>
      <c r="DI32" s="52" t="str">
        <v/>
      </c>
      <c r="DJ32" s="52">
        <v>0</v>
      </c>
      <c r="DK32" s="52" t="str">
        <v/>
      </c>
      <c r="DL32" s="52">
        <v>0</v>
      </c>
      <c r="DM32" s="52" t="str">
        <v/>
      </c>
    </row>
    <row r="33" spans="1:117" x14ac:dyDescent="0.25">
      <c r="A33" s="54">
        <v>-2776.3500000000035</v>
      </c>
      <c r="B33" s="52">
        <v>0</v>
      </c>
      <c r="C33" s="52" t="str">
        <v/>
      </c>
      <c r="D33" s="52">
        <v>0</v>
      </c>
      <c r="E33" s="52" t="str">
        <v/>
      </c>
      <c r="F33" s="52">
        <v>0</v>
      </c>
      <c r="G33" s="52" t="str">
        <v/>
      </c>
      <c r="H33" s="52">
        <v>0</v>
      </c>
      <c r="I33" s="52" t="str">
        <v/>
      </c>
      <c r="J33" s="52">
        <v>0</v>
      </c>
      <c r="K33" s="52" t="str">
        <v/>
      </c>
      <c r="L33" s="52">
        <v>0</v>
      </c>
      <c r="M33" s="52" t="str">
        <v/>
      </c>
      <c r="N33" s="52">
        <v>0</v>
      </c>
      <c r="O33" s="52" t="str">
        <v/>
      </c>
      <c r="P33" s="52">
        <v>0</v>
      </c>
      <c r="Q33" s="52" t="str">
        <v/>
      </c>
      <c r="R33" s="52">
        <v>0</v>
      </c>
      <c r="S33" s="52" t="str">
        <v/>
      </c>
      <c r="T33" s="52">
        <v>0</v>
      </c>
      <c r="U33" s="52" t="str">
        <v/>
      </c>
      <c r="V33" s="52">
        <v>0</v>
      </c>
      <c r="W33" s="52" t="str">
        <v/>
      </c>
      <c r="X33" s="52">
        <v>0</v>
      </c>
      <c r="Y33" s="52" t="str">
        <v/>
      </c>
      <c r="Z33" s="52">
        <v>0</v>
      </c>
      <c r="AA33" s="52" t="str">
        <v/>
      </c>
      <c r="AB33" s="52">
        <v>0</v>
      </c>
      <c r="AC33" s="52" t="str">
        <v/>
      </c>
      <c r="AD33" s="52">
        <v>0</v>
      </c>
      <c r="AE33" s="52" t="str">
        <v/>
      </c>
      <c r="AF33" s="52">
        <v>0</v>
      </c>
      <c r="AG33" s="52" t="str">
        <v/>
      </c>
      <c r="AH33" s="52">
        <v>0</v>
      </c>
      <c r="AI33" s="52" t="str">
        <v/>
      </c>
      <c r="AJ33" s="52">
        <v>0</v>
      </c>
      <c r="AK33" s="52" t="str">
        <v/>
      </c>
      <c r="AL33" s="52">
        <v>0</v>
      </c>
      <c r="AM33" s="52" t="str">
        <v/>
      </c>
      <c r="AN33" s="52">
        <v>0</v>
      </c>
      <c r="AO33" s="52" t="str">
        <v/>
      </c>
      <c r="AP33" s="52">
        <v>0</v>
      </c>
      <c r="AQ33" s="52" t="str">
        <v/>
      </c>
      <c r="AR33" s="52">
        <v>0</v>
      </c>
      <c r="AS33" s="52" t="str">
        <v/>
      </c>
      <c r="AT33" s="52">
        <v>0</v>
      </c>
      <c r="AU33" s="52" t="str">
        <v/>
      </c>
      <c r="AV33" s="52">
        <v>0</v>
      </c>
      <c r="AW33" s="52" t="str">
        <v/>
      </c>
      <c r="AX33" s="52">
        <v>0</v>
      </c>
      <c r="AY33" s="52" t="str">
        <v/>
      </c>
      <c r="AZ33" s="52">
        <v>0</v>
      </c>
      <c r="BA33" s="52" t="str">
        <v/>
      </c>
      <c r="BB33" s="52">
        <v>0</v>
      </c>
      <c r="BC33" s="52" t="str">
        <v/>
      </c>
      <c r="BD33" s="52">
        <v>0</v>
      </c>
      <c r="BE33" s="52" t="str">
        <v/>
      </c>
      <c r="BF33" s="52">
        <v>0</v>
      </c>
      <c r="BG33" s="52" t="str">
        <v/>
      </c>
      <c r="BH33" s="52">
        <v>0</v>
      </c>
      <c r="BI33" s="52" t="str">
        <v/>
      </c>
      <c r="BJ33" s="52">
        <v>0</v>
      </c>
      <c r="BK33" s="52" t="str">
        <v/>
      </c>
      <c r="BL33" s="52">
        <v>0</v>
      </c>
      <c r="BM33" s="52" t="str">
        <v/>
      </c>
      <c r="BN33" s="52">
        <v>0</v>
      </c>
      <c r="BO33" s="52" t="str">
        <v/>
      </c>
      <c r="BP33" s="52">
        <v>0</v>
      </c>
      <c r="BQ33" s="52" t="str">
        <v/>
      </c>
      <c r="BR33" s="52">
        <v>0</v>
      </c>
      <c r="BS33" s="52" t="str">
        <v/>
      </c>
      <c r="BT33" s="52">
        <v>0</v>
      </c>
      <c r="BU33" s="52" t="str">
        <v/>
      </c>
      <c r="BV33" s="52">
        <v>0</v>
      </c>
      <c r="BW33" s="52" t="str">
        <v/>
      </c>
      <c r="BX33" s="52">
        <v>0</v>
      </c>
      <c r="BY33" s="52" t="str">
        <v/>
      </c>
      <c r="BZ33" s="52">
        <v>0</v>
      </c>
      <c r="CA33" s="52" t="str">
        <v/>
      </c>
      <c r="CB33" s="52">
        <v>0</v>
      </c>
      <c r="CC33" s="52" t="str">
        <v/>
      </c>
      <c r="CD33" s="52">
        <v>0</v>
      </c>
      <c r="CE33" s="52" t="str">
        <v/>
      </c>
      <c r="CF33" s="52">
        <v>0</v>
      </c>
      <c r="CG33" s="52" t="str">
        <v/>
      </c>
      <c r="CH33" s="52">
        <v>0</v>
      </c>
      <c r="CI33" s="52" t="str">
        <v/>
      </c>
      <c r="CJ33" s="52">
        <v>0</v>
      </c>
      <c r="CK33" s="52" t="str">
        <v/>
      </c>
      <c r="CL33" s="52">
        <v>0</v>
      </c>
      <c r="CM33" s="52" t="str">
        <v/>
      </c>
      <c r="CN33" s="52">
        <v>0</v>
      </c>
      <c r="CO33" s="52" t="str">
        <v/>
      </c>
      <c r="CP33" s="52">
        <v>0</v>
      </c>
      <c r="CQ33" s="52" t="str">
        <v/>
      </c>
      <c r="CR33" s="52">
        <v>0</v>
      </c>
      <c r="CS33" s="52" t="str">
        <v/>
      </c>
      <c r="CT33" s="52">
        <v>0</v>
      </c>
      <c r="CU33" s="52" t="str">
        <v/>
      </c>
      <c r="CV33" s="52">
        <v>0</v>
      </c>
      <c r="CW33" s="52" t="str">
        <v/>
      </c>
      <c r="CX33" s="52">
        <v>0</v>
      </c>
      <c r="CY33" s="52" t="str">
        <v/>
      </c>
      <c r="CZ33" s="52">
        <v>0</v>
      </c>
      <c r="DA33" s="52" t="str">
        <v/>
      </c>
      <c r="DB33" s="52">
        <v>0</v>
      </c>
      <c r="DC33" s="52" t="str">
        <v/>
      </c>
      <c r="DD33" s="52">
        <v>0</v>
      </c>
      <c r="DE33" s="52" t="str">
        <v/>
      </c>
      <c r="DF33" s="52">
        <v>0</v>
      </c>
      <c r="DG33" s="52" t="str">
        <v/>
      </c>
      <c r="DH33" s="52">
        <v>0</v>
      </c>
      <c r="DI33" s="52" t="str">
        <v/>
      </c>
      <c r="DJ33" s="52">
        <v>0</v>
      </c>
      <c r="DK33" s="52" t="str">
        <v/>
      </c>
      <c r="DL33" s="52">
        <v>0</v>
      </c>
      <c r="DM33" s="52" t="str">
        <v/>
      </c>
    </row>
    <row r="34" spans="1:117" x14ac:dyDescent="0.25">
      <c r="A34" s="54">
        <v>-2737.2000000000035</v>
      </c>
      <c r="B34" s="52">
        <v>0</v>
      </c>
      <c r="C34" s="52" t="str">
        <v/>
      </c>
      <c r="D34" s="52">
        <v>0</v>
      </c>
      <c r="E34" s="52" t="str">
        <v/>
      </c>
      <c r="F34" s="52">
        <v>0</v>
      </c>
      <c r="G34" s="52" t="str">
        <v/>
      </c>
      <c r="H34" s="52">
        <v>0</v>
      </c>
      <c r="I34" s="52" t="str">
        <v/>
      </c>
      <c r="J34" s="52" t="str">
        <v>unifiedFieldTheory</v>
      </c>
      <c r="K34" s="52" t="str">
        <v>Unified Field Theory</v>
      </c>
      <c r="L34" s="52">
        <v>0</v>
      </c>
      <c r="M34" s="52" t="str">
        <v/>
      </c>
      <c r="N34" s="52">
        <v>0</v>
      </c>
      <c r="O34" s="52" t="str">
        <v/>
      </c>
      <c r="P34" s="52">
        <v>0</v>
      </c>
      <c r="Q34" s="52" t="str">
        <v/>
      </c>
      <c r="R34" s="52">
        <v>0</v>
      </c>
      <c r="S34" s="52" t="str">
        <v/>
      </c>
      <c r="T34" s="52">
        <v>0</v>
      </c>
      <c r="U34" s="52" t="str">
        <v/>
      </c>
      <c r="V34" s="52">
        <v>0</v>
      </c>
      <c r="W34" s="52" t="str">
        <v/>
      </c>
      <c r="X34" s="52">
        <v>0</v>
      </c>
      <c r="Y34" s="52" t="str">
        <v/>
      </c>
      <c r="Z34" s="52">
        <v>0</v>
      </c>
      <c r="AA34" s="52" t="str">
        <v/>
      </c>
      <c r="AB34" s="52">
        <v>0</v>
      </c>
      <c r="AC34" s="52" t="str">
        <v/>
      </c>
      <c r="AD34" s="52">
        <v>0</v>
      </c>
      <c r="AE34" s="52" t="str">
        <v/>
      </c>
      <c r="AF34" s="52">
        <v>0</v>
      </c>
      <c r="AG34" s="52" t="str">
        <v/>
      </c>
      <c r="AH34" s="52">
        <v>0</v>
      </c>
      <c r="AI34" s="52" t="str">
        <v/>
      </c>
      <c r="AJ34" s="52">
        <v>0</v>
      </c>
      <c r="AK34" s="52" t="str">
        <v/>
      </c>
      <c r="AL34" s="52">
        <v>0</v>
      </c>
      <c r="AM34" s="52" t="str">
        <v/>
      </c>
      <c r="AN34" s="52">
        <v>0</v>
      </c>
      <c r="AO34" s="52" t="str">
        <v/>
      </c>
      <c r="AP34" s="52">
        <v>0</v>
      </c>
      <c r="AQ34" s="52" t="str">
        <v/>
      </c>
      <c r="AR34" s="52">
        <v>0</v>
      </c>
      <c r="AS34" s="52" t="str">
        <v/>
      </c>
      <c r="AT34" s="52" t="str">
        <v>advRocketry</v>
      </c>
      <c r="AU34" s="52" t="str">
        <v>2.5m Rocketry</v>
      </c>
      <c r="AV34" s="52">
        <v>0</v>
      </c>
      <c r="AW34" s="52" t="str">
        <v/>
      </c>
      <c r="AX34" s="52" t="str">
        <v>advIntermediateRocketry</v>
      </c>
      <c r="AY34" s="52" t="str">
        <v>Advanced 1.875m Rocketry</v>
      </c>
      <c r="AZ34" s="52">
        <v>0</v>
      </c>
      <c r="BA34" s="52" t="str">
        <v/>
      </c>
      <c r="BB34" s="52" t="str">
        <v>experimentalGeneralRocketry</v>
      </c>
      <c r="BC34" s="52" t="str">
        <v>Experimental 1.25m Rocketry</v>
      </c>
      <c r="BD34" s="52">
        <v>0</v>
      </c>
      <c r="BE34" s="52" t="str">
        <v/>
      </c>
      <c r="BF34" s="52">
        <v>0</v>
      </c>
      <c r="BG34" s="52" t="str">
        <v/>
      </c>
      <c r="BH34" s="52">
        <v>0</v>
      </c>
      <c r="BI34" s="52" t="str">
        <v/>
      </c>
      <c r="BJ34" s="52">
        <v>0</v>
      </c>
      <c r="BK34" s="52" t="str">
        <v/>
      </c>
      <c r="BL34" s="52">
        <v>0</v>
      </c>
      <c r="BM34" s="52" t="str">
        <v/>
      </c>
      <c r="BN34" s="52" t="str">
        <v>giganticSolidRockets</v>
      </c>
      <c r="BO34" s="52" t="str">
        <v>Gigantic Solid Rocket Motors</v>
      </c>
      <c r="BP34" s="52">
        <v>0</v>
      </c>
      <c r="BQ34" s="52" t="str">
        <v/>
      </c>
      <c r="BR34" s="52" t="str">
        <v>offWorldMining</v>
      </c>
      <c r="BS34" s="52" t="str">
        <v>Off-world Mining</v>
      </c>
      <c r="BT34" s="52">
        <v>0</v>
      </c>
      <c r="BU34" s="52" t="str">
        <v/>
      </c>
      <c r="BV34" s="52" t="str">
        <v>experimentalRocketry</v>
      </c>
      <c r="BW34" s="52" t="str">
        <v>Experimental Rocketry</v>
      </c>
      <c r="BX34" s="52">
        <v>0</v>
      </c>
      <c r="BY34" s="52" t="str">
        <v/>
      </c>
      <c r="BZ34" s="52">
        <v>0</v>
      </c>
      <c r="CA34" s="52" t="str">
        <v/>
      </c>
      <c r="CB34" s="52">
        <v>0</v>
      </c>
      <c r="CC34" s="52" t="str">
        <v/>
      </c>
      <c r="CD34" s="52">
        <v>0</v>
      </c>
      <c r="CE34" s="52" t="str">
        <v/>
      </c>
      <c r="CF34" s="52">
        <v>0</v>
      </c>
      <c r="CG34" s="52" t="str">
        <v/>
      </c>
      <c r="CH34" s="52">
        <v>0</v>
      </c>
      <c r="CI34" s="52" t="str">
        <v/>
      </c>
      <c r="CJ34" s="52">
        <v>0</v>
      </c>
      <c r="CK34" s="52" t="str">
        <v/>
      </c>
      <c r="CL34" s="52">
        <v>0</v>
      </c>
      <c r="CM34" s="52" t="str">
        <v/>
      </c>
      <c r="CN34" s="52">
        <v>0</v>
      </c>
      <c r="CO34" s="52" t="str">
        <v/>
      </c>
      <c r="CP34" s="52">
        <v>0</v>
      </c>
      <c r="CQ34" s="52" t="str">
        <v/>
      </c>
      <c r="CR34" s="52">
        <v>0</v>
      </c>
      <c r="CS34" s="52" t="str">
        <v/>
      </c>
      <c r="CT34" s="52">
        <v>0</v>
      </c>
      <c r="CU34" s="52" t="str">
        <v/>
      </c>
      <c r="CV34" s="52">
        <v>0</v>
      </c>
      <c r="CW34" s="52" t="str">
        <v/>
      </c>
      <c r="CX34" s="52">
        <v>0</v>
      </c>
      <c r="CY34" s="52" t="str">
        <v/>
      </c>
      <c r="CZ34" s="52">
        <v>0</v>
      </c>
      <c r="DA34" s="52" t="str">
        <v/>
      </c>
      <c r="DB34" s="52">
        <v>0</v>
      </c>
      <c r="DC34" s="52" t="str">
        <v/>
      </c>
      <c r="DD34" s="52">
        <v>0</v>
      </c>
      <c r="DE34" s="52" t="str">
        <v/>
      </c>
      <c r="DF34" s="52">
        <v>0</v>
      </c>
      <c r="DG34" s="52" t="str">
        <v/>
      </c>
      <c r="DH34" s="52">
        <v>0</v>
      </c>
      <c r="DI34" s="52" t="str">
        <v/>
      </c>
      <c r="DJ34" s="52">
        <v>0</v>
      </c>
      <c r="DK34" s="52" t="str">
        <v/>
      </c>
      <c r="DL34" s="52">
        <v>0</v>
      </c>
      <c r="DM34" s="52" t="str">
        <v/>
      </c>
    </row>
    <row r="35" spans="1:117" x14ac:dyDescent="0.25">
      <c r="A35" s="54">
        <v>-2698.0500000000034</v>
      </c>
      <c r="B35" s="52">
        <v>0</v>
      </c>
      <c r="C35" s="52" t="str">
        <v/>
      </c>
      <c r="D35" s="52">
        <v>0</v>
      </c>
      <c r="E35" s="52" t="str">
        <v/>
      </c>
      <c r="F35" s="52">
        <v>0</v>
      </c>
      <c r="G35" s="52" t="str">
        <v/>
      </c>
      <c r="H35" s="52">
        <v>0</v>
      </c>
      <c r="I35" s="52" t="str">
        <v/>
      </c>
      <c r="J35" s="52">
        <v>0</v>
      </c>
      <c r="K35" s="52" t="str">
        <v/>
      </c>
      <c r="L35" s="52">
        <v>0</v>
      </c>
      <c r="M35" s="52" t="str">
        <v/>
      </c>
      <c r="N35" s="52">
        <v>0</v>
      </c>
      <c r="O35" s="52" t="str">
        <v/>
      </c>
      <c r="P35" s="52">
        <v>0</v>
      </c>
      <c r="Q35" s="52" t="str">
        <v/>
      </c>
      <c r="R35" s="52">
        <v>0</v>
      </c>
      <c r="S35" s="52" t="str">
        <v/>
      </c>
      <c r="T35" s="52">
        <v>0</v>
      </c>
      <c r="U35" s="52" t="str">
        <v/>
      </c>
      <c r="V35" s="52">
        <v>0</v>
      </c>
      <c r="W35" s="52" t="str">
        <v/>
      </c>
      <c r="X35" s="52">
        <v>0</v>
      </c>
      <c r="Y35" s="52" t="str">
        <v/>
      </c>
      <c r="Z35" s="52">
        <v>0</v>
      </c>
      <c r="AA35" s="52" t="str">
        <v/>
      </c>
      <c r="AB35" s="52">
        <v>0</v>
      </c>
      <c r="AC35" s="52" t="str">
        <v/>
      </c>
      <c r="AD35" s="52">
        <v>0</v>
      </c>
      <c r="AE35" s="52" t="str">
        <v/>
      </c>
      <c r="AF35" s="52">
        <v>0</v>
      </c>
      <c r="AG35" s="52" t="str">
        <v/>
      </c>
      <c r="AH35" s="52">
        <v>0</v>
      </c>
      <c r="AI35" s="52" t="str">
        <v/>
      </c>
      <c r="AJ35" s="52">
        <v>0</v>
      </c>
      <c r="AK35" s="52" t="str">
        <v/>
      </c>
      <c r="AL35" s="52">
        <v>0</v>
      </c>
      <c r="AM35" s="52" t="str">
        <v/>
      </c>
      <c r="AN35" s="52">
        <v>0</v>
      </c>
      <c r="AO35" s="52" t="str">
        <v/>
      </c>
      <c r="AP35" s="52">
        <v>0</v>
      </c>
      <c r="AQ35" s="52" t="str">
        <v/>
      </c>
      <c r="AR35" s="52">
        <v>0</v>
      </c>
      <c r="AS35" s="52" t="str">
        <v/>
      </c>
      <c r="AT35" s="52">
        <v>0</v>
      </c>
      <c r="AU35" s="52" t="str">
        <v/>
      </c>
      <c r="AV35" s="52">
        <v>0</v>
      </c>
      <c r="AW35" s="52" t="str">
        <v/>
      </c>
      <c r="AX35" s="52">
        <v>0</v>
      </c>
      <c r="AY35" s="52" t="str">
        <v/>
      </c>
      <c r="AZ35" s="52">
        <v>0</v>
      </c>
      <c r="BA35" s="52" t="str">
        <v/>
      </c>
      <c r="BB35" s="52">
        <v>0</v>
      </c>
      <c r="BC35" s="52" t="str">
        <v/>
      </c>
      <c r="BD35" s="52">
        <v>0</v>
      </c>
      <c r="BE35" s="52" t="str">
        <v/>
      </c>
      <c r="BF35" s="52">
        <v>0</v>
      </c>
      <c r="BG35" s="52" t="str">
        <v/>
      </c>
      <c r="BH35" s="52">
        <v>0</v>
      </c>
      <c r="BI35" s="52" t="str">
        <v/>
      </c>
      <c r="BJ35" s="52">
        <v>0</v>
      </c>
      <c r="BK35" s="52" t="str">
        <v/>
      </c>
      <c r="BL35" s="52">
        <v>0</v>
      </c>
      <c r="BM35" s="52" t="str">
        <v/>
      </c>
      <c r="BN35" s="52">
        <v>0</v>
      </c>
      <c r="BO35" s="52" t="str">
        <v/>
      </c>
      <c r="BP35" s="52">
        <v>0</v>
      </c>
      <c r="BQ35" s="52" t="str">
        <v/>
      </c>
      <c r="BR35" s="52">
        <v>0</v>
      </c>
      <c r="BS35" s="52" t="str">
        <v/>
      </c>
      <c r="BT35" s="52">
        <v>0</v>
      </c>
      <c r="BU35" s="52" t="str">
        <v/>
      </c>
      <c r="BV35" s="52">
        <v>0</v>
      </c>
      <c r="BW35" s="52" t="str">
        <v/>
      </c>
      <c r="BX35" s="52">
        <v>0</v>
      </c>
      <c r="BY35" s="52" t="str">
        <v/>
      </c>
      <c r="BZ35" s="52">
        <v>0</v>
      </c>
      <c r="CA35" s="52" t="str">
        <v/>
      </c>
      <c r="CB35" s="52">
        <v>0</v>
      </c>
      <c r="CC35" s="52" t="str">
        <v/>
      </c>
      <c r="CD35" s="52">
        <v>0</v>
      </c>
      <c r="CE35" s="52" t="str">
        <v/>
      </c>
      <c r="CF35" s="52">
        <v>0</v>
      </c>
      <c r="CG35" s="52" t="str">
        <v/>
      </c>
      <c r="CH35" s="52">
        <v>0</v>
      </c>
      <c r="CI35" s="52" t="str">
        <v/>
      </c>
      <c r="CJ35" s="52">
        <v>0</v>
      </c>
      <c r="CK35" s="52" t="str">
        <v/>
      </c>
      <c r="CL35" s="52">
        <v>0</v>
      </c>
      <c r="CM35" s="52" t="str">
        <v/>
      </c>
      <c r="CN35" s="52">
        <v>0</v>
      </c>
      <c r="CO35" s="52" t="str">
        <v/>
      </c>
      <c r="CP35" s="52">
        <v>0</v>
      </c>
      <c r="CQ35" s="52" t="str">
        <v/>
      </c>
      <c r="CR35" s="52">
        <v>0</v>
      </c>
      <c r="CS35" s="52" t="str">
        <v/>
      </c>
      <c r="CT35" s="52">
        <v>0</v>
      </c>
      <c r="CU35" s="52" t="str">
        <v/>
      </c>
      <c r="CV35" s="52">
        <v>0</v>
      </c>
      <c r="CW35" s="52" t="str">
        <v/>
      </c>
      <c r="CX35" s="52">
        <v>0</v>
      </c>
      <c r="CY35" s="52" t="str">
        <v/>
      </c>
      <c r="CZ35" s="52">
        <v>0</v>
      </c>
      <c r="DA35" s="52" t="str">
        <v/>
      </c>
      <c r="DB35" s="52">
        <v>0</v>
      </c>
      <c r="DC35" s="52" t="str">
        <v/>
      </c>
      <c r="DD35" s="52">
        <v>0</v>
      </c>
      <c r="DE35" s="52" t="str">
        <v/>
      </c>
      <c r="DF35" s="52">
        <v>0</v>
      </c>
      <c r="DG35" s="52" t="str">
        <v/>
      </c>
      <c r="DH35" s="52">
        <v>0</v>
      </c>
      <c r="DI35" s="52" t="str">
        <v/>
      </c>
      <c r="DJ35" s="52">
        <v>0</v>
      </c>
      <c r="DK35" s="52" t="str">
        <v/>
      </c>
      <c r="DL35" s="52">
        <v>0</v>
      </c>
      <c r="DM35" s="52" t="str">
        <v/>
      </c>
    </row>
    <row r="36" spans="1:117" x14ac:dyDescent="0.25">
      <c r="A36" s="54">
        <v>-2658.9000000000033</v>
      </c>
      <c r="B36" s="52">
        <v>0</v>
      </c>
      <c r="C36" s="52" t="str">
        <v/>
      </c>
      <c r="D36" s="52">
        <v>0</v>
      </c>
      <c r="E36" s="52" t="str">
        <v/>
      </c>
      <c r="F36" s="52" t="str">
        <v>quantumReactions</v>
      </c>
      <c r="G36" s="52" t="str">
        <v>High-density Fusion Reactions</v>
      </c>
      <c r="H36" s="52">
        <v>0</v>
      </c>
      <c r="I36" s="52" t="str">
        <v/>
      </c>
      <c r="J36" s="52" t="str">
        <v>exoticReactions</v>
      </c>
      <c r="K36" s="52" t="str">
        <v>Exotic Fusion Reactors</v>
      </c>
      <c r="L36" s="52">
        <v>0</v>
      </c>
      <c r="M36" s="52" t="str">
        <v/>
      </c>
      <c r="N36" s="52" t="str">
        <v>advFusionReactions</v>
      </c>
      <c r="O36" s="52" t="str">
        <v>Advanced Fusion Reactors</v>
      </c>
      <c r="P36" s="52">
        <v>0</v>
      </c>
      <c r="Q36" s="52" t="str">
        <v/>
      </c>
      <c r="R36" s="52" t="str">
        <v>fusionRockets</v>
      </c>
      <c r="S36" s="52" t="str">
        <v>Fusion Rockets</v>
      </c>
      <c r="T36" s="52">
        <v>0</v>
      </c>
      <c r="U36" s="52" t="str">
        <v/>
      </c>
      <c r="V36" s="52" t="str">
        <v>fusionPower</v>
      </c>
      <c r="W36" s="52" t="str">
        <v>Fusion Power</v>
      </c>
      <c r="X36" s="52">
        <v>0</v>
      </c>
      <c r="Y36" s="52" t="str">
        <v/>
      </c>
      <c r="Z36" s="52">
        <v>0</v>
      </c>
      <c r="AA36" s="52" t="str">
        <v/>
      </c>
      <c r="AB36" s="52">
        <v>0</v>
      </c>
      <c r="AC36" s="52" t="str">
        <v/>
      </c>
      <c r="AD36" s="52">
        <v>0</v>
      </c>
      <c r="AE36" s="52" t="str">
        <v/>
      </c>
      <c r="AF36" s="52">
        <v>0</v>
      </c>
      <c r="AG36" s="52" t="str">
        <v/>
      </c>
      <c r="AH36" s="52">
        <v>0</v>
      </c>
      <c r="AI36" s="52" t="str">
        <v/>
      </c>
      <c r="AJ36" s="52">
        <v>0</v>
      </c>
      <c r="AK36" s="52" t="str">
        <v/>
      </c>
      <c r="AL36" s="52">
        <v>0</v>
      </c>
      <c r="AM36" s="52" t="str">
        <v/>
      </c>
      <c r="AN36" s="52">
        <v>0</v>
      </c>
      <c r="AO36" s="52" t="str">
        <v/>
      </c>
      <c r="AP36" s="52">
        <v>0</v>
      </c>
      <c r="AQ36" s="52" t="str">
        <v/>
      </c>
      <c r="AR36" s="52">
        <v>0</v>
      </c>
      <c r="AS36" s="52" t="str">
        <v/>
      </c>
      <c r="AT36" s="52">
        <v>0</v>
      </c>
      <c r="AU36" s="52" t="str">
        <v/>
      </c>
      <c r="AV36" s="52">
        <v>0</v>
      </c>
      <c r="AW36" s="52" t="str">
        <v/>
      </c>
      <c r="AX36" s="52" t="str">
        <v>intermediateRocketry</v>
      </c>
      <c r="AY36" s="52" t="str">
        <v>1.875m Rocketry</v>
      </c>
      <c r="AZ36" s="52">
        <v>0</v>
      </c>
      <c r="BA36" s="52" t="str">
        <v/>
      </c>
      <c r="BB36" s="52" t="str">
        <v>advGeneralRocketry</v>
      </c>
      <c r="BC36" s="52" t="str">
        <v>Advanced 1.25m Rocketry</v>
      </c>
      <c r="BD36" s="52">
        <v>0</v>
      </c>
      <c r="BE36" s="52" t="str">
        <v/>
      </c>
      <c r="BF36" s="52" t="str">
        <v>experimentalPrecisionEngineering</v>
      </c>
      <c r="BG36" s="52" t="str">
        <v>Experimental 0.625m Rocketry</v>
      </c>
      <c r="BH36" s="52">
        <v>0</v>
      </c>
      <c r="BI36" s="52" t="str">
        <v/>
      </c>
      <c r="BJ36" s="52">
        <v>0</v>
      </c>
      <c r="BK36" s="52" t="str">
        <v/>
      </c>
      <c r="BL36" s="52">
        <v>0</v>
      </c>
      <c r="BM36" s="52" t="str">
        <v/>
      </c>
      <c r="BN36" s="52" t="str">
        <v>veryHeavySolidRockets</v>
      </c>
      <c r="BO36" s="52" t="str">
        <v>Very Heavy Solid Rocket Motors</v>
      </c>
      <c r="BP36" s="52">
        <v>0</v>
      </c>
      <c r="BQ36" s="52" t="str">
        <v/>
      </c>
      <c r="BR36" s="52" t="str">
        <v>highPerformanceFuelSystems</v>
      </c>
      <c r="BS36" s="52" t="str">
        <v>High Performance Fuel Systems</v>
      </c>
      <c r="BT36" s="52">
        <v>0</v>
      </c>
      <c r="BU36" s="52" t="str">
        <v/>
      </c>
      <c r="BV36" s="52" t="str">
        <v>hybridRockets</v>
      </c>
      <c r="BW36" s="52" t="str">
        <v>Hybrid LOX Rockets</v>
      </c>
      <c r="BX36" s="52">
        <v>0</v>
      </c>
      <c r="BY36" s="52" t="str">
        <v/>
      </c>
      <c r="BZ36" s="52">
        <v>0</v>
      </c>
      <c r="CA36" s="52">
        <v>0</v>
      </c>
      <c r="CB36" s="52">
        <v>0</v>
      </c>
      <c r="CC36" s="52" t="str">
        <v/>
      </c>
      <c r="CD36" s="52">
        <v>0</v>
      </c>
      <c r="CE36" s="52" t="str">
        <v/>
      </c>
      <c r="CF36" s="52">
        <v>0</v>
      </c>
      <c r="CG36" s="52" t="str">
        <v/>
      </c>
      <c r="CH36" s="52">
        <v>0</v>
      </c>
      <c r="CI36" s="52" t="str">
        <v/>
      </c>
      <c r="CJ36" s="52">
        <v>0</v>
      </c>
      <c r="CK36" s="52" t="str">
        <v/>
      </c>
      <c r="CL36" s="52">
        <v>0</v>
      </c>
      <c r="CM36" s="52" t="str">
        <v/>
      </c>
      <c r="CN36" s="52">
        <v>0</v>
      </c>
      <c r="CO36" s="52" t="str">
        <v/>
      </c>
      <c r="CP36" s="52">
        <v>0</v>
      </c>
      <c r="CQ36" s="52" t="str">
        <v/>
      </c>
      <c r="CR36" s="52">
        <v>0</v>
      </c>
      <c r="CS36" s="52" t="str">
        <v/>
      </c>
      <c r="CT36" s="52">
        <v>0</v>
      </c>
      <c r="CU36" s="52" t="str">
        <v/>
      </c>
      <c r="CV36" s="52">
        <v>0</v>
      </c>
      <c r="CW36" s="52" t="str">
        <v/>
      </c>
      <c r="CX36" s="52">
        <v>0</v>
      </c>
      <c r="CY36" s="52" t="str">
        <v/>
      </c>
      <c r="CZ36" s="52">
        <v>0</v>
      </c>
      <c r="DA36" s="52" t="str">
        <v/>
      </c>
      <c r="DB36" s="52">
        <v>0</v>
      </c>
      <c r="DC36" s="52" t="str">
        <v/>
      </c>
      <c r="DD36" s="52">
        <v>0</v>
      </c>
      <c r="DE36" s="52" t="str">
        <v/>
      </c>
      <c r="DF36" s="52">
        <v>0</v>
      </c>
      <c r="DG36" s="52" t="str">
        <v/>
      </c>
      <c r="DH36" s="52">
        <v>0</v>
      </c>
      <c r="DI36" s="52" t="str">
        <v/>
      </c>
      <c r="DJ36" s="52">
        <v>0</v>
      </c>
      <c r="DK36" s="52" t="str">
        <v/>
      </c>
      <c r="DL36" s="52">
        <v>0</v>
      </c>
      <c r="DM36" s="52" t="str">
        <v/>
      </c>
    </row>
    <row r="37" spans="1:117" x14ac:dyDescent="0.25">
      <c r="A37" s="54">
        <v>-2619.7500000000032</v>
      </c>
      <c r="B37" s="52">
        <v>0</v>
      </c>
      <c r="C37" s="52" t="str">
        <v/>
      </c>
      <c r="D37" s="52">
        <v>0</v>
      </c>
      <c r="E37" s="52" t="str">
        <v/>
      </c>
      <c r="F37" s="52">
        <v>0</v>
      </c>
      <c r="G37" s="52" t="str">
        <v/>
      </c>
      <c r="H37" s="52">
        <v>0</v>
      </c>
      <c r="I37" s="52" t="str">
        <v/>
      </c>
      <c r="J37" s="52">
        <v>0</v>
      </c>
      <c r="K37" s="52" t="str">
        <v/>
      </c>
      <c r="L37" s="52">
        <v>0</v>
      </c>
      <c r="M37" s="52" t="str">
        <v/>
      </c>
      <c r="N37" s="52">
        <v>0</v>
      </c>
      <c r="O37" s="52" t="str">
        <v/>
      </c>
      <c r="P37" s="52">
        <v>0</v>
      </c>
      <c r="Q37" s="52" t="str">
        <v/>
      </c>
      <c r="R37" s="52">
        <v>0</v>
      </c>
      <c r="S37" s="52" t="str">
        <v/>
      </c>
      <c r="T37" s="52">
        <v>0</v>
      </c>
      <c r="U37" s="52" t="str">
        <v/>
      </c>
      <c r="V37" s="52">
        <v>0</v>
      </c>
      <c r="W37" s="52" t="str">
        <v/>
      </c>
      <c r="X37" s="52">
        <v>0</v>
      </c>
      <c r="Y37" s="52" t="str">
        <v/>
      </c>
      <c r="Z37" s="52">
        <v>0</v>
      </c>
      <c r="AA37" s="52" t="str">
        <v/>
      </c>
      <c r="AB37" s="52">
        <v>0</v>
      </c>
      <c r="AC37" s="52" t="str">
        <v/>
      </c>
      <c r="AD37" s="52">
        <v>0</v>
      </c>
      <c r="AE37" s="52" t="str">
        <v/>
      </c>
      <c r="AF37" s="52">
        <v>0</v>
      </c>
      <c r="AG37" s="52" t="str">
        <v/>
      </c>
      <c r="AH37" s="52">
        <v>0</v>
      </c>
      <c r="AI37" s="52" t="str">
        <v/>
      </c>
      <c r="AJ37" s="52">
        <v>0</v>
      </c>
      <c r="AK37" s="52" t="str">
        <v/>
      </c>
      <c r="AL37" s="52">
        <v>0</v>
      </c>
      <c r="AM37" s="52" t="str">
        <v/>
      </c>
      <c r="AN37" s="52">
        <v>0</v>
      </c>
      <c r="AO37" s="52" t="str">
        <v/>
      </c>
      <c r="AP37" s="52">
        <v>0</v>
      </c>
      <c r="AQ37" s="52" t="str">
        <v/>
      </c>
      <c r="AR37" s="52">
        <v>0</v>
      </c>
      <c r="AS37" s="52" t="str">
        <v/>
      </c>
      <c r="AT37" s="52">
        <v>0</v>
      </c>
      <c r="AU37" s="52" t="str">
        <v/>
      </c>
      <c r="AV37" s="52">
        <v>0</v>
      </c>
      <c r="AW37" s="52" t="str">
        <v/>
      </c>
      <c r="AX37" s="52">
        <v>0</v>
      </c>
      <c r="AY37" s="52" t="str">
        <v/>
      </c>
      <c r="AZ37" s="52">
        <v>0</v>
      </c>
      <c r="BA37" s="52" t="str">
        <v/>
      </c>
      <c r="BB37" s="52">
        <v>0</v>
      </c>
      <c r="BC37" s="52" t="str">
        <v/>
      </c>
      <c r="BD37" s="52">
        <v>0</v>
      </c>
      <c r="BE37" s="52" t="str">
        <v/>
      </c>
      <c r="BF37" s="52">
        <v>0</v>
      </c>
      <c r="BG37" s="52" t="str">
        <v/>
      </c>
      <c r="BH37" s="52">
        <v>0</v>
      </c>
      <c r="BI37" s="52" t="str">
        <v/>
      </c>
      <c r="BJ37" s="52">
        <v>0</v>
      </c>
      <c r="BK37" s="52" t="str">
        <v/>
      </c>
      <c r="BL37" s="52">
        <v>0</v>
      </c>
      <c r="BM37" s="52" t="str">
        <v/>
      </c>
      <c r="BN37" s="52">
        <v>0</v>
      </c>
      <c r="BO37" s="52" t="str">
        <v/>
      </c>
      <c r="BP37" s="52">
        <v>0</v>
      </c>
      <c r="BQ37" s="52" t="str">
        <v/>
      </c>
      <c r="BR37" s="52">
        <v>0</v>
      </c>
      <c r="BS37" s="52" t="str">
        <v/>
      </c>
      <c r="BT37" s="52">
        <v>0</v>
      </c>
      <c r="BU37" s="52" t="str">
        <v/>
      </c>
      <c r="BV37" s="52">
        <v>0</v>
      </c>
      <c r="BW37" s="52" t="str">
        <v/>
      </c>
      <c r="BX37" s="52">
        <v>0</v>
      </c>
      <c r="BY37" s="52" t="str">
        <v/>
      </c>
      <c r="BZ37" s="52">
        <v>0</v>
      </c>
      <c r="CA37" s="52" t="str">
        <v/>
      </c>
      <c r="CB37" s="52">
        <v>0</v>
      </c>
      <c r="CC37" s="52" t="str">
        <v/>
      </c>
      <c r="CD37" s="52">
        <v>0</v>
      </c>
      <c r="CE37" s="52" t="str">
        <v/>
      </c>
      <c r="CF37" s="52">
        <v>0</v>
      </c>
      <c r="CG37" s="52" t="str">
        <v/>
      </c>
      <c r="CH37" s="52">
        <v>0</v>
      </c>
      <c r="CI37" s="52" t="str">
        <v/>
      </c>
      <c r="CJ37" s="52">
        <v>0</v>
      </c>
      <c r="CK37" s="52" t="str">
        <v/>
      </c>
      <c r="CL37" s="52">
        <v>0</v>
      </c>
      <c r="CM37" s="52" t="str">
        <v/>
      </c>
      <c r="CN37" s="52">
        <v>0</v>
      </c>
      <c r="CO37" s="52" t="str">
        <v/>
      </c>
      <c r="CP37" s="52">
        <v>0</v>
      </c>
      <c r="CQ37" s="52" t="str">
        <v/>
      </c>
      <c r="CR37" s="52">
        <v>0</v>
      </c>
      <c r="CS37" s="52" t="str">
        <v/>
      </c>
      <c r="CT37" s="52">
        <v>0</v>
      </c>
      <c r="CU37" s="52" t="str">
        <v/>
      </c>
      <c r="CV37" s="52">
        <v>0</v>
      </c>
      <c r="CW37" s="52" t="str">
        <v/>
      </c>
      <c r="CX37" s="52">
        <v>0</v>
      </c>
      <c r="CY37" s="52" t="str">
        <v/>
      </c>
      <c r="CZ37" s="52">
        <v>0</v>
      </c>
      <c r="DA37" s="52" t="str">
        <v/>
      </c>
      <c r="DB37" s="52">
        <v>0</v>
      </c>
      <c r="DC37" s="52" t="str">
        <v/>
      </c>
      <c r="DD37" s="52">
        <v>0</v>
      </c>
      <c r="DE37" s="52" t="str">
        <v/>
      </c>
      <c r="DF37" s="52">
        <v>0</v>
      </c>
      <c r="DG37" s="52" t="str">
        <v/>
      </c>
      <c r="DH37" s="52">
        <v>0</v>
      </c>
      <c r="DI37" s="52" t="str">
        <v/>
      </c>
      <c r="DJ37" s="52">
        <v>0</v>
      </c>
      <c r="DK37" s="52" t="str">
        <v/>
      </c>
      <c r="DL37" s="52">
        <v>0</v>
      </c>
      <c r="DM37" s="52" t="str">
        <v/>
      </c>
    </row>
    <row r="38" spans="1:117" x14ac:dyDescent="0.25">
      <c r="A38" s="54">
        <v>-2580.6000000000031</v>
      </c>
      <c r="B38" s="52">
        <v>0</v>
      </c>
      <c r="C38" s="52" t="str">
        <v/>
      </c>
      <c r="D38" s="52">
        <v>0</v>
      </c>
      <c r="E38" s="52" t="str">
        <v/>
      </c>
      <c r="F38" s="52" t="str">
        <v>antimatterPower</v>
      </c>
      <c r="G38" s="52" t="str">
        <v>Antimatter Reactors</v>
      </c>
      <c r="H38" s="52">
        <v>0</v>
      </c>
      <c r="I38" s="52" t="str">
        <v/>
      </c>
      <c r="J38" s="52" t="str">
        <v>exoticNuclearPropulsion</v>
      </c>
      <c r="K38" s="52" t="str">
        <v>Exotic Nuclear Propulsion</v>
      </c>
      <c r="L38" s="52">
        <v>0</v>
      </c>
      <c r="M38" s="52" t="str">
        <v/>
      </c>
      <c r="N38" s="52" t="str">
        <v>expNuclearPropulsion</v>
      </c>
      <c r="O38" s="52" t="str">
        <v>Experimental Nuclear Propulsion</v>
      </c>
      <c r="P38" s="52">
        <v>0</v>
      </c>
      <c r="Q38" s="52" t="str">
        <v/>
      </c>
      <c r="R38" s="52" t="str">
        <v>highEfficiencyNuclear</v>
      </c>
      <c r="S38" s="52" t="str">
        <v>High Efficiency Nuclear Propulsion</v>
      </c>
      <c r="T38" s="52">
        <v>0</v>
      </c>
      <c r="U38" s="52" t="str">
        <v/>
      </c>
      <c r="V38" s="52" t="str">
        <v>advNuclearPropulsion</v>
      </c>
      <c r="W38" s="52" t="str">
        <v>Advanced Nuclear Propulsion</v>
      </c>
      <c r="X38" s="52">
        <v>0</v>
      </c>
      <c r="Y38" s="52" t="str">
        <v/>
      </c>
      <c r="Z38" s="52" t="str">
        <v>improvedNuclearPropulsion</v>
      </c>
      <c r="AA38" s="52" t="str">
        <v>Improved Nuclear Propulsion</v>
      </c>
      <c r="AB38" s="52">
        <v>0</v>
      </c>
      <c r="AC38" s="52" t="str">
        <v/>
      </c>
      <c r="AD38" s="52" t="str">
        <v>NuclearPropulsion</v>
      </c>
      <c r="AE38" s="52" t="str">
        <v>Nuclear Propulsion</v>
      </c>
      <c r="AF38" s="52">
        <v>0</v>
      </c>
      <c r="AG38" s="52" t="str">
        <v/>
      </c>
      <c r="AH38" s="52">
        <v>0</v>
      </c>
      <c r="AI38" s="52" t="str">
        <v/>
      </c>
      <c r="AJ38" s="52">
        <v>0</v>
      </c>
      <c r="AK38" s="52" t="str">
        <v/>
      </c>
      <c r="AL38" s="52">
        <v>0</v>
      </c>
      <c r="AM38" s="52" t="str">
        <v/>
      </c>
      <c r="AN38" s="52">
        <v>0</v>
      </c>
      <c r="AO38" s="52" t="str">
        <v/>
      </c>
      <c r="AP38" s="52">
        <v>0</v>
      </c>
      <c r="AQ38" s="52" t="str">
        <v/>
      </c>
      <c r="AR38" s="52">
        <v>0</v>
      </c>
      <c r="AS38" s="52" t="str">
        <v/>
      </c>
      <c r="AT38" s="52">
        <v>0</v>
      </c>
      <c r="AU38" s="52" t="str">
        <v/>
      </c>
      <c r="AV38" s="52">
        <v>0</v>
      </c>
      <c r="AW38" s="52" t="str">
        <v/>
      </c>
      <c r="AX38" s="52">
        <v>0</v>
      </c>
      <c r="AY38" s="52" t="str">
        <v/>
      </c>
      <c r="AZ38" s="52">
        <v>0</v>
      </c>
      <c r="BA38" s="52" t="str">
        <v/>
      </c>
      <c r="BB38" s="52" t="str">
        <v>generalRocketry</v>
      </c>
      <c r="BC38" s="52" t="str">
        <v>1.25m Rocketry</v>
      </c>
      <c r="BD38" s="52">
        <v>0</v>
      </c>
      <c r="BE38" s="52" t="str">
        <v/>
      </c>
      <c r="BF38" s="52" t="str">
        <v>precisionEngineering</v>
      </c>
      <c r="BG38" s="52" t="str">
        <v>Advanced 0.625m Rocketry</v>
      </c>
      <c r="BH38" s="52">
        <v>0</v>
      </c>
      <c r="BI38" s="52" t="str">
        <v/>
      </c>
      <c r="BJ38" s="52" t="str">
        <v>advUllageMotors</v>
      </c>
      <c r="BK38" s="52" t="str">
        <v>Advanced Ullage Motors</v>
      </c>
      <c r="BL38" s="52">
        <v>0</v>
      </c>
      <c r="BM38" s="52" t="str">
        <v/>
      </c>
      <c r="BN38" s="52" t="str">
        <v>heavySolidRockets</v>
      </c>
      <c r="BO38" s="52" t="str">
        <v>Heavy Solid Rocket Motors</v>
      </c>
      <c r="BP38" s="52">
        <v>0</v>
      </c>
      <c r="BQ38" s="52" t="str">
        <v/>
      </c>
      <c r="BR38" s="52" t="str">
        <v>advFuelSystems</v>
      </c>
      <c r="BS38" s="52" t="str">
        <v>Advanced Fuel Systems</v>
      </c>
      <c r="BT38" s="52">
        <v>0</v>
      </c>
      <c r="BU38" s="52" t="str">
        <v/>
      </c>
      <c r="BV38" s="52" t="str">
        <v>precisionPropulsion</v>
      </c>
      <c r="BW38" s="52" t="str">
        <v>Precision Propulsion</v>
      </c>
      <c r="BX38" s="52">
        <v>0</v>
      </c>
      <c r="BY38" s="52" t="str">
        <v/>
      </c>
      <c r="BZ38" s="52">
        <v>0</v>
      </c>
      <c r="CA38" s="52" t="str">
        <v/>
      </c>
      <c r="CB38" s="52">
        <v>0</v>
      </c>
      <c r="CC38" s="52" t="str">
        <v/>
      </c>
      <c r="CD38" s="52">
        <v>0</v>
      </c>
      <c r="CE38" s="52" t="str">
        <v/>
      </c>
      <c r="CF38" s="52">
        <v>0</v>
      </c>
      <c r="CG38" s="52" t="str">
        <v/>
      </c>
      <c r="CH38" s="52">
        <v>0</v>
      </c>
      <c r="CI38" s="52" t="str">
        <v/>
      </c>
      <c r="CJ38" s="52">
        <v>0</v>
      </c>
      <c r="CK38" s="52" t="str">
        <v/>
      </c>
      <c r="CL38" s="52">
        <v>0</v>
      </c>
      <c r="CM38" s="52" t="str">
        <v/>
      </c>
      <c r="CN38" s="52">
        <v>0</v>
      </c>
      <c r="CO38" s="52" t="str">
        <v/>
      </c>
      <c r="CP38" s="52">
        <v>0</v>
      </c>
      <c r="CQ38" s="52" t="str">
        <v/>
      </c>
      <c r="CR38" s="52">
        <v>0</v>
      </c>
      <c r="CS38" s="52" t="str">
        <v/>
      </c>
      <c r="CT38" s="52">
        <v>0</v>
      </c>
      <c r="CU38" s="52" t="str">
        <v/>
      </c>
      <c r="CV38" s="52">
        <v>0</v>
      </c>
      <c r="CW38" s="52" t="str">
        <v/>
      </c>
      <c r="CX38" s="52">
        <v>0</v>
      </c>
      <c r="CY38" s="52" t="str">
        <v/>
      </c>
      <c r="CZ38" s="52">
        <v>0</v>
      </c>
      <c r="DA38" s="52" t="str">
        <v/>
      </c>
      <c r="DB38" s="52">
        <v>0</v>
      </c>
      <c r="DC38" s="52" t="str">
        <v/>
      </c>
      <c r="DD38" s="52">
        <v>0</v>
      </c>
      <c r="DE38" s="52" t="str">
        <v/>
      </c>
      <c r="DF38" s="52">
        <v>0</v>
      </c>
      <c r="DG38" s="52" t="str">
        <v/>
      </c>
      <c r="DH38" s="52">
        <v>0</v>
      </c>
      <c r="DI38" s="52" t="str">
        <v/>
      </c>
      <c r="DJ38" s="52">
        <v>0</v>
      </c>
      <c r="DK38" s="52" t="str">
        <v/>
      </c>
      <c r="DL38" s="52">
        <v>0</v>
      </c>
      <c r="DM38" s="52" t="str">
        <v/>
      </c>
    </row>
    <row r="39" spans="1:117" x14ac:dyDescent="0.25">
      <c r="A39" s="54">
        <v>-2541.450000000003</v>
      </c>
      <c r="B39" s="52">
        <v>0</v>
      </c>
      <c r="C39" s="52" t="str">
        <v/>
      </c>
      <c r="D39" s="52">
        <v>0</v>
      </c>
      <c r="E39" s="52" t="str">
        <v/>
      </c>
      <c r="F39" s="52">
        <v>0</v>
      </c>
      <c r="G39" s="52" t="str">
        <v/>
      </c>
      <c r="H39" s="52">
        <v>0</v>
      </c>
      <c r="I39" s="52" t="str">
        <v/>
      </c>
      <c r="J39" s="52">
        <v>0</v>
      </c>
      <c r="K39" s="52" t="str">
        <v/>
      </c>
      <c r="L39" s="52">
        <v>0</v>
      </c>
      <c r="M39" s="52" t="str">
        <v/>
      </c>
      <c r="N39" s="52">
        <v>0</v>
      </c>
      <c r="O39" s="52" t="str">
        <v/>
      </c>
      <c r="P39" s="52">
        <v>0</v>
      </c>
      <c r="Q39" s="52" t="str">
        <v/>
      </c>
      <c r="R39" s="52">
        <v>0</v>
      </c>
      <c r="S39" s="52" t="str">
        <v/>
      </c>
      <c r="T39" s="52">
        <v>0</v>
      </c>
      <c r="U39" s="52" t="str">
        <v/>
      </c>
      <c r="V39" s="52">
        <v>0</v>
      </c>
      <c r="W39" s="52" t="str">
        <v/>
      </c>
      <c r="X39" s="52">
        <v>0</v>
      </c>
      <c r="Y39" s="52" t="str">
        <v/>
      </c>
      <c r="Z39" s="52">
        <v>0</v>
      </c>
      <c r="AA39" s="52" t="str">
        <v/>
      </c>
      <c r="AB39" s="52">
        <v>0</v>
      </c>
      <c r="AC39" s="52" t="str">
        <v/>
      </c>
      <c r="AD39" s="52">
        <v>0</v>
      </c>
      <c r="AE39" s="52" t="str">
        <v/>
      </c>
      <c r="AF39" s="52">
        <v>0</v>
      </c>
      <c r="AG39" s="52" t="str">
        <v/>
      </c>
      <c r="AH39" s="52">
        <v>0</v>
      </c>
      <c r="AI39" s="52" t="str">
        <v/>
      </c>
      <c r="AJ39" s="52">
        <v>0</v>
      </c>
      <c r="AK39" s="52" t="str">
        <v/>
      </c>
      <c r="AL39" s="52">
        <v>0</v>
      </c>
      <c r="AM39" s="52" t="str">
        <v/>
      </c>
      <c r="AN39" s="52">
        <v>0</v>
      </c>
      <c r="AO39" s="52" t="str">
        <v/>
      </c>
      <c r="AP39" s="52">
        <v>0</v>
      </c>
      <c r="AQ39" s="52" t="str">
        <v/>
      </c>
      <c r="AR39" s="52">
        <v>0</v>
      </c>
      <c r="AS39" s="52" t="str">
        <v/>
      </c>
      <c r="AT39" s="52">
        <v>0</v>
      </c>
      <c r="AU39" s="52" t="str">
        <v/>
      </c>
      <c r="AV39" s="52">
        <v>0</v>
      </c>
      <c r="AW39" s="52" t="str">
        <v/>
      </c>
      <c r="AX39" s="52">
        <v>0</v>
      </c>
      <c r="AY39" s="52" t="str">
        <v/>
      </c>
      <c r="AZ39" s="52">
        <v>0</v>
      </c>
      <c r="BA39" s="52" t="str">
        <v/>
      </c>
      <c r="BB39" s="52">
        <v>0</v>
      </c>
      <c r="BC39" s="52" t="str">
        <v/>
      </c>
      <c r="BD39" s="52">
        <v>0</v>
      </c>
      <c r="BE39" s="52" t="str">
        <v/>
      </c>
      <c r="BF39" s="52">
        <v>0</v>
      </c>
      <c r="BG39" s="52" t="str">
        <v/>
      </c>
      <c r="BH39" s="52">
        <v>0</v>
      </c>
      <c r="BI39" s="52" t="str">
        <v/>
      </c>
      <c r="BJ39" s="52">
        <v>0</v>
      </c>
      <c r="BK39" s="52" t="str">
        <v/>
      </c>
      <c r="BL39" s="52">
        <v>0</v>
      </c>
      <c r="BM39" s="52" t="str">
        <v/>
      </c>
      <c r="BN39" s="52">
        <v>0</v>
      </c>
      <c r="BO39" s="52" t="str">
        <v/>
      </c>
      <c r="BP39" s="52">
        <v>0</v>
      </c>
      <c r="BQ39" s="52" t="str">
        <v/>
      </c>
      <c r="BR39" s="52">
        <v>0</v>
      </c>
      <c r="BS39" s="52" t="str">
        <v/>
      </c>
      <c r="BT39" s="52">
        <v>0</v>
      </c>
      <c r="BU39" s="52" t="str">
        <v/>
      </c>
      <c r="BV39" s="52">
        <v>0</v>
      </c>
      <c r="BW39" s="52" t="str">
        <v/>
      </c>
      <c r="BX39" s="52">
        <v>0</v>
      </c>
      <c r="BY39" s="52" t="str">
        <v/>
      </c>
      <c r="BZ39" s="52">
        <v>0</v>
      </c>
      <c r="CA39" s="52" t="str">
        <v/>
      </c>
      <c r="CB39" s="52">
        <v>0</v>
      </c>
      <c r="CC39" s="52" t="str">
        <v/>
      </c>
      <c r="CD39" s="52">
        <v>0</v>
      </c>
      <c r="CE39" s="52" t="str">
        <v/>
      </c>
      <c r="CF39" s="52">
        <v>0</v>
      </c>
      <c r="CG39" s="52" t="str">
        <v/>
      </c>
      <c r="CH39" s="52">
        <v>0</v>
      </c>
      <c r="CI39" s="52" t="str">
        <v/>
      </c>
      <c r="CJ39" s="52">
        <v>0</v>
      </c>
      <c r="CK39" s="52" t="str">
        <v/>
      </c>
      <c r="CL39" s="52">
        <v>0</v>
      </c>
      <c r="CM39" s="52" t="str">
        <v/>
      </c>
      <c r="CN39" s="52">
        <v>0</v>
      </c>
      <c r="CO39" s="52" t="str">
        <v/>
      </c>
      <c r="CP39" s="52">
        <v>0</v>
      </c>
      <c r="CQ39" s="52" t="str">
        <v/>
      </c>
      <c r="CR39" s="52">
        <v>0</v>
      </c>
      <c r="CS39" s="52" t="str">
        <v/>
      </c>
      <c r="CT39" s="52">
        <v>0</v>
      </c>
      <c r="CU39" s="52" t="str">
        <v/>
      </c>
      <c r="CV39" s="52">
        <v>0</v>
      </c>
      <c r="CW39" s="52" t="str">
        <v/>
      </c>
      <c r="CX39" s="52">
        <v>0</v>
      </c>
      <c r="CY39" s="52" t="str">
        <v/>
      </c>
      <c r="CZ39" s="52">
        <v>0</v>
      </c>
      <c r="DA39" s="52" t="str">
        <v/>
      </c>
      <c r="DB39" s="52">
        <v>0</v>
      </c>
      <c r="DC39" s="52" t="str">
        <v/>
      </c>
      <c r="DD39" s="52">
        <v>0</v>
      </c>
      <c r="DE39" s="52" t="str">
        <v/>
      </c>
      <c r="DF39" s="52">
        <v>0</v>
      </c>
      <c r="DG39" s="52" t="str">
        <v/>
      </c>
      <c r="DH39" s="52">
        <v>0</v>
      </c>
      <c r="DI39" s="52" t="str">
        <v/>
      </c>
      <c r="DJ39" s="52">
        <v>0</v>
      </c>
      <c r="DK39" s="52" t="str">
        <v/>
      </c>
      <c r="DL39" s="52">
        <v>0</v>
      </c>
      <c r="DM39" s="52" t="str">
        <v/>
      </c>
    </row>
    <row r="40" spans="1:117" x14ac:dyDescent="0.25">
      <c r="A40" s="54">
        <v>-2502.3000000000029</v>
      </c>
      <c r="B40" s="52">
        <v>0</v>
      </c>
      <c r="C40" s="52" t="str">
        <v/>
      </c>
      <c r="D40" s="52">
        <v>0</v>
      </c>
      <c r="E40" s="52" t="str">
        <v/>
      </c>
      <c r="F40" s="52">
        <v>0</v>
      </c>
      <c r="G40" s="52" t="str">
        <v/>
      </c>
      <c r="H40" s="52">
        <v>0</v>
      </c>
      <c r="I40" s="52" t="str">
        <v/>
      </c>
      <c r="J40" s="52">
        <v>0</v>
      </c>
      <c r="K40" s="52" t="str">
        <v/>
      </c>
      <c r="L40" s="52">
        <v>0</v>
      </c>
      <c r="M40" s="52" t="str">
        <v/>
      </c>
      <c r="N40" s="52">
        <v>0</v>
      </c>
      <c r="O40" s="52" t="str">
        <v/>
      </c>
      <c r="P40" s="52">
        <v>0</v>
      </c>
      <c r="Q40" s="52" t="str">
        <v/>
      </c>
      <c r="R40" s="52" t="str">
        <v>exoticNuclearPower</v>
      </c>
      <c r="S40" s="52" t="str">
        <v>Exotic Nuclear Power</v>
      </c>
      <c r="T40" s="52">
        <v>0</v>
      </c>
      <c r="U40" s="52" t="str">
        <v/>
      </c>
      <c r="V40" s="52" t="str">
        <v>expNuclearPower</v>
      </c>
      <c r="W40" s="52" t="str">
        <v>Experimental Nuclear Power</v>
      </c>
      <c r="X40" s="52">
        <v>0</v>
      </c>
      <c r="Y40" s="52" t="str">
        <v/>
      </c>
      <c r="Z40" s="52" t="str">
        <v>advNuclearPower</v>
      </c>
      <c r="AA40" s="52" t="str">
        <v>High Energy Nuclear Power</v>
      </c>
      <c r="AB40" s="52">
        <v>0</v>
      </c>
      <c r="AC40" s="52" t="str">
        <v/>
      </c>
      <c r="AD40" s="52" t="str">
        <v>nuclearFuelSystems</v>
      </c>
      <c r="AE40" s="52" t="str">
        <v>Nuclear Fuel Systems</v>
      </c>
      <c r="AF40" s="52">
        <v>0</v>
      </c>
      <c r="AG40" s="52" t="str">
        <v/>
      </c>
      <c r="AH40" s="52" t="str">
        <v>largeNuclearPower</v>
      </c>
      <c r="AI40" s="52" t="str">
        <v>Improved Nuclear Power</v>
      </c>
      <c r="AJ40" s="52">
        <v>0</v>
      </c>
      <c r="AK40" s="52" t="str">
        <v/>
      </c>
      <c r="AL40" s="52" t="str">
        <v>nuclearPower</v>
      </c>
      <c r="AM40" s="52" t="str">
        <v>Nuclear Engineering</v>
      </c>
      <c r="AN40" s="52">
        <v>0</v>
      </c>
      <c r="AO40" s="52" t="str">
        <v/>
      </c>
      <c r="AP40" s="52">
        <v>0</v>
      </c>
      <c r="AQ40" s="52" t="str">
        <v/>
      </c>
      <c r="AR40" s="52">
        <v>0</v>
      </c>
      <c r="AS40" s="52" t="str">
        <v/>
      </c>
      <c r="AT40" s="52">
        <v>0</v>
      </c>
      <c r="AU40" s="52" t="str">
        <v/>
      </c>
      <c r="AV40" s="52">
        <v>0</v>
      </c>
      <c r="AW40" s="52" t="str">
        <v/>
      </c>
      <c r="AX40" s="52">
        <v>0</v>
      </c>
      <c r="AY40" s="52" t="str">
        <v/>
      </c>
      <c r="AZ40" s="52">
        <v>0</v>
      </c>
      <c r="BA40" s="52" t="str">
        <v/>
      </c>
      <c r="BB40" s="52">
        <v>0</v>
      </c>
      <c r="BC40" s="52" t="str">
        <v/>
      </c>
      <c r="BD40" s="52">
        <v>0</v>
      </c>
      <c r="BE40" s="52" t="str">
        <v/>
      </c>
      <c r="BF40" s="52" t="str">
        <v>miniaturization</v>
      </c>
      <c r="BG40" s="52" t="str">
        <v>0.625m Rocketry</v>
      </c>
      <c r="BH40" s="52">
        <v>0</v>
      </c>
      <c r="BI40" s="52" t="str">
        <v/>
      </c>
      <c r="BJ40" s="52" t="str">
        <v>ullageMotors</v>
      </c>
      <c r="BK40" s="52" t="str">
        <v>Ullage Motors</v>
      </c>
      <c r="BL40" s="52">
        <v>0</v>
      </c>
      <c r="BM40" s="52" t="str">
        <v/>
      </c>
      <c r="BN40" s="52" t="str">
        <v>advSolidRockets</v>
      </c>
      <c r="BO40" s="52" t="str">
        <v>Advanced Solid Rocket Motors</v>
      </c>
      <c r="BP40" s="52">
        <v>0</v>
      </c>
      <c r="BQ40" s="52" t="str">
        <v/>
      </c>
      <c r="BR40" s="52" t="str">
        <v>fuelSystems</v>
      </c>
      <c r="BS40" s="52" t="str">
        <v>Fuel Systems</v>
      </c>
      <c r="BT40" s="52">
        <v>0</v>
      </c>
      <c r="BU40" s="52" t="str">
        <v/>
      </c>
      <c r="BV40" s="52" t="str">
        <v>propulsionSystems</v>
      </c>
      <c r="BW40" s="52" t="str">
        <v>Liquid Rocket Engines</v>
      </c>
      <c r="BX40" s="52">
        <v>0</v>
      </c>
      <c r="BY40" s="52" t="str">
        <v/>
      </c>
      <c r="BZ40" s="52">
        <v>0</v>
      </c>
      <c r="CA40" s="52" t="str">
        <v/>
      </c>
      <c r="CB40" s="52">
        <v>0</v>
      </c>
      <c r="CC40" s="52" t="str">
        <v/>
      </c>
      <c r="CD40" s="52">
        <v>0</v>
      </c>
      <c r="CE40" s="52" t="str">
        <v/>
      </c>
      <c r="CF40" s="52">
        <v>0</v>
      </c>
      <c r="CG40" s="52" t="str">
        <v/>
      </c>
      <c r="CH40" s="52">
        <v>0</v>
      </c>
      <c r="CI40" s="52" t="str">
        <v/>
      </c>
      <c r="CJ40" s="52">
        <v>0</v>
      </c>
      <c r="CK40" s="52" t="str">
        <v/>
      </c>
      <c r="CL40" s="52">
        <v>0</v>
      </c>
      <c r="CM40" s="52" t="str">
        <v/>
      </c>
      <c r="CN40" s="52">
        <v>0</v>
      </c>
      <c r="CO40" s="52" t="str">
        <v/>
      </c>
      <c r="CP40" s="52">
        <v>0</v>
      </c>
      <c r="CQ40" s="52" t="str">
        <v/>
      </c>
      <c r="CR40" s="52">
        <v>0</v>
      </c>
      <c r="CS40" s="52" t="str">
        <v/>
      </c>
      <c r="CT40" s="52">
        <v>0</v>
      </c>
      <c r="CU40" s="52" t="str">
        <v/>
      </c>
      <c r="CV40" s="52">
        <v>0</v>
      </c>
      <c r="CW40" s="52" t="str">
        <v/>
      </c>
      <c r="CX40" s="52">
        <v>0</v>
      </c>
      <c r="CY40" s="52" t="str">
        <v/>
      </c>
      <c r="CZ40" s="52">
        <v>0</v>
      </c>
      <c r="DA40" s="52" t="str">
        <v/>
      </c>
      <c r="DB40" s="52">
        <v>0</v>
      </c>
      <c r="DC40" s="52" t="str">
        <v/>
      </c>
      <c r="DD40" s="52">
        <v>0</v>
      </c>
      <c r="DE40" s="52" t="str">
        <v/>
      </c>
      <c r="DF40" s="52">
        <v>0</v>
      </c>
      <c r="DG40" s="52" t="str">
        <v/>
      </c>
      <c r="DH40" s="52">
        <v>0</v>
      </c>
      <c r="DI40" s="52" t="str">
        <v/>
      </c>
      <c r="DJ40" s="52">
        <v>0</v>
      </c>
      <c r="DK40" s="52" t="str">
        <v/>
      </c>
      <c r="DL40" s="52">
        <v>0</v>
      </c>
      <c r="DM40" s="52" t="str">
        <v/>
      </c>
    </row>
    <row r="41" spans="1:117" x14ac:dyDescent="0.25">
      <c r="A41" s="54">
        <v>-2463.1500000000028</v>
      </c>
      <c r="B41" s="52">
        <v>0</v>
      </c>
      <c r="C41" s="52" t="str">
        <v/>
      </c>
      <c r="D41" s="52">
        <v>0</v>
      </c>
      <c r="E41" s="52" t="str">
        <v/>
      </c>
      <c r="F41" s="52">
        <v>0</v>
      </c>
      <c r="G41" s="52" t="str">
        <v/>
      </c>
      <c r="H41" s="52">
        <v>0</v>
      </c>
      <c r="I41" s="52" t="str">
        <v/>
      </c>
      <c r="J41" s="52">
        <v>0</v>
      </c>
      <c r="K41" s="52" t="str">
        <v/>
      </c>
      <c r="L41" s="52">
        <v>0</v>
      </c>
      <c r="M41" s="52" t="str">
        <v/>
      </c>
      <c r="N41" s="52">
        <v>0</v>
      </c>
      <c r="O41" s="52" t="str">
        <v/>
      </c>
      <c r="P41" s="52">
        <v>0</v>
      </c>
      <c r="Q41" s="52" t="str">
        <v/>
      </c>
      <c r="R41" s="52">
        <v>0</v>
      </c>
      <c r="S41" s="52" t="str">
        <v/>
      </c>
      <c r="T41" s="52">
        <v>0</v>
      </c>
      <c r="U41" s="52" t="str">
        <v/>
      </c>
      <c r="V41" s="52">
        <v>0</v>
      </c>
      <c r="W41" s="52" t="str">
        <v/>
      </c>
      <c r="X41" s="52">
        <v>0</v>
      </c>
      <c r="Y41" s="52" t="str">
        <v/>
      </c>
      <c r="Z41" s="52">
        <v>0</v>
      </c>
      <c r="AA41" s="52" t="str">
        <v/>
      </c>
      <c r="AB41" s="52">
        <v>0</v>
      </c>
      <c r="AC41" s="52" t="str">
        <v/>
      </c>
      <c r="AD41" s="52">
        <v>0</v>
      </c>
      <c r="AE41" s="52" t="str">
        <v/>
      </c>
      <c r="AF41" s="52">
        <v>0</v>
      </c>
      <c r="AG41" s="52" t="str">
        <v/>
      </c>
      <c r="AH41" s="52">
        <v>0</v>
      </c>
      <c r="AI41" s="52" t="str">
        <v/>
      </c>
      <c r="AJ41" s="52">
        <v>0</v>
      </c>
      <c r="AK41" s="52" t="str">
        <v/>
      </c>
      <c r="AL41" s="52">
        <v>0</v>
      </c>
      <c r="AM41" s="52" t="str">
        <v/>
      </c>
      <c r="AN41" s="52">
        <v>0</v>
      </c>
      <c r="AO41" s="52" t="str">
        <v/>
      </c>
      <c r="AP41" s="52">
        <v>0</v>
      </c>
      <c r="AQ41" s="52" t="str">
        <v/>
      </c>
      <c r="AR41" s="52">
        <v>0</v>
      </c>
      <c r="AS41" s="52" t="str">
        <v/>
      </c>
      <c r="AT41" s="52">
        <v>0</v>
      </c>
      <c r="AU41" s="52" t="str">
        <v/>
      </c>
      <c r="AV41" s="52">
        <v>0</v>
      </c>
      <c r="AW41" s="52" t="str">
        <v/>
      </c>
      <c r="AX41" s="52">
        <v>0</v>
      </c>
      <c r="AY41" s="52" t="str">
        <v/>
      </c>
      <c r="AZ41" s="52">
        <v>0</v>
      </c>
      <c r="BA41" s="52" t="str">
        <v/>
      </c>
      <c r="BB41" s="52">
        <v>0</v>
      </c>
      <c r="BC41" s="52" t="str">
        <v/>
      </c>
      <c r="BD41" s="52">
        <v>0</v>
      </c>
      <c r="BE41" s="52" t="str">
        <v/>
      </c>
      <c r="BF41" s="52">
        <v>0</v>
      </c>
      <c r="BG41" s="52" t="str">
        <v/>
      </c>
      <c r="BH41" s="52">
        <v>0</v>
      </c>
      <c r="BI41" s="52" t="str">
        <v/>
      </c>
      <c r="BJ41" s="52">
        <v>0</v>
      </c>
      <c r="BK41" s="52" t="str">
        <v/>
      </c>
      <c r="BL41" s="52">
        <v>0</v>
      </c>
      <c r="BM41" s="52" t="str">
        <v/>
      </c>
      <c r="BN41" s="52">
        <v>0</v>
      </c>
      <c r="BO41" s="52" t="str">
        <v/>
      </c>
      <c r="BP41" s="52">
        <v>0</v>
      </c>
      <c r="BQ41" s="52" t="str">
        <v/>
      </c>
      <c r="BR41" s="52">
        <v>0</v>
      </c>
      <c r="BS41" s="52" t="str">
        <v/>
      </c>
      <c r="BT41" s="52">
        <v>0</v>
      </c>
      <c r="BU41" s="52" t="str">
        <v/>
      </c>
      <c r="BV41" s="52">
        <v>0</v>
      </c>
      <c r="BW41" s="52" t="str">
        <v/>
      </c>
      <c r="BX41" s="52">
        <v>0</v>
      </c>
      <c r="BY41" s="52" t="str">
        <v/>
      </c>
      <c r="BZ41" s="52">
        <v>0</v>
      </c>
      <c r="CA41" s="52" t="str">
        <v/>
      </c>
      <c r="CB41" s="52">
        <v>0</v>
      </c>
      <c r="CC41" s="52" t="str">
        <v/>
      </c>
      <c r="CD41" s="52">
        <v>0</v>
      </c>
      <c r="CE41" s="52" t="str">
        <v/>
      </c>
      <c r="CF41" s="52">
        <v>0</v>
      </c>
      <c r="CG41" s="52" t="str">
        <v/>
      </c>
      <c r="CH41" s="52">
        <v>0</v>
      </c>
      <c r="CI41" s="52" t="str">
        <v/>
      </c>
      <c r="CJ41" s="52">
        <v>0</v>
      </c>
      <c r="CK41" s="52" t="str">
        <v/>
      </c>
      <c r="CL41" s="52">
        <v>0</v>
      </c>
      <c r="CM41" s="52" t="str">
        <v/>
      </c>
      <c r="CN41" s="52">
        <v>0</v>
      </c>
      <c r="CO41" s="52" t="str">
        <v/>
      </c>
      <c r="CP41" s="52">
        <v>0</v>
      </c>
      <c r="CQ41" s="52" t="str">
        <v/>
      </c>
      <c r="CR41" s="52">
        <v>0</v>
      </c>
      <c r="CS41" s="52" t="str">
        <v/>
      </c>
      <c r="CT41" s="52">
        <v>0</v>
      </c>
      <c r="CU41" s="52" t="str">
        <v/>
      </c>
      <c r="CV41" s="52">
        <v>0</v>
      </c>
      <c r="CW41" s="52" t="str">
        <v/>
      </c>
      <c r="CX41" s="52">
        <v>0</v>
      </c>
      <c r="CY41" s="52" t="str">
        <v/>
      </c>
      <c r="CZ41" s="52">
        <v>0</v>
      </c>
      <c r="DA41" s="52" t="str">
        <v/>
      </c>
      <c r="DB41" s="52">
        <v>0</v>
      </c>
      <c r="DC41" s="52" t="str">
        <v/>
      </c>
      <c r="DD41" s="52">
        <v>0</v>
      </c>
      <c r="DE41" s="52" t="str">
        <v/>
      </c>
      <c r="DF41" s="52">
        <v>0</v>
      </c>
      <c r="DG41" s="52" t="str">
        <v/>
      </c>
      <c r="DH41" s="52">
        <v>0</v>
      </c>
      <c r="DI41" s="52" t="str">
        <v/>
      </c>
      <c r="DJ41" s="52">
        <v>0</v>
      </c>
      <c r="DK41" s="52" t="str">
        <v/>
      </c>
      <c r="DL41" s="52">
        <v>0</v>
      </c>
      <c r="DM41" s="52" t="str">
        <v/>
      </c>
    </row>
    <row r="42" spans="1:117" x14ac:dyDescent="0.25">
      <c r="A42" s="54">
        <v>-2424.0000000000027</v>
      </c>
      <c r="B42" s="52">
        <v>0</v>
      </c>
      <c r="C42" s="52" t="str">
        <v/>
      </c>
      <c r="D42" s="52">
        <v>0</v>
      </c>
      <c r="E42" s="52" t="str">
        <v/>
      </c>
      <c r="F42" s="52">
        <v>0</v>
      </c>
      <c r="G42" s="52" t="str">
        <v/>
      </c>
      <c r="H42" s="52">
        <v>0</v>
      </c>
      <c r="I42" s="52" t="str">
        <v/>
      </c>
      <c r="J42" s="52">
        <v>0</v>
      </c>
      <c r="K42" s="52" t="str">
        <v/>
      </c>
      <c r="L42" s="52">
        <v>0</v>
      </c>
      <c r="M42" s="52" t="str">
        <v/>
      </c>
      <c r="N42" s="52">
        <v>0</v>
      </c>
      <c r="O42" s="52" t="str">
        <v/>
      </c>
      <c r="P42" s="52">
        <v>0</v>
      </c>
      <c r="Q42" s="52" t="str">
        <v/>
      </c>
      <c r="R42" s="52">
        <v>0</v>
      </c>
      <c r="S42" s="52" t="str">
        <v/>
      </c>
      <c r="T42" s="52">
        <v>0</v>
      </c>
      <c r="U42" s="52" t="str">
        <v/>
      </c>
      <c r="V42" s="52" t="str">
        <v>expAircraftEngines</v>
      </c>
      <c r="W42" s="52" t="str">
        <v>Ultra-high Bypass Turbofan Engines</v>
      </c>
      <c r="X42" s="52">
        <v>0</v>
      </c>
      <c r="Y42" s="52" t="str">
        <v/>
      </c>
      <c r="Z42" s="52" t="str">
        <v>advTurbofanEngines</v>
      </c>
      <c r="AA42" s="52" t="str">
        <v>High Bypass Turbofan Engines</v>
      </c>
      <c r="AB42" s="52">
        <v>0</v>
      </c>
      <c r="AC42" s="52" t="str">
        <v/>
      </c>
      <c r="AD42" s="52" t="str">
        <v>efficientFlightSystems</v>
      </c>
      <c r="AE42" s="52" t="str">
        <v>Medium Bypass Turbofan Engines</v>
      </c>
      <c r="AF42" s="52">
        <v>0</v>
      </c>
      <c r="AG42" s="52" t="str">
        <v/>
      </c>
      <c r="AH42" s="52" t="str">
        <v>turbofanEngines</v>
      </c>
      <c r="AI42" s="52" t="str">
        <v>Low Bypass Turbofan Engines</v>
      </c>
      <c r="AJ42" s="52">
        <v>0</v>
      </c>
      <c r="AK42" s="52" t="str">
        <v/>
      </c>
      <c r="AL42" s="52" t="str">
        <v>turbojetEngines</v>
      </c>
      <c r="AM42" s="52" t="str">
        <v>Turbojet Engines</v>
      </c>
      <c r="AN42" s="52">
        <v>0</v>
      </c>
      <c r="AO42" s="52" t="str">
        <v/>
      </c>
      <c r="AP42" s="52">
        <v>0</v>
      </c>
      <c r="AQ42" s="52" t="str">
        <v/>
      </c>
      <c r="AR42" s="52">
        <v>0</v>
      </c>
      <c r="AS42" s="52" t="str">
        <v/>
      </c>
      <c r="AT42" s="52">
        <v>0</v>
      </c>
      <c r="AU42" s="52" t="str">
        <v/>
      </c>
      <c r="AV42" s="52">
        <v>0</v>
      </c>
      <c r="AW42" s="52" t="str">
        <v/>
      </c>
      <c r="AX42" s="52">
        <v>0</v>
      </c>
      <c r="AY42" s="52" t="str">
        <v/>
      </c>
      <c r="AZ42" s="52">
        <v>0</v>
      </c>
      <c r="BA42" s="52" t="str">
        <v/>
      </c>
      <c r="BB42" s="52">
        <v>0</v>
      </c>
      <c r="BC42" s="52" t="str">
        <v/>
      </c>
      <c r="BD42" s="52">
        <v>0</v>
      </c>
      <c r="BE42" s="52" t="str">
        <v/>
      </c>
      <c r="BF42" s="52">
        <v>0</v>
      </c>
      <c r="BG42" s="52" t="str">
        <v/>
      </c>
      <c r="BH42" s="52">
        <v>0</v>
      </c>
      <c r="BI42" s="52" t="str">
        <v/>
      </c>
      <c r="BJ42" s="52">
        <v>0</v>
      </c>
      <c r="BK42" s="52">
        <v>0</v>
      </c>
      <c r="BL42" s="52">
        <v>0</v>
      </c>
      <c r="BM42" s="52" t="str">
        <v/>
      </c>
      <c r="BN42" s="52" t="str">
        <v>basicRocketry</v>
      </c>
      <c r="BO42" s="52" t="str">
        <v>Solid Rocket Motors</v>
      </c>
      <c r="BP42" s="52">
        <v>0</v>
      </c>
      <c r="BQ42" s="52" t="str">
        <v/>
      </c>
      <c r="BR42" s="52">
        <v>0</v>
      </c>
      <c r="BS42" s="52" t="str">
        <v/>
      </c>
      <c r="BT42" s="52">
        <v>0</v>
      </c>
      <c r="BU42" s="52" t="str">
        <v/>
      </c>
      <c r="BV42" s="52">
        <v>0</v>
      </c>
      <c r="BW42" s="52">
        <v>0</v>
      </c>
      <c r="BX42" s="52">
        <v>0</v>
      </c>
      <c r="BY42" s="52" t="str">
        <v/>
      </c>
      <c r="BZ42" s="52" t="str">
        <v>electronics</v>
      </c>
      <c r="CA42" s="52" t="str">
        <v xml:space="preserve">Electronics </v>
      </c>
      <c r="CB42" s="52">
        <v>0</v>
      </c>
      <c r="CC42" s="52" t="str">
        <v/>
      </c>
      <c r="CD42" s="52" t="str">
        <v>unmannedTech</v>
      </c>
      <c r="CE42" s="52" t="str">
        <v>8-bit Computing</v>
      </c>
      <c r="CF42" s="52">
        <v>0</v>
      </c>
      <c r="CG42" s="52" t="str">
        <v/>
      </c>
      <c r="CH42" s="52" t="str">
        <v>advUnmanned</v>
      </c>
      <c r="CI42" s="52" t="str">
        <v>16-bit Computing</v>
      </c>
      <c r="CJ42" s="52">
        <v>0</v>
      </c>
      <c r="CK42" s="52" t="str">
        <v/>
      </c>
      <c r="CL42" s="52" t="str">
        <v>largeUnmanned</v>
      </c>
      <c r="CM42" s="52" t="str">
        <v>32-bit Computing</v>
      </c>
      <c r="CN42" s="52">
        <v>0</v>
      </c>
      <c r="CO42" s="52" t="str">
        <v/>
      </c>
      <c r="CP42" s="52" t="str">
        <v>experimentalProbes</v>
      </c>
      <c r="CQ42" s="52" t="str">
        <v>64-bit Computing</v>
      </c>
      <c r="CR42" s="52">
        <v>0</v>
      </c>
      <c r="CS42" s="52" t="str">
        <v/>
      </c>
      <c r="CT42" s="52" t="str">
        <v>quantumComputers</v>
      </c>
      <c r="CU42" s="52" t="str">
        <v>Quantum Computing</v>
      </c>
      <c r="CV42" s="52">
        <v>0</v>
      </c>
      <c r="CW42" s="52" t="str">
        <v/>
      </c>
      <c r="CX42" s="52">
        <v>0</v>
      </c>
      <c r="CY42" s="52" t="str">
        <v/>
      </c>
      <c r="CZ42" s="52">
        <v>0</v>
      </c>
      <c r="DA42" s="52" t="str">
        <v/>
      </c>
      <c r="DB42" s="52">
        <v>0</v>
      </c>
      <c r="DC42" s="52" t="str">
        <v/>
      </c>
      <c r="DD42" s="52">
        <v>0</v>
      </c>
      <c r="DE42" s="52" t="str">
        <v/>
      </c>
      <c r="DF42" s="52">
        <v>0</v>
      </c>
      <c r="DG42" s="52" t="str">
        <v/>
      </c>
      <c r="DH42" s="52">
        <v>0</v>
      </c>
      <c r="DI42" s="52" t="str">
        <v/>
      </c>
      <c r="DJ42" s="52">
        <v>0</v>
      </c>
      <c r="DK42" s="52" t="str">
        <v/>
      </c>
      <c r="DL42" s="52">
        <v>0</v>
      </c>
      <c r="DM42" s="52" t="str">
        <v/>
      </c>
    </row>
    <row r="43" spans="1:117" x14ac:dyDescent="0.25">
      <c r="A43" s="54">
        <v>-2384.8500000000026</v>
      </c>
      <c r="B43" s="52">
        <v>0</v>
      </c>
      <c r="C43" s="52" t="str">
        <v/>
      </c>
      <c r="D43" s="52">
        <v>0</v>
      </c>
      <c r="E43" s="52" t="str">
        <v/>
      </c>
      <c r="F43" s="52">
        <v>0</v>
      </c>
      <c r="G43" s="52" t="str">
        <v/>
      </c>
      <c r="H43" s="52">
        <v>0</v>
      </c>
      <c r="I43" s="52" t="str">
        <v/>
      </c>
      <c r="J43" s="52">
        <v>0</v>
      </c>
      <c r="K43" s="52" t="str">
        <v/>
      </c>
      <c r="L43" s="52">
        <v>0</v>
      </c>
      <c r="M43" s="52" t="str">
        <v/>
      </c>
      <c r="N43" s="52">
        <v>0</v>
      </c>
      <c r="O43" s="52" t="str">
        <v/>
      </c>
      <c r="P43" s="52">
        <v>0</v>
      </c>
      <c r="Q43" s="52" t="str">
        <v/>
      </c>
      <c r="R43" s="52">
        <v>0</v>
      </c>
      <c r="S43" s="52" t="str">
        <v/>
      </c>
      <c r="T43" s="52">
        <v>0</v>
      </c>
      <c r="U43" s="52" t="str">
        <v/>
      </c>
      <c r="V43" s="52">
        <v>0</v>
      </c>
      <c r="W43" s="52" t="str">
        <v/>
      </c>
      <c r="X43" s="52">
        <v>0</v>
      </c>
      <c r="Y43" s="52" t="str">
        <v/>
      </c>
      <c r="Z43" s="52">
        <v>0</v>
      </c>
      <c r="AA43" s="52" t="str">
        <v/>
      </c>
      <c r="AB43" s="52">
        <v>0</v>
      </c>
      <c r="AC43" s="52" t="str">
        <v/>
      </c>
      <c r="AD43" s="52">
        <v>0</v>
      </c>
      <c r="AE43" s="52" t="str">
        <v/>
      </c>
      <c r="AF43" s="52">
        <v>0</v>
      </c>
      <c r="AG43" s="52" t="str">
        <v/>
      </c>
      <c r="AH43" s="52">
        <v>0</v>
      </c>
      <c r="AI43" s="52" t="str">
        <v/>
      </c>
      <c r="AJ43" s="52">
        <v>0</v>
      </c>
      <c r="AK43" s="52" t="str">
        <v/>
      </c>
      <c r="AL43" s="52">
        <v>0</v>
      </c>
      <c r="AM43" s="52" t="str">
        <v/>
      </c>
      <c r="AN43" s="52">
        <v>0</v>
      </c>
      <c r="AO43" s="52" t="str">
        <v/>
      </c>
      <c r="AP43" s="52">
        <v>0</v>
      </c>
      <c r="AQ43" s="52" t="str">
        <v/>
      </c>
      <c r="AR43" s="52">
        <v>0</v>
      </c>
      <c r="AS43" s="52" t="str">
        <v/>
      </c>
      <c r="AT43" s="52">
        <v>0</v>
      </c>
      <c r="AU43" s="52" t="str">
        <v/>
      </c>
      <c r="AV43" s="52">
        <v>0</v>
      </c>
      <c r="AW43" s="52" t="str">
        <v/>
      </c>
      <c r="AX43" s="52">
        <v>0</v>
      </c>
      <c r="AY43" s="52" t="str">
        <v/>
      </c>
      <c r="AZ43" s="52">
        <v>0</v>
      </c>
      <c r="BA43" s="52" t="str">
        <v/>
      </c>
      <c r="BB43" s="52">
        <v>0</v>
      </c>
      <c r="BC43" s="52" t="str">
        <v/>
      </c>
      <c r="BD43" s="52">
        <v>0</v>
      </c>
      <c r="BE43" s="52" t="str">
        <v/>
      </c>
      <c r="BF43" s="52">
        <v>0</v>
      </c>
      <c r="BG43" s="52" t="str">
        <v/>
      </c>
      <c r="BH43" s="52">
        <v>0</v>
      </c>
      <c r="BI43" s="52" t="str">
        <v/>
      </c>
      <c r="BJ43" s="52">
        <v>0</v>
      </c>
      <c r="BK43" s="52" t="str">
        <v/>
      </c>
      <c r="BL43" s="52">
        <v>0</v>
      </c>
      <c r="BM43" s="52" t="str">
        <v/>
      </c>
      <c r="BN43" s="52">
        <v>0</v>
      </c>
      <c r="BO43" s="52" t="str">
        <v/>
      </c>
      <c r="BP43" s="52">
        <v>0</v>
      </c>
      <c r="BQ43" s="52" t="str">
        <v/>
      </c>
      <c r="BR43" s="52">
        <v>0</v>
      </c>
      <c r="BS43" s="52" t="str">
        <v/>
      </c>
      <c r="BT43" s="52">
        <v>0</v>
      </c>
      <c r="BU43" s="52" t="str">
        <v/>
      </c>
      <c r="BV43" s="52">
        <v>0</v>
      </c>
      <c r="BW43" s="52">
        <v>0</v>
      </c>
      <c r="BX43" s="52">
        <v>0</v>
      </c>
      <c r="BY43" s="52" t="str">
        <v/>
      </c>
      <c r="BZ43" s="52">
        <v>0</v>
      </c>
      <c r="CA43" s="52" t="str">
        <v/>
      </c>
      <c r="CB43" s="52">
        <v>0</v>
      </c>
      <c r="CC43" s="52" t="str">
        <v/>
      </c>
      <c r="CD43" s="52">
        <v>0</v>
      </c>
      <c r="CE43" s="52" t="str">
        <v/>
      </c>
      <c r="CF43" s="52">
        <v>0</v>
      </c>
      <c r="CG43" s="52" t="str">
        <v/>
      </c>
      <c r="CH43" s="52">
        <v>0</v>
      </c>
      <c r="CI43" s="52" t="str">
        <v/>
      </c>
      <c r="CJ43" s="52">
        <v>0</v>
      </c>
      <c r="CK43" s="52" t="str">
        <v/>
      </c>
      <c r="CL43" s="52">
        <v>0</v>
      </c>
      <c r="CM43" s="52" t="str">
        <v/>
      </c>
      <c r="CN43" s="52">
        <v>0</v>
      </c>
      <c r="CO43" s="52" t="str">
        <v/>
      </c>
      <c r="CP43" s="52">
        <v>0</v>
      </c>
      <c r="CQ43" s="52" t="str">
        <v/>
      </c>
      <c r="CR43" s="52">
        <v>0</v>
      </c>
      <c r="CS43" s="52" t="str">
        <v/>
      </c>
      <c r="CT43" s="52">
        <v>0</v>
      </c>
      <c r="CU43" s="52" t="str">
        <v/>
      </c>
      <c r="CV43" s="52">
        <v>0</v>
      </c>
      <c r="CW43" s="52" t="str">
        <v/>
      </c>
      <c r="CX43" s="52">
        <v>0</v>
      </c>
      <c r="CY43" s="52" t="str">
        <v/>
      </c>
      <c r="CZ43" s="52">
        <v>0</v>
      </c>
      <c r="DA43" s="52" t="str">
        <v/>
      </c>
      <c r="DB43" s="52">
        <v>0</v>
      </c>
      <c r="DC43" s="52" t="str">
        <v/>
      </c>
      <c r="DD43" s="52">
        <v>0</v>
      </c>
      <c r="DE43" s="52" t="str">
        <v/>
      </c>
      <c r="DF43" s="52">
        <v>0</v>
      </c>
      <c r="DG43" s="52" t="str">
        <v/>
      </c>
      <c r="DH43" s="52">
        <v>0</v>
      </c>
      <c r="DI43" s="52" t="str">
        <v/>
      </c>
      <c r="DJ43" s="52">
        <v>0</v>
      </c>
      <c r="DK43" s="52" t="str">
        <v/>
      </c>
      <c r="DL43" s="52">
        <v>0</v>
      </c>
      <c r="DM43" s="52" t="str">
        <v/>
      </c>
    </row>
    <row r="44" spans="1:117" x14ac:dyDescent="0.25">
      <c r="A44" s="54">
        <v>-2345.7000000000025</v>
      </c>
      <c r="B44" s="52">
        <v>0</v>
      </c>
      <c r="C44" s="52" t="str">
        <v/>
      </c>
      <c r="D44" s="52">
        <v>0</v>
      </c>
      <c r="E44" s="52" t="str">
        <v/>
      </c>
      <c r="F44" s="52">
        <v>0</v>
      </c>
      <c r="G44" s="52" t="str">
        <v/>
      </c>
      <c r="H44" s="52">
        <v>0</v>
      </c>
      <c r="I44" s="52" t="str">
        <v/>
      </c>
      <c r="J44" s="52">
        <v>0</v>
      </c>
      <c r="K44" s="52" t="str">
        <v/>
      </c>
      <c r="L44" s="52">
        <v>0</v>
      </c>
      <c r="M44" s="52" t="str">
        <v/>
      </c>
      <c r="N44" s="52">
        <v>0</v>
      </c>
      <c r="O44" s="52" t="str">
        <v/>
      </c>
      <c r="P44" s="52">
        <v>0</v>
      </c>
      <c r="Q44" s="52" t="str">
        <v/>
      </c>
      <c r="R44" s="52">
        <v>0</v>
      </c>
      <c r="S44" s="52" t="str">
        <v/>
      </c>
      <c r="T44" s="52">
        <v>0</v>
      </c>
      <c r="U44" s="52" t="str">
        <v/>
      </c>
      <c r="V44" s="52">
        <v>0</v>
      </c>
      <c r="W44" s="52" t="str">
        <v/>
      </c>
      <c r="X44" s="52">
        <v>0</v>
      </c>
      <c r="Y44" s="52" t="str">
        <v/>
      </c>
      <c r="Z44" s="52">
        <v>0</v>
      </c>
      <c r="AA44" s="52" t="str">
        <v/>
      </c>
      <c r="AB44" s="52">
        <v>0</v>
      </c>
      <c r="AC44" s="52" t="str">
        <v/>
      </c>
      <c r="AD44" s="52" t="str">
        <v>turbopropEngines</v>
      </c>
      <c r="AE44" s="52" t="str">
        <v>Turboprop Engines</v>
      </c>
      <c r="AF44" s="52">
        <v>0</v>
      </c>
      <c r="AG44" s="52" t="str">
        <v/>
      </c>
      <c r="AH44" s="52" t="str">
        <v>turboshaftEngines</v>
      </c>
      <c r="AI44" s="52" t="str">
        <v>Turboshaft Engines</v>
      </c>
      <c r="AJ44" s="52">
        <v>0</v>
      </c>
      <c r="AK44" s="52" t="str">
        <v/>
      </c>
      <c r="AL44" s="52">
        <v>0</v>
      </c>
      <c r="AM44" s="52" t="str">
        <v/>
      </c>
      <c r="AN44" s="52">
        <v>0</v>
      </c>
      <c r="AO44" s="52" t="str">
        <v/>
      </c>
      <c r="AP44" s="52" t="str">
        <v>advPropellerEngines</v>
      </c>
      <c r="AQ44" s="52" t="str">
        <v>Advanced Propeller Engines</v>
      </c>
      <c r="AR44" s="52">
        <v>0</v>
      </c>
      <c r="AS44" s="52" t="str">
        <v/>
      </c>
      <c r="AT44" s="52">
        <v>0</v>
      </c>
      <c r="AU44" s="52" t="str">
        <v/>
      </c>
      <c r="AV44" s="52">
        <v>0</v>
      </c>
      <c r="AW44" s="52" t="str">
        <v/>
      </c>
      <c r="AX44" s="52">
        <v>0</v>
      </c>
      <c r="AY44" s="52" t="str">
        <v/>
      </c>
      <c r="AZ44" s="52">
        <v>0</v>
      </c>
      <c r="BA44" s="52" t="str">
        <v/>
      </c>
      <c r="BB44" s="52">
        <v>0</v>
      </c>
      <c r="BC44" s="52" t="str">
        <v/>
      </c>
      <c r="BD44" s="52">
        <v>0</v>
      </c>
      <c r="BE44" s="52" t="str">
        <v/>
      </c>
      <c r="BF44" s="52">
        <v>0</v>
      </c>
      <c r="BG44" s="52" t="str">
        <v/>
      </c>
      <c r="BH44" s="52">
        <v>0</v>
      </c>
      <c r="BI44" s="52" t="str">
        <v/>
      </c>
      <c r="BJ44" s="52">
        <v>0</v>
      </c>
      <c r="BK44" s="52" t="str">
        <v/>
      </c>
      <c r="BL44" s="52">
        <v>0</v>
      </c>
      <c r="BM44" s="52" t="str">
        <v/>
      </c>
      <c r="BN44" s="52">
        <v>0</v>
      </c>
      <c r="BO44" s="52" t="str">
        <v/>
      </c>
      <c r="BP44" s="52">
        <v>0</v>
      </c>
      <c r="BQ44" s="52" t="str">
        <v/>
      </c>
      <c r="BR44" s="52">
        <v>0</v>
      </c>
      <c r="BS44" s="52">
        <v>0</v>
      </c>
      <c r="BT44" s="52">
        <v>0</v>
      </c>
      <c r="BU44" s="52" t="str">
        <v/>
      </c>
      <c r="BV44" s="52">
        <v>0</v>
      </c>
      <c r="BW44" s="52">
        <v>0</v>
      </c>
      <c r="BX44" s="52">
        <v>0</v>
      </c>
      <c r="BY44" s="52" t="str">
        <v/>
      </c>
      <c r="BZ44" s="52" t="str">
        <v>communications</v>
      </c>
      <c r="CA44" s="52" t="str">
        <v>Short Range Antennas</v>
      </c>
      <c r="CB44" s="52">
        <v>0</v>
      </c>
      <c r="CC44" s="52" t="str">
        <v/>
      </c>
      <c r="CD44" s="52">
        <v>0</v>
      </c>
      <c r="CE44" s="52" t="str">
        <v/>
      </c>
      <c r="CF44" s="52">
        <v>0</v>
      </c>
      <c r="CG44" s="52" t="str">
        <v/>
      </c>
      <c r="CH44" s="52" t="str">
        <v>advCommunications</v>
      </c>
      <c r="CI44" s="52" t="str">
        <v>Medium Range Antennas</v>
      </c>
      <c r="CJ44" s="52">
        <v>0</v>
      </c>
      <c r="CK44" s="52" t="str">
        <v/>
      </c>
      <c r="CL44" s="52" t="str">
        <v>experimentalCommunications</v>
      </c>
      <c r="CM44" s="52" t="str">
        <v>Long Range Antennas</v>
      </c>
      <c r="CN44" s="52">
        <v>0</v>
      </c>
      <c r="CO44" s="52" t="str">
        <v/>
      </c>
      <c r="CP44" s="52" t="str">
        <v>exoticCommunications</v>
      </c>
      <c r="CQ44" s="52" t="str">
        <v>Ultra-long Range Antennas</v>
      </c>
      <c r="CR44" s="52">
        <v>0</v>
      </c>
      <c r="CS44" s="52" t="str">
        <v/>
      </c>
      <c r="CT44" s="52">
        <v>0</v>
      </c>
      <c r="CU44" s="52" t="str">
        <v/>
      </c>
      <c r="CV44" s="52">
        <v>0</v>
      </c>
      <c r="CW44" s="52" t="str">
        <v/>
      </c>
      <c r="CX44" s="52">
        <v>0</v>
      </c>
      <c r="CY44" s="52" t="str">
        <v/>
      </c>
      <c r="CZ44" s="52">
        <v>0</v>
      </c>
      <c r="DA44" s="52" t="str">
        <v/>
      </c>
      <c r="DB44" s="52">
        <v>0</v>
      </c>
      <c r="DC44" s="52" t="str">
        <v/>
      </c>
      <c r="DD44" s="52">
        <v>0</v>
      </c>
      <c r="DE44" s="52" t="str">
        <v/>
      </c>
      <c r="DF44" s="52">
        <v>0</v>
      </c>
      <c r="DG44" s="52" t="str">
        <v/>
      </c>
      <c r="DH44" s="52">
        <v>0</v>
      </c>
      <c r="DI44" s="52" t="str">
        <v/>
      </c>
      <c r="DJ44" s="52">
        <v>0</v>
      </c>
      <c r="DK44" s="52" t="str">
        <v/>
      </c>
      <c r="DL44" s="52">
        <v>0</v>
      </c>
      <c r="DM44" s="52" t="str">
        <v/>
      </c>
    </row>
    <row r="45" spans="1:117" x14ac:dyDescent="0.25">
      <c r="A45" s="54">
        <v>-2306.5500000000025</v>
      </c>
      <c r="B45" s="52">
        <v>0</v>
      </c>
      <c r="C45" s="52" t="str">
        <v/>
      </c>
      <c r="D45" s="52">
        <v>0</v>
      </c>
      <c r="E45" s="52" t="str">
        <v/>
      </c>
      <c r="F45" s="52">
        <v>0</v>
      </c>
      <c r="G45" s="52" t="str">
        <v/>
      </c>
      <c r="H45" s="52">
        <v>0</v>
      </c>
      <c r="I45" s="52" t="str">
        <v/>
      </c>
      <c r="J45" s="52">
        <v>0</v>
      </c>
      <c r="K45" s="52" t="str">
        <v/>
      </c>
      <c r="L45" s="52">
        <v>0</v>
      </c>
      <c r="M45" s="52" t="str">
        <v/>
      </c>
      <c r="N45" s="52">
        <v>0</v>
      </c>
      <c r="O45" s="52" t="str">
        <v/>
      </c>
      <c r="P45" s="52">
        <v>0</v>
      </c>
      <c r="Q45" s="52" t="str">
        <v/>
      </c>
      <c r="R45" s="52">
        <v>0</v>
      </c>
      <c r="S45" s="52" t="str">
        <v/>
      </c>
      <c r="T45" s="52">
        <v>0</v>
      </c>
      <c r="U45" s="52" t="str">
        <v/>
      </c>
      <c r="V45" s="52">
        <v>0</v>
      </c>
      <c r="W45" s="52" t="str">
        <v/>
      </c>
      <c r="X45" s="52">
        <v>0</v>
      </c>
      <c r="Y45" s="52" t="str">
        <v/>
      </c>
      <c r="Z45" s="52">
        <v>0</v>
      </c>
      <c r="AA45" s="52" t="str">
        <v/>
      </c>
      <c r="AB45" s="52">
        <v>0</v>
      </c>
      <c r="AC45" s="52" t="str">
        <v/>
      </c>
      <c r="AD45" s="52">
        <v>0</v>
      </c>
      <c r="AE45" s="52" t="str">
        <v/>
      </c>
      <c r="AF45" s="52">
        <v>0</v>
      </c>
      <c r="AG45" s="52" t="str">
        <v/>
      </c>
      <c r="AH45" s="52">
        <v>0</v>
      </c>
      <c r="AI45" s="52" t="str">
        <v/>
      </c>
      <c r="AJ45" s="52">
        <v>0</v>
      </c>
      <c r="AK45" s="52" t="str">
        <v/>
      </c>
      <c r="AL45" s="52">
        <v>0</v>
      </c>
      <c r="AM45" s="52" t="str">
        <v/>
      </c>
      <c r="AN45" s="52">
        <v>0</v>
      </c>
      <c r="AO45" s="52" t="str">
        <v/>
      </c>
      <c r="AP45" s="52">
        <v>0</v>
      </c>
      <c r="AQ45" s="52" t="str">
        <v/>
      </c>
      <c r="AR45" s="52">
        <v>0</v>
      </c>
      <c r="AS45" s="52" t="str">
        <v/>
      </c>
      <c r="AT45" s="52">
        <v>0</v>
      </c>
      <c r="AU45" s="52" t="str">
        <v/>
      </c>
      <c r="AV45" s="52">
        <v>0</v>
      </c>
      <c r="AW45" s="52" t="str">
        <v/>
      </c>
      <c r="AX45" s="52">
        <v>0</v>
      </c>
      <c r="AY45" s="52" t="str">
        <v/>
      </c>
      <c r="AZ45" s="52">
        <v>0</v>
      </c>
      <c r="BA45" s="52" t="str">
        <v/>
      </c>
      <c r="BB45" s="52">
        <v>0</v>
      </c>
      <c r="BC45" s="52" t="str">
        <v/>
      </c>
      <c r="BD45" s="52">
        <v>0</v>
      </c>
      <c r="BE45" s="52" t="str">
        <v/>
      </c>
      <c r="BF45" s="52">
        <v>0</v>
      </c>
      <c r="BG45" s="52" t="str">
        <v/>
      </c>
      <c r="BH45" s="52">
        <v>0</v>
      </c>
      <c r="BI45" s="52" t="str">
        <v/>
      </c>
      <c r="BJ45" s="52">
        <v>0</v>
      </c>
      <c r="BK45" s="52" t="str">
        <v/>
      </c>
      <c r="BL45" s="52">
        <v>0</v>
      </c>
      <c r="BM45" s="52" t="str">
        <v/>
      </c>
      <c r="BN45" s="52">
        <v>0</v>
      </c>
      <c r="BO45" s="52" t="str">
        <v/>
      </c>
      <c r="BP45" s="52">
        <v>0</v>
      </c>
      <c r="BQ45" s="52" t="str">
        <v/>
      </c>
      <c r="BR45" s="52">
        <v>0</v>
      </c>
      <c r="BS45" s="52">
        <v>0</v>
      </c>
      <c r="BT45" s="52">
        <v>0</v>
      </c>
      <c r="BU45" s="52">
        <v>0</v>
      </c>
      <c r="BV45" s="52">
        <v>0</v>
      </c>
      <c r="BW45" s="52">
        <v>0</v>
      </c>
      <c r="BX45" s="52">
        <v>0</v>
      </c>
      <c r="BY45" s="52" t="str">
        <v/>
      </c>
      <c r="BZ45" s="52">
        <v>0</v>
      </c>
      <c r="CA45" s="52" t="str">
        <v/>
      </c>
      <c r="CB45" s="52">
        <v>0</v>
      </c>
      <c r="CC45" s="52" t="str">
        <v/>
      </c>
      <c r="CD45" s="52">
        <v>0</v>
      </c>
      <c r="CE45" s="52" t="str">
        <v/>
      </c>
      <c r="CF45" s="52">
        <v>0</v>
      </c>
      <c r="CG45" s="52" t="str">
        <v/>
      </c>
      <c r="CH45" s="52">
        <v>0</v>
      </c>
      <c r="CI45" s="52" t="str">
        <v/>
      </c>
      <c r="CJ45" s="52">
        <v>0</v>
      </c>
      <c r="CK45" s="52" t="str">
        <v/>
      </c>
      <c r="CL45" s="52">
        <v>0</v>
      </c>
      <c r="CM45" s="52" t="str">
        <v/>
      </c>
      <c r="CN45" s="52">
        <v>0</v>
      </c>
      <c r="CO45" s="52" t="str">
        <v/>
      </c>
      <c r="CP45" s="52">
        <v>0</v>
      </c>
      <c r="CQ45" s="52" t="str">
        <v/>
      </c>
      <c r="CR45" s="52">
        <v>0</v>
      </c>
      <c r="CS45" s="52" t="str">
        <v/>
      </c>
      <c r="CT45" s="52">
        <v>0</v>
      </c>
      <c r="CU45" s="52" t="str">
        <v/>
      </c>
      <c r="CV45" s="52">
        <v>0</v>
      </c>
      <c r="CW45" s="52" t="str">
        <v/>
      </c>
      <c r="CX45" s="52">
        <v>0</v>
      </c>
      <c r="CY45" s="52" t="str">
        <v/>
      </c>
      <c r="CZ45" s="52">
        <v>0</v>
      </c>
      <c r="DA45" s="52" t="str">
        <v/>
      </c>
      <c r="DB45" s="52">
        <v>0</v>
      </c>
      <c r="DC45" s="52" t="str">
        <v/>
      </c>
      <c r="DD45" s="52">
        <v>0</v>
      </c>
      <c r="DE45" s="52" t="str">
        <v/>
      </c>
      <c r="DF45" s="52">
        <v>0</v>
      </c>
      <c r="DG45" s="52" t="str">
        <v/>
      </c>
      <c r="DH45" s="52">
        <v>0</v>
      </c>
      <c r="DI45" s="52" t="str">
        <v/>
      </c>
      <c r="DJ45" s="52">
        <v>0</v>
      </c>
      <c r="DK45" s="52" t="str">
        <v/>
      </c>
      <c r="DL45" s="52">
        <v>0</v>
      </c>
      <c r="DM45" s="52" t="str">
        <v/>
      </c>
    </row>
    <row r="46" spans="1:117" x14ac:dyDescent="0.25">
      <c r="A46" s="54">
        <v>-2267.4000000000024</v>
      </c>
      <c r="B46" s="52">
        <v>0</v>
      </c>
      <c r="C46" s="52" t="str">
        <v/>
      </c>
      <c r="D46" s="52">
        <v>0</v>
      </c>
      <c r="E46" s="52" t="str">
        <v/>
      </c>
      <c r="F46" s="52">
        <v>0</v>
      </c>
      <c r="G46" s="52" t="str">
        <v/>
      </c>
      <c r="H46" s="52">
        <v>0</v>
      </c>
      <c r="I46" s="52" t="str">
        <v/>
      </c>
      <c r="J46" s="52">
        <v>0</v>
      </c>
      <c r="K46" s="52" t="str">
        <v/>
      </c>
      <c r="L46" s="52">
        <v>0</v>
      </c>
      <c r="M46" s="52" t="str">
        <v/>
      </c>
      <c r="N46" s="52">
        <v>0</v>
      </c>
      <c r="O46" s="52" t="str">
        <v/>
      </c>
      <c r="P46" s="52">
        <v>0</v>
      </c>
      <c r="Q46" s="52" t="str">
        <v/>
      </c>
      <c r="R46" s="52">
        <v>0</v>
      </c>
      <c r="S46" s="52" t="str">
        <v/>
      </c>
      <c r="T46" s="52">
        <v>0</v>
      </c>
      <c r="U46" s="52" t="str">
        <v/>
      </c>
      <c r="V46" s="52">
        <v>0</v>
      </c>
      <c r="W46" s="52" t="str">
        <v/>
      </c>
      <c r="X46" s="52">
        <v>0</v>
      </c>
      <c r="Y46" s="52" t="str">
        <v/>
      </c>
      <c r="Z46" s="52">
        <v>0</v>
      </c>
      <c r="AA46" s="52" t="str">
        <v/>
      </c>
      <c r="AB46" s="52">
        <v>0</v>
      </c>
      <c r="AC46" s="52" t="str">
        <v/>
      </c>
      <c r="AD46" s="52">
        <v>0</v>
      </c>
      <c r="AE46" s="52" t="str">
        <v/>
      </c>
      <c r="AF46" s="52">
        <v>0</v>
      </c>
      <c r="AG46" s="52" t="str">
        <v/>
      </c>
      <c r="AH46" s="52" t="str">
        <v>experimentalBouyancy</v>
      </c>
      <c r="AI46" s="52" t="str">
        <v>Experimental Trimming</v>
      </c>
      <c r="AJ46" s="52">
        <v>0</v>
      </c>
      <c r="AK46" s="52" t="str">
        <v/>
      </c>
      <c r="AL46" s="52">
        <v>0</v>
      </c>
      <c r="AM46" s="52" t="str">
        <v/>
      </c>
      <c r="AN46" s="52">
        <v>0</v>
      </c>
      <c r="AO46" s="52" t="str">
        <v/>
      </c>
      <c r="AP46" s="52" t="str">
        <v>largePropellerEngines</v>
      </c>
      <c r="AQ46" s="52" t="str">
        <v>Large Propeller Engines</v>
      </c>
      <c r="AR46" s="52">
        <v>0</v>
      </c>
      <c r="AS46" s="52" t="str">
        <v/>
      </c>
      <c r="AT46" s="52">
        <v>0</v>
      </c>
      <c r="AU46" s="52" t="str">
        <v/>
      </c>
      <c r="AV46" s="52">
        <v>0</v>
      </c>
      <c r="AW46" s="52" t="str">
        <v/>
      </c>
      <c r="AX46" s="52">
        <v>0</v>
      </c>
      <c r="AY46" s="52" t="str">
        <v/>
      </c>
      <c r="AZ46" s="52">
        <v>0</v>
      </c>
      <c r="BA46" s="52" t="str">
        <v/>
      </c>
      <c r="BB46" s="52">
        <v>0</v>
      </c>
      <c r="BC46" s="52" t="str">
        <v/>
      </c>
      <c r="BD46" s="52">
        <v>0</v>
      </c>
      <c r="BE46" s="52" t="str">
        <v/>
      </c>
      <c r="BF46" s="52">
        <v>0</v>
      </c>
      <c r="BG46" s="52" t="str">
        <v/>
      </c>
      <c r="BH46" s="52">
        <v>0</v>
      </c>
      <c r="BI46" s="52" t="str">
        <v/>
      </c>
      <c r="BJ46" s="52">
        <v>0</v>
      </c>
      <c r="BK46" s="52" t="str">
        <v/>
      </c>
      <c r="BL46" s="52">
        <v>0</v>
      </c>
      <c r="BM46" s="52" t="str">
        <v/>
      </c>
      <c r="BN46" s="52">
        <v>0</v>
      </c>
      <c r="BO46" s="52">
        <v>0</v>
      </c>
      <c r="BP46" s="52">
        <v>0</v>
      </c>
      <c r="BQ46" s="52" t="str">
        <v/>
      </c>
      <c r="BR46" s="52">
        <v>0</v>
      </c>
      <c r="BS46" s="52">
        <v>0</v>
      </c>
      <c r="BT46" s="52">
        <v>0</v>
      </c>
      <c r="BU46" s="52">
        <v>0</v>
      </c>
      <c r="BV46" s="52">
        <v>0</v>
      </c>
      <c r="BW46" s="52">
        <v>0</v>
      </c>
      <c r="BX46" s="52">
        <v>0</v>
      </c>
      <c r="BY46" s="52" t="str">
        <v/>
      </c>
      <c r="BZ46" s="52">
        <v>0</v>
      </c>
      <c r="CA46" s="52" t="str">
        <v/>
      </c>
      <c r="CB46" s="52">
        <v>0</v>
      </c>
      <c r="CC46" s="52" t="str">
        <v/>
      </c>
      <c r="CD46" s="52" t="str">
        <v>solarTech</v>
      </c>
      <c r="CE46" s="52" t="str">
        <v>Renewable Energy</v>
      </c>
      <c r="CF46" s="52">
        <v>0</v>
      </c>
      <c r="CG46" s="52" t="str">
        <v/>
      </c>
      <c r="CH46" s="52" t="str">
        <v>advSolarTech</v>
      </c>
      <c r="CI46" s="52" t="str">
        <v>Advanced Solar Tech</v>
      </c>
      <c r="CJ46" s="52">
        <v>0</v>
      </c>
      <c r="CK46" s="52" t="str">
        <v/>
      </c>
      <c r="CL46" s="52" t="str">
        <v>advPVMaterials</v>
      </c>
      <c r="CM46" s="52" t="str">
        <v>Advanced Photovoltaic Materials</v>
      </c>
      <c r="CN46" s="52">
        <v>0</v>
      </c>
      <c r="CO46" s="52" t="str">
        <v/>
      </c>
      <c r="CP46" s="52" t="str">
        <v>cuttingEdgeSolarTech</v>
      </c>
      <c r="CQ46" s="52" t="str">
        <v>High-tech Renewable Energy</v>
      </c>
      <c r="CR46" s="52">
        <v>0</v>
      </c>
      <c r="CS46" s="52" t="str">
        <v/>
      </c>
      <c r="CT46" s="52" t="str">
        <v>expSolarTech</v>
      </c>
      <c r="CU46" s="52" t="str">
        <v>Experimental Renewable Energy</v>
      </c>
      <c r="CV46" s="52">
        <v>0</v>
      </c>
      <c r="CW46" s="52" t="str">
        <v/>
      </c>
      <c r="CX46" s="52" t="str">
        <v>exoticSolarTech</v>
      </c>
      <c r="CY46" s="52" t="str">
        <v>Experimental Renewables Technology</v>
      </c>
      <c r="CZ46" s="52">
        <v>0</v>
      </c>
      <c r="DA46" s="52" t="str">
        <v/>
      </c>
      <c r="DB46" s="52">
        <v>0</v>
      </c>
      <c r="DC46" s="52" t="str">
        <v/>
      </c>
      <c r="DD46" s="52">
        <v>0</v>
      </c>
      <c r="DE46" s="52" t="str">
        <v/>
      </c>
      <c r="DF46" s="52">
        <v>0</v>
      </c>
      <c r="DG46" s="52" t="str">
        <v/>
      </c>
      <c r="DH46" s="52">
        <v>0</v>
      </c>
      <c r="DI46" s="52" t="str">
        <v/>
      </c>
      <c r="DJ46" s="52">
        <v>0</v>
      </c>
      <c r="DK46" s="52" t="str">
        <v/>
      </c>
      <c r="DL46" s="52">
        <v>0</v>
      </c>
      <c r="DM46" s="52" t="str">
        <v/>
      </c>
    </row>
    <row r="47" spans="1:117" x14ac:dyDescent="0.25">
      <c r="A47" s="54">
        <v>-2228.2500000000023</v>
      </c>
      <c r="B47" s="52">
        <v>0</v>
      </c>
      <c r="C47" s="52" t="str">
        <v/>
      </c>
      <c r="D47" s="52">
        <v>0</v>
      </c>
      <c r="E47" s="52" t="str">
        <v/>
      </c>
      <c r="F47" s="52">
        <v>0</v>
      </c>
      <c r="G47" s="52" t="str">
        <v/>
      </c>
      <c r="H47" s="52">
        <v>0</v>
      </c>
      <c r="I47" s="52" t="str">
        <v/>
      </c>
      <c r="J47" s="52">
        <v>0</v>
      </c>
      <c r="K47" s="52" t="str">
        <v/>
      </c>
      <c r="L47" s="52">
        <v>0</v>
      </c>
      <c r="M47" s="52" t="str">
        <v/>
      </c>
      <c r="N47" s="52">
        <v>0</v>
      </c>
      <c r="O47" s="52" t="str">
        <v/>
      </c>
      <c r="P47" s="52">
        <v>0</v>
      </c>
      <c r="Q47" s="52" t="str">
        <v/>
      </c>
      <c r="R47" s="52">
        <v>0</v>
      </c>
      <c r="S47" s="52" t="str">
        <v/>
      </c>
      <c r="T47" s="52">
        <v>0</v>
      </c>
      <c r="U47" s="52" t="str">
        <v/>
      </c>
      <c r="V47" s="52">
        <v>0</v>
      </c>
      <c r="W47" s="52" t="str">
        <v/>
      </c>
      <c r="X47" s="52">
        <v>0</v>
      </c>
      <c r="Y47" s="52" t="str">
        <v/>
      </c>
      <c r="Z47" s="52">
        <v>0</v>
      </c>
      <c r="AA47" s="52" t="str">
        <v/>
      </c>
      <c r="AB47" s="52">
        <v>0</v>
      </c>
      <c r="AC47" s="52" t="str">
        <v/>
      </c>
      <c r="AD47" s="52">
        <v>0</v>
      </c>
      <c r="AE47" s="52" t="str">
        <v/>
      </c>
      <c r="AF47" s="52">
        <v>0</v>
      </c>
      <c r="AG47" s="52" t="str">
        <v/>
      </c>
      <c r="AH47" s="52">
        <v>0</v>
      </c>
      <c r="AI47" s="52" t="str">
        <v/>
      </c>
      <c r="AJ47" s="52">
        <v>0</v>
      </c>
      <c r="AK47" s="52" t="str">
        <v/>
      </c>
      <c r="AL47" s="52">
        <v>0</v>
      </c>
      <c r="AM47" s="52" t="str">
        <v/>
      </c>
      <c r="AN47" s="52">
        <v>0</v>
      </c>
      <c r="AO47" s="52" t="str">
        <v/>
      </c>
      <c r="AP47" s="52">
        <v>0</v>
      </c>
      <c r="AQ47" s="52" t="str">
        <v/>
      </c>
      <c r="AR47" s="52">
        <v>0</v>
      </c>
      <c r="AS47" s="52" t="str">
        <v/>
      </c>
      <c r="AT47" s="52">
        <v>0</v>
      </c>
      <c r="AU47" s="52" t="str">
        <v/>
      </c>
      <c r="AV47" s="52">
        <v>0</v>
      </c>
      <c r="AW47" s="52" t="str">
        <v/>
      </c>
      <c r="AX47" s="52">
        <v>0</v>
      </c>
      <c r="AY47" s="52" t="str">
        <v/>
      </c>
      <c r="AZ47" s="52">
        <v>0</v>
      </c>
      <c r="BA47" s="52" t="str">
        <v/>
      </c>
      <c r="BB47" s="52">
        <v>0</v>
      </c>
      <c r="BC47" s="52" t="str">
        <v/>
      </c>
      <c r="BD47" s="52">
        <v>0</v>
      </c>
      <c r="BE47" s="52" t="str">
        <v/>
      </c>
      <c r="BF47" s="52">
        <v>0</v>
      </c>
      <c r="BG47" s="52" t="str">
        <v/>
      </c>
      <c r="BH47" s="52">
        <v>0</v>
      </c>
      <c r="BI47" s="52" t="str">
        <v/>
      </c>
      <c r="BJ47" s="52">
        <v>0</v>
      </c>
      <c r="BK47" s="52" t="str">
        <v/>
      </c>
      <c r="BL47" s="52">
        <v>0</v>
      </c>
      <c r="BM47" s="52" t="str">
        <v/>
      </c>
      <c r="BN47" s="52">
        <v>0</v>
      </c>
      <c r="BO47" s="52" t="str">
        <v/>
      </c>
      <c r="BP47" s="52">
        <v>0</v>
      </c>
      <c r="BQ47" s="52" t="str">
        <v/>
      </c>
      <c r="BR47" s="52">
        <v>0</v>
      </c>
      <c r="BS47" s="52">
        <v>0</v>
      </c>
      <c r="BT47" s="52">
        <v>0</v>
      </c>
      <c r="BU47" s="52">
        <v>0</v>
      </c>
      <c r="BV47" s="52">
        <v>0</v>
      </c>
      <c r="BW47" s="52">
        <v>0</v>
      </c>
      <c r="BX47" s="52">
        <v>0</v>
      </c>
      <c r="BY47" s="52" t="str">
        <v/>
      </c>
      <c r="BZ47" s="52">
        <v>0</v>
      </c>
      <c r="CA47" s="52" t="str">
        <v/>
      </c>
      <c r="CB47" s="52">
        <v>0</v>
      </c>
      <c r="CC47" s="52" t="str">
        <v/>
      </c>
      <c r="CD47" s="52">
        <v>0</v>
      </c>
      <c r="CE47" s="52" t="str">
        <v/>
      </c>
      <c r="CF47" s="52">
        <v>0</v>
      </c>
      <c r="CG47" s="52" t="str">
        <v/>
      </c>
      <c r="CH47" s="52">
        <v>0</v>
      </c>
      <c r="CI47" s="52" t="str">
        <v/>
      </c>
      <c r="CJ47" s="52">
        <v>0</v>
      </c>
      <c r="CK47" s="52" t="str">
        <v/>
      </c>
      <c r="CL47" s="52">
        <v>0</v>
      </c>
      <c r="CM47" s="52" t="str">
        <v/>
      </c>
      <c r="CN47" s="52">
        <v>0</v>
      </c>
      <c r="CO47" s="52" t="str">
        <v/>
      </c>
      <c r="CP47" s="52">
        <v>0</v>
      </c>
      <c r="CQ47" s="52" t="str">
        <v/>
      </c>
      <c r="CR47" s="52">
        <v>0</v>
      </c>
      <c r="CS47" s="52" t="str">
        <v/>
      </c>
      <c r="CT47" s="52">
        <v>0</v>
      </c>
      <c r="CU47" s="52" t="str">
        <v/>
      </c>
      <c r="CV47" s="52">
        <v>0</v>
      </c>
      <c r="CW47" s="52" t="str">
        <v/>
      </c>
      <c r="CX47" s="52">
        <v>0</v>
      </c>
      <c r="CY47" s="52" t="str">
        <v/>
      </c>
      <c r="CZ47" s="52">
        <v>0</v>
      </c>
      <c r="DA47" s="52" t="str">
        <v/>
      </c>
      <c r="DB47" s="52">
        <v>0</v>
      </c>
      <c r="DC47" s="52" t="str">
        <v/>
      </c>
      <c r="DD47" s="52">
        <v>0</v>
      </c>
      <c r="DE47" s="52" t="str">
        <v/>
      </c>
      <c r="DF47" s="52">
        <v>0</v>
      </c>
      <c r="DG47" s="52" t="str">
        <v/>
      </c>
      <c r="DH47" s="52">
        <v>0</v>
      </c>
      <c r="DI47" s="52" t="str">
        <v/>
      </c>
      <c r="DJ47" s="52">
        <v>0</v>
      </c>
      <c r="DK47" s="52" t="str">
        <v/>
      </c>
      <c r="DL47" s="52">
        <v>0</v>
      </c>
      <c r="DM47" s="52" t="str">
        <v/>
      </c>
    </row>
    <row r="48" spans="1:117" x14ac:dyDescent="0.25">
      <c r="A48" s="54">
        <v>-2189.1000000000022</v>
      </c>
      <c r="B48" s="52">
        <v>0</v>
      </c>
      <c r="C48" s="52" t="str">
        <v/>
      </c>
      <c r="D48" s="52">
        <v>0</v>
      </c>
      <c r="E48" s="52" t="str">
        <v/>
      </c>
      <c r="F48" s="52">
        <v>0</v>
      </c>
      <c r="G48" s="52" t="str">
        <v/>
      </c>
      <c r="H48" s="52">
        <v>0</v>
      </c>
      <c r="I48" s="52" t="str">
        <v/>
      </c>
      <c r="J48" s="52">
        <v>0</v>
      </c>
      <c r="K48" s="52" t="str">
        <v/>
      </c>
      <c r="L48" s="52">
        <v>0</v>
      </c>
      <c r="M48" s="52" t="str">
        <v/>
      </c>
      <c r="N48" s="52">
        <v>0</v>
      </c>
      <c r="O48" s="52" t="str">
        <v/>
      </c>
      <c r="P48" s="52">
        <v>0</v>
      </c>
      <c r="Q48" s="52" t="str">
        <v/>
      </c>
      <c r="R48" s="52">
        <v>0</v>
      </c>
      <c r="S48" s="52" t="str">
        <v/>
      </c>
      <c r="T48" s="52">
        <v>0</v>
      </c>
      <c r="U48" s="52" t="str">
        <v/>
      </c>
      <c r="V48" s="52" t="str">
        <v>advReactionControl</v>
      </c>
      <c r="W48" s="52" t="str">
        <v>Advanced RCS</v>
      </c>
      <c r="X48" s="52">
        <v>0</v>
      </c>
      <c r="Y48" s="52" t="str">
        <v/>
      </c>
      <c r="Z48" s="52" t="str">
        <v>reactionControl</v>
      </c>
      <c r="AA48" s="52" t="str">
        <v>Reaction Control Systems</v>
      </c>
      <c r="AB48" s="52">
        <v>0</v>
      </c>
      <c r="AC48" s="52" t="str">
        <v/>
      </c>
      <c r="AD48" s="52">
        <v>0</v>
      </c>
      <c r="AE48" s="52" t="str">
        <v/>
      </c>
      <c r="AF48" s="52">
        <v>0</v>
      </c>
      <c r="AG48" s="52" t="str">
        <v/>
      </c>
      <c r="AH48" s="52" t="str">
        <v>advBouyancy</v>
      </c>
      <c r="AI48" s="52" t="str">
        <v>Ballasting &amp; Bouyancy</v>
      </c>
      <c r="AJ48" s="52">
        <v>0</v>
      </c>
      <c r="AK48" s="52" t="str">
        <v/>
      </c>
      <c r="AL48" s="52">
        <v>0</v>
      </c>
      <c r="AM48" s="52" t="str">
        <v/>
      </c>
      <c r="AN48" s="52">
        <v>0</v>
      </c>
      <c r="AO48" s="52" t="str">
        <v/>
      </c>
      <c r="AP48" s="52" t="str">
        <v>propellerEngines</v>
      </c>
      <c r="AQ48" s="52" t="str">
        <v>Early Propeller Engines</v>
      </c>
      <c r="AR48" s="52">
        <v>0</v>
      </c>
      <c r="AS48" s="52" t="str">
        <v/>
      </c>
      <c r="AT48" s="52" t="str">
        <v>exoticRadiators</v>
      </c>
      <c r="AU48" s="52" t="str">
        <v>Exotic Radiators</v>
      </c>
      <c r="AV48" s="52">
        <v>0</v>
      </c>
      <c r="AW48" s="52" t="str">
        <v/>
      </c>
      <c r="AX48" s="52" t="str">
        <v>specializedRadiators</v>
      </c>
      <c r="AY48" s="52" t="str">
        <v>Specialized Radiators</v>
      </c>
      <c r="AZ48" s="52">
        <v>0</v>
      </c>
      <c r="BA48" s="52" t="str">
        <v/>
      </c>
      <c r="BB48" s="52" t="str">
        <v>advHeatManagement</v>
      </c>
      <c r="BC48" s="52" t="str">
        <v>Advanced Heat Management</v>
      </c>
      <c r="BD48" s="52">
        <v>0</v>
      </c>
      <c r="BE48" s="52" t="str">
        <v/>
      </c>
      <c r="BF48" s="52" t="str">
        <v>heatManagementSystems</v>
      </c>
      <c r="BG48" s="52" t="str">
        <v>Heat Management Systems</v>
      </c>
      <c r="BH48" s="52">
        <v>0</v>
      </c>
      <c r="BI48" s="52" t="str">
        <v/>
      </c>
      <c r="BJ48" s="52">
        <v>0</v>
      </c>
      <c r="BK48" s="52" t="str">
        <v/>
      </c>
      <c r="BL48" s="52">
        <v>0</v>
      </c>
      <c r="BM48" s="52" t="str">
        <v/>
      </c>
      <c r="BN48" s="52">
        <v>0</v>
      </c>
      <c r="BO48" s="52" t="str">
        <v/>
      </c>
      <c r="BP48" s="52">
        <v>0</v>
      </c>
      <c r="BQ48" s="52" t="str">
        <v/>
      </c>
      <c r="BR48" s="52">
        <v>0</v>
      </c>
      <c r="BS48" s="52">
        <v>0</v>
      </c>
      <c r="BT48" s="52">
        <v>0</v>
      </c>
      <c r="BU48" s="52">
        <v>0</v>
      </c>
      <c r="BV48" s="52">
        <v>0</v>
      </c>
      <c r="BW48" s="52">
        <v>0</v>
      </c>
      <c r="BX48" s="52">
        <v>0</v>
      </c>
      <c r="BY48" s="52" t="str">
        <v/>
      </c>
      <c r="BZ48" s="52" t="str">
        <v>advElectrics</v>
      </c>
      <c r="CA48" s="52" t="str">
        <v>Advanced Electrics</v>
      </c>
      <c r="CB48" s="52">
        <v>0</v>
      </c>
      <c r="CC48" s="52" t="str">
        <v/>
      </c>
      <c r="CD48" s="52" t="str">
        <v>specializedElectrics</v>
      </c>
      <c r="CE48" s="52" t="str">
        <v>Nickel Cadmium Batteries</v>
      </c>
      <c r="CF48" s="52">
        <v>0</v>
      </c>
      <c r="CG48" s="52" t="str">
        <v/>
      </c>
      <c r="CH48" s="52" t="str">
        <v>largeElectrics</v>
      </c>
      <c r="CI48" s="52" t="str">
        <v>Nickel Metal Hydride Batteries</v>
      </c>
      <c r="CJ48" s="52">
        <v>0</v>
      </c>
      <c r="CK48" s="52" t="str">
        <v/>
      </c>
      <c r="CL48" s="52" t="str">
        <v>experimentalElectrics</v>
      </c>
      <c r="CM48" s="52" t="str">
        <v>Lithium Ion Batteries</v>
      </c>
      <c r="CN48" s="52">
        <v>0</v>
      </c>
      <c r="CO48" s="52" t="str">
        <v/>
      </c>
      <c r="CP48" s="52" t="str">
        <v>highTechElectricalSystems</v>
      </c>
      <c r="CQ48" s="52" t="str">
        <v>Lithium Polymer Batteries</v>
      </c>
      <c r="CR48" s="52">
        <v>0</v>
      </c>
      <c r="CS48" s="52" t="str">
        <v/>
      </c>
      <c r="CT48" s="52" t="str">
        <v>highPowerElectricalSystems</v>
      </c>
      <c r="CU48" s="52" t="str">
        <v>High Power Electrical Systems</v>
      </c>
      <c r="CV48" s="52">
        <v>0</v>
      </c>
      <c r="CW48" s="52" t="str">
        <v/>
      </c>
      <c r="CX48" s="52" t="str">
        <v>experimentalElectricalSystems</v>
      </c>
      <c r="CY48" s="52" t="str">
        <v>Experimental Electrical Systems</v>
      </c>
      <c r="CZ48" s="52">
        <v>0</v>
      </c>
      <c r="DA48" s="52" t="str">
        <v/>
      </c>
      <c r="DB48" s="52" t="str">
        <v>exoticElectricalSystems</v>
      </c>
      <c r="DC48" s="52" t="str">
        <v>Exotic Electrical Systems</v>
      </c>
      <c r="DD48" s="52">
        <v>0</v>
      </c>
      <c r="DE48" s="52" t="str">
        <v/>
      </c>
      <c r="DF48" s="52">
        <v>0</v>
      </c>
      <c r="DG48" s="52" t="str">
        <v/>
      </c>
      <c r="DH48" s="52">
        <v>0</v>
      </c>
      <c r="DI48" s="52" t="str">
        <v/>
      </c>
      <c r="DJ48" s="52">
        <v>0</v>
      </c>
      <c r="DK48" s="52" t="str">
        <v/>
      </c>
      <c r="DL48" s="52">
        <v>0</v>
      </c>
      <c r="DM48" s="52" t="str">
        <v/>
      </c>
    </row>
    <row r="49" spans="1:117" x14ac:dyDescent="0.25">
      <c r="A49" s="54">
        <v>-2149.9500000000021</v>
      </c>
      <c r="B49" s="52">
        <v>0</v>
      </c>
      <c r="C49" s="52" t="str">
        <v/>
      </c>
      <c r="D49" s="52">
        <v>0</v>
      </c>
      <c r="E49" s="52" t="str">
        <v/>
      </c>
      <c r="F49" s="52">
        <v>0</v>
      </c>
      <c r="G49" s="52" t="str">
        <v/>
      </c>
      <c r="H49" s="52">
        <v>0</v>
      </c>
      <c r="I49" s="52" t="str">
        <v/>
      </c>
      <c r="J49" s="52">
        <v>0</v>
      </c>
      <c r="K49" s="52" t="str">
        <v/>
      </c>
      <c r="L49" s="52">
        <v>0</v>
      </c>
      <c r="M49" s="52" t="str">
        <v/>
      </c>
      <c r="N49" s="52">
        <v>0</v>
      </c>
      <c r="O49" s="52" t="str">
        <v/>
      </c>
      <c r="P49" s="52">
        <v>0</v>
      </c>
      <c r="Q49" s="52" t="str">
        <v/>
      </c>
      <c r="R49" s="52">
        <v>0</v>
      </c>
      <c r="S49" s="52" t="str">
        <v/>
      </c>
      <c r="T49" s="52">
        <v>0</v>
      </c>
      <c r="U49" s="52" t="str">
        <v/>
      </c>
      <c r="V49" s="52">
        <v>0</v>
      </c>
      <c r="W49" s="52" t="str">
        <v/>
      </c>
      <c r="X49" s="52">
        <v>0</v>
      </c>
      <c r="Y49" s="52" t="str">
        <v/>
      </c>
      <c r="Z49" s="52">
        <v>0</v>
      </c>
      <c r="AA49" s="52" t="str">
        <v/>
      </c>
      <c r="AB49" s="52">
        <v>0</v>
      </c>
      <c r="AC49" s="52" t="str">
        <v/>
      </c>
      <c r="AD49" s="52">
        <v>0</v>
      </c>
      <c r="AE49" s="52" t="str">
        <v/>
      </c>
      <c r="AF49" s="52">
        <v>0</v>
      </c>
      <c r="AG49" s="52" t="str">
        <v/>
      </c>
      <c r="AH49" s="52">
        <v>0</v>
      </c>
      <c r="AI49" s="52" t="str">
        <v/>
      </c>
      <c r="AJ49" s="52">
        <v>0</v>
      </c>
      <c r="AK49" s="52" t="str">
        <v/>
      </c>
      <c r="AL49" s="52">
        <v>0</v>
      </c>
      <c r="AM49" s="52" t="str">
        <v/>
      </c>
      <c r="AN49" s="52">
        <v>0</v>
      </c>
      <c r="AO49" s="52" t="str">
        <v/>
      </c>
      <c r="AP49" s="52">
        <v>0</v>
      </c>
      <c r="AQ49" s="52" t="str">
        <v/>
      </c>
      <c r="AR49" s="52">
        <v>0</v>
      </c>
      <c r="AS49" s="52" t="str">
        <v/>
      </c>
      <c r="AT49" s="52">
        <v>0</v>
      </c>
      <c r="AU49" s="52" t="str">
        <v/>
      </c>
      <c r="AV49" s="52">
        <v>0</v>
      </c>
      <c r="AW49" s="52" t="str">
        <v/>
      </c>
      <c r="AX49" s="52">
        <v>0</v>
      </c>
      <c r="AY49" s="52" t="str">
        <v/>
      </c>
      <c r="AZ49" s="52">
        <v>0</v>
      </c>
      <c r="BA49" s="52" t="str">
        <v/>
      </c>
      <c r="BB49" s="52">
        <v>0</v>
      </c>
      <c r="BC49" s="52" t="str">
        <v/>
      </c>
      <c r="BD49" s="52">
        <v>0</v>
      </c>
      <c r="BE49" s="52" t="str">
        <v/>
      </c>
      <c r="BF49" s="52">
        <v>0</v>
      </c>
      <c r="BG49" s="52" t="str">
        <v/>
      </c>
      <c r="BH49" s="52">
        <v>0</v>
      </c>
      <c r="BI49" s="52" t="str">
        <v/>
      </c>
      <c r="BJ49" s="52">
        <v>0</v>
      </c>
      <c r="BK49" s="52" t="str">
        <v/>
      </c>
      <c r="BL49" s="52">
        <v>0</v>
      </c>
      <c r="BM49" s="52" t="str">
        <v/>
      </c>
      <c r="BN49" s="52">
        <v>0</v>
      </c>
      <c r="BO49" s="52" t="str">
        <v/>
      </c>
      <c r="BP49" s="52">
        <v>0</v>
      </c>
      <c r="BQ49" s="52" t="str">
        <v/>
      </c>
      <c r="BR49" s="52">
        <v>0</v>
      </c>
      <c r="BS49" s="52">
        <v>0</v>
      </c>
      <c r="BT49" s="52">
        <v>0</v>
      </c>
      <c r="BU49" s="52">
        <v>0</v>
      </c>
      <c r="BV49" s="52">
        <v>0</v>
      </c>
      <c r="BW49" s="52">
        <v>0</v>
      </c>
      <c r="BX49" s="52">
        <v>0</v>
      </c>
      <c r="BY49" s="52" t="str">
        <v/>
      </c>
      <c r="BZ49" s="52">
        <v>0</v>
      </c>
      <c r="CA49" s="52" t="str">
        <v/>
      </c>
      <c r="CB49" s="52">
        <v>0</v>
      </c>
      <c r="CC49" s="52" t="str">
        <v/>
      </c>
      <c r="CD49" s="52">
        <v>0</v>
      </c>
      <c r="CE49" s="52" t="str">
        <v/>
      </c>
      <c r="CF49" s="52">
        <v>0</v>
      </c>
      <c r="CG49" s="52" t="str">
        <v/>
      </c>
      <c r="CH49" s="52">
        <v>0</v>
      </c>
      <c r="CI49" s="52" t="str">
        <v/>
      </c>
      <c r="CJ49" s="52">
        <v>0</v>
      </c>
      <c r="CK49" s="52" t="str">
        <v/>
      </c>
      <c r="CL49" s="52">
        <v>0</v>
      </c>
      <c r="CM49" s="52" t="str">
        <v/>
      </c>
      <c r="CN49" s="52">
        <v>0</v>
      </c>
      <c r="CO49" s="52" t="str">
        <v/>
      </c>
      <c r="CP49" s="52">
        <v>0</v>
      </c>
      <c r="CQ49" s="52" t="str">
        <v/>
      </c>
      <c r="CR49" s="52">
        <v>0</v>
      </c>
      <c r="CS49" s="52" t="str">
        <v/>
      </c>
      <c r="CT49" s="52">
        <v>0</v>
      </c>
      <c r="CU49" s="52" t="str">
        <v/>
      </c>
      <c r="CV49" s="52">
        <v>0</v>
      </c>
      <c r="CW49" s="52" t="str">
        <v/>
      </c>
      <c r="CX49" s="52">
        <v>0</v>
      </c>
      <c r="CY49" s="52" t="str">
        <v/>
      </c>
      <c r="CZ49" s="52">
        <v>0</v>
      </c>
      <c r="DA49" s="52" t="str">
        <v/>
      </c>
      <c r="DB49" s="52">
        <v>0</v>
      </c>
      <c r="DC49" s="52" t="str">
        <v/>
      </c>
      <c r="DD49" s="52">
        <v>0</v>
      </c>
      <c r="DE49" s="52" t="str">
        <v/>
      </c>
      <c r="DF49" s="52">
        <v>0</v>
      </c>
      <c r="DG49" s="52" t="str">
        <v/>
      </c>
      <c r="DH49" s="52">
        <v>0</v>
      </c>
      <c r="DI49" s="52" t="str">
        <v/>
      </c>
      <c r="DJ49" s="52">
        <v>0</v>
      </c>
      <c r="DK49" s="52" t="str">
        <v/>
      </c>
      <c r="DL49" s="52">
        <v>0</v>
      </c>
      <c r="DM49" s="52" t="str">
        <v/>
      </c>
    </row>
    <row r="50" spans="1:117" x14ac:dyDescent="0.25">
      <c r="A50" s="54">
        <v>-2110.800000000002</v>
      </c>
      <c r="B50" s="52" t="str">
        <v>specializedFlightSystems</v>
      </c>
      <c r="C50" s="52" t="str">
        <v>Specialized Flight Systems</v>
      </c>
      <c r="D50" s="52">
        <v>0</v>
      </c>
      <c r="E50" s="52" t="str">
        <v/>
      </c>
      <c r="F50" s="52" t="str">
        <v>experimentalFlightControls</v>
      </c>
      <c r="G50" s="52" t="str">
        <v>Experimental Flight Controls</v>
      </c>
      <c r="H50" s="52">
        <v>0</v>
      </c>
      <c r="I50" s="52" t="str">
        <v/>
      </c>
      <c r="J50" s="52" t="str">
        <v>advAerodynamics</v>
      </c>
      <c r="K50" s="52" t="str">
        <v>Advanced Control Surfaces</v>
      </c>
      <c r="L50" s="52">
        <v>0</v>
      </c>
      <c r="M50" s="52" t="str">
        <v/>
      </c>
      <c r="N50" s="52" t="str">
        <v>advFlightControl</v>
      </c>
      <c r="O50" s="52" t="str">
        <v>Advanced Flight Control</v>
      </c>
      <c r="P50" s="52">
        <v>0</v>
      </c>
      <c r="Q50" s="52" t="str">
        <v/>
      </c>
      <c r="R50" s="52" t="str">
        <v>flightControl</v>
      </c>
      <c r="S50" s="52" t="str">
        <v>Flight Mechanics</v>
      </c>
      <c r="T50" s="52">
        <v>0</v>
      </c>
      <c r="U50" s="52" t="str">
        <v/>
      </c>
      <c r="V50" s="52" t="str">
        <v>specializedControl</v>
      </c>
      <c r="W50" s="52" t="str">
        <v>Specialized Control</v>
      </c>
      <c r="X50" s="52">
        <v>0</v>
      </c>
      <c r="Y50" s="52" t="str">
        <v/>
      </c>
      <c r="Z50" s="52" t="str">
        <v>advStability</v>
      </c>
      <c r="AA50" s="52" t="str">
        <v>Advanced Stability</v>
      </c>
      <c r="AB50" s="52">
        <v>0</v>
      </c>
      <c r="AC50" s="52" t="str">
        <v/>
      </c>
      <c r="AD50" s="52" t="str">
        <v>stability</v>
      </c>
      <c r="AE50" s="52" t="str">
        <v>Stability &amp; Control</v>
      </c>
      <c r="AF50" s="52">
        <v>0</v>
      </c>
      <c r="AG50" s="52" t="str">
        <v/>
      </c>
      <c r="AH50" s="52" t="str">
        <v>bouyancy</v>
      </c>
      <c r="AI50" s="52" t="str">
        <v>Marine Engineering</v>
      </c>
      <c r="AJ50" s="52">
        <v>0</v>
      </c>
      <c r="AK50" s="52" t="str">
        <v/>
      </c>
      <c r="AL50" s="52">
        <v>0</v>
      </c>
      <c r="AM50" s="52" t="str">
        <v/>
      </c>
      <c r="AN50" s="52">
        <v>0</v>
      </c>
      <c r="AO50" s="52" t="str">
        <v/>
      </c>
      <c r="AP50" s="52">
        <v>0</v>
      </c>
      <c r="AQ50" s="52" t="str">
        <v/>
      </c>
      <c r="AR50" s="52">
        <v>0</v>
      </c>
      <c r="AS50" s="52" t="str">
        <v/>
      </c>
      <c r="AT50" s="52" t="str">
        <v>expAblativeMaterials</v>
      </c>
      <c r="AU50" s="52" t="str">
        <v>Experimental Ablative Materials</v>
      </c>
      <c r="AV50" s="52">
        <v>0</v>
      </c>
      <c r="AW50" s="52" t="str">
        <v/>
      </c>
      <c r="AX50" s="52" t="str">
        <v>advAblativeMaterials</v>
      </c>
      <c r="AY50" s="52" t="str">
        <v>Advanced Ablative Materials</v>
      </c>
      <c r="AZ50" s="52">
        <v>0</v>
      </c>
      <c r="BA50" s="52" t="str">
        <v/>
      </c>
      <c r="BB50" s="52" t="str">
        <v>ablativeMaterials</v>
      </c>
      <c r="BC50" s="52" t="str">
        <v>Ablative Materials</v>
      </c>
      <c r="BD50" s="52">
        <v>0</v>
      </c>
      <c r="BE50" s="52" t="str">
        <v/>
      </c>
      <c r="BF50" s="52" t="str">
        <v>thermodynamics</v>
      </c>
      <c r="BG50" s="52" t="str">
        <v xml:space="preserve">Thermodynamics </v>
      </c>
      <c r="BH50" s="52">
        <v>0</v>
      </c>
      <c r="BI50" s="52" t="str">
        <v/>
      </c>
      <c r="BJ50" s="52">
        <v>0</v>
      </c>
      <c r="BK50" s="52" t="str">
        <v/>
      </c>
      <c r="BL50" s="52">
        <v>0</v>
      </c>
      <c r="BM50" s="52" t="str">
        <v/>
      </c>
      <c r="BN50" s="52" t="str">
        <v>start</v>
      </c>
      <c r="BO50" s="52" t="str">
        <v>Chemical Engineering</v>
      </c>
      <c r="BP50" s="52">
        <v>0</v>
      </c>
      <c r="BQ50" s="52" t="str">
        <v/>
      </c>
      <c r="BR50" s="52" t="str">
        <v>electrics</v>
      </c>
      <c r="BS50" s="52" t="str">
        <v>Electrical Engineering</v>
      </c>
      <c r="BT50" s="52">
        <v>0</v>
      </c>
      <c r="BU50" s="52">
        <v>0</v>
      </c>
      <c r="BV50" s="52">
        <v>0</v>
      </c>
      <c r="BW50" s="52">
        <v>0</v>
      </c>
      <c r="BX50" s="52">
        <v>0</v>
      </c>
      <c r="BY50" s="52" t="str">
        <v/>
      </c>
      <c r="BZ50" s="52">
        <v>0</v>
      </c>
      <c r="CA50" s="52" t="str">
        <v/>
      </c>
      <c r="CB50" s="52">
        <v>0</v>
      </c>
      <c r="CC50" s="52" t="str">
        <v/>
      </c>
      <c r="CD50" s="52" t="str">
        <v>rovers</v>
      </c>
      <c r="CE50" s="52" t="str">
        <v>Electric Motors</v>
      </c>
      <c r="CF50" s="52">
        <v>0</v>
      </c>
      <c r="CG50" s="52" t="str">
        <v/>
      </c>
      <c r="CH50" s="52">
        <v>0</v>
      </c>
      <c r="CI50" s="52" t="str">
        <v/>
      </c>
      <c r="CJ50" s="52">
        <v>0</v>
      </c>
      <c r="CK50" s="52" t="str">
        <v/>
      </c>
      <c r="CL50" s="52" t="str">
        <v>electricPropulsion</v>
      </c>
      <c r="CM50" s="52" t="str">
        <v>Electric Propulsion</v>
      </c>
      <c r="CN50" s="52">
        <v>0</v>
      </c>
      <c r="CO50" s="52" t="str">
        <v/>
      </c>
      <c r="CP50" s="52" t="str">
        <v>ionPropulsion</v>
      </c>
      <c r="CQ50" s="52" t="str">
        <v>Ion Propulsion</v>
      </c>
      <c r="CR50" s="52">
        <v>0</v>
      </c>
      <c r="CS50" s="52" t="str">
        <v/>
      </c>
      <c r="CT50" s="52" t="str">
        <v>advIonPropulsion</v>
      </c>
      <c r="CU50" s="52" t="str">
        <v>Advanced Ion Propulsion</v>
      </c>
      <c r="CV50" s="52">
        <v>0</v>
      </c>
      <c r="CW50" s="52" t="str">
        <v/>
      </c>
      <c r="CX50" s="52" t="str">
        <v>advGriddedThrusters</v>
      </c>
      <c r="CY50" s="52" t="str">
        <v>Advanced Electrostatic Thrusters</v>
      </c>
      <c r="CZ50" s="52">
        <v>0</v>
      </c>
      <c r="DA50" s="52" t="str">
        <v/>
      </c>
      <c r="DB50" s="52" t="str">
        <v>expGriddedThrusters</v>
      </c>
      <c r="DC50" s="52" t="str">
        <v>Experimental Electrostatic Thrusters</v>
      </c>
      <c r="DD50" s="52">
        <v>0</v>
      </c>
      <c r="DE50" s="52" t="str">
        <v/>
      </c>
      <c r="DF50" s="52">
        <v>0</v>
      </c>
      <c r="DG50" s="52" t="str">
        <v/>
      </c>
      <c r="DH50" s="52">
        <v>0</v>
      </c>
      <c r="DI50" s="52" t="str">
        <v/>
      </c>
      <c r="DJ50" s="52">
        <v>0</v>
      </c>
      <c r="DK50" s="52" t="str">
        <v/>
      </c>
      <c r="DL50" s="52">
        <v>0</v>
      </c>
      <c r="DM50" s="52" t="str">
        <v/>
      </c>
    </row>
    <row r="51" spans="1:117" x14ac:dyDescent="0.25">
      <c r="A51" s="54">
        <v>-2071.6500000000019</v>
      </c>
      <c r="B51" s="52">
        <v>0</v>
      </c>
      <c r="C51" s="52" t="str">
        <v/>
      </c>
      <c r="D51" s="52">
        <v>0</v>
      </c>
      <c r="E51" s="52" t="str">
        <v/>
      </c>
      <c r="F51" s="52">
        <v>0</v>
      </c>
      <c r="G51" s="52" t="str">
        <v/>
      </c>
      <c r="H51" s="52">
        <v>0</v>
      </c>
      <c r="I51" s="52" t="str">
        <v/>
      </c>
      <c r="J51" s="52">
        <v>0</v>
      </c>
      <c r="K51" s="52" t="str">
        <v/>
      </c>
      <c r="L51" s="52">
        <v>0</v>
      </c>
      <c r="M51" s="52" t="str">
        <v/>
      </c>
      <c r="N51" s="52">
        <v>0</v>
      </c>
      <c r="O51" s="52" t="str">
        <v/>
      </c>
      <c r="P51" s="52">
        <v>0</v>
      </c>
      <c r="Q51" s="52" t="str">
        <v/>
      </c>
      <c r="R51" s="52">
        <v>0</v>
      </c>
      <c r="S51" s="52" t="str">
        <v/>
      </c>
      <c r="T51" s="52">
        <v>0</v>
      </c>
      <c r="U51" s="52" t="str">
        <v/>
      </c>
      <c r="V51" s="52">
        <v>0</v>
      </c>
      <c r="W51" s="52" t="str">
        <v/>
      </c>
      <c r="X51" s="52">
        <v>0</v>
      </c>
      <c r="Y51" s="52" t="str">
        <v/>
      </c>
      <c r="Z51" s="52">
        <v>0</v>
      </c>
      <c r="AA51" s="52" t="str">
        <v/>
      </c>
      <c r="AB51" s="52">
        <v>0</v>
      </c>
      <c r="AC51" s="52" t="str">
        <v/>
      </c>
      <c r="AD51" s="52">
        <v>0</v>
      </c>
      <c r="AE51" s="52" t="str">
        <v/>
      </c>
      <c r="AF51" s="52">
        <v>0</v>
      </c>
      <c r="AG51" s="52" t="str">
        <v/>
      </c>
      <c r="AH51" s="52">
        <v>0</v>
      </c>
      <c r="AI51" s="52" t="str">
        <v/>
      </c>
      <c r="AJ51" s="52">
        <v>0</v>
      </c>
      <c r="AK51" s="52" t="str">
        <v/>
      </c>
      <c r="AL51" s="52">
        <v>0</v>
      </c>
      <c r="AM51" s="52" t="str">
        <v/>
      </c>
      <c r="AN51" s="52">
        <v>0</v>
      </c>
      <c r="AO51" s="52" t="str">
        <v/>
      </c>
      <c r="AP51" s="52">
        <v>0</v>
      </c>
      <c r="AQ51" s="52" t="str">
        <v/>
      </c>
      <c r="AR51" s="52">
        <v>0</v>
      </c>
      <c r="AS51" s="52" t="str">
        <v/>
      </c>
      <c r="AT51" s="52">
        <v>0</v>
      </c>
      <c r="AU51" s="52" t="str">
        <v/>
      </c>
      <c r="AV51" s="52">
        <v>0</v>
      </c>
      <c r="AW51" s="52" t="str">
        <v/>
      </c>
      <c r="AX51" s="52">
        <v>0</v>
      </c>
      <c r="AY51" s="52" t="str">
        <v/>
      </c>
      <c r="AZ51" s="52">
        <v>0</v>
      </c>
      <c r="BA51" s="52" t="str">
        <v/>
      </c>
      <c r="BB51" s="52">
        <v>0</v>
      </c>
      <c r="BC51" s="52" t="str">
        <v/>
      </c>
      <c r="BD51" s="52">
        <v>0</v>
      </c>
      <c r="BE51" s="52" t="str">
        <v/>
      </c>
      <c r="BF51" s="52">
        <v>0</v>
      </c>
      <c r="BG51" s="52" t="str">
        <v/>
      </c>
      <c r="BH51" s="52">
        <v>0</v>
      </c>
      <c r="BI51" s="52" t="str">
        <v/>
      </c>
      <c r="BJ51" s="52">
        <v>0</v>
      </c>
      <c r="BK51" s="52" t="str">
        <v/>
      </c>
      <c r="BL51" s="52">
        <v>0</v>
      </c>
      <c r="BM51" s="52" t="str">
        <v/>
      </c>
      <c r="BN51" s="52">
        <v>0</v>
      </c>
      <c r="BO51" s="52" t="str">
        <v/>
      </c>
      <c r="BP51" s="52">
        <v>0</v>
      </c>
      <c r="BQ51" s="52" t="str">
        <v/>
      </c>
      <c r="BR51" s="52">
        <v>0</v>
      </c>
      <c r="BS51" s="52" t="str">
        <v/>
      </c>
      <c r="BT51" s="52">
        <v>0</v>
      </c>
      <c r="BU51" s="52">
        <v>0</v>
      </c>
      <c r="BV51" s="52">
        <v>0</v>
      </c>
      <c r="BW51" s="52">
        <v>0</v>
      </c>
      <c r="BX51" s="52">
        <v>0</v>
      </c>
      <c r="BY51" s="52" t="str">
        <v/>
      </c>
      <c r="BZ51" s="52">
        <v>0</v>
      </c>
      <c r="CA51" s="52" t="str">
        <v/>
      </c>
      <c r="CB51" s="52">
        <v>0</v>
      </c>
      <c r="CC51" s="52" t="str">
        <v/>
      </c>
      <c r="CD51" s="52">
        <v>0</v>
      </c>
      <c r="CE51" s="52" t="str">
        <v/>
      </c>
      <c r="CF51" s="52">
        <v>0</v>
      </c>
      <c r="CG51" s="52" t="str">
        <v/>
      </c>
      <c r="CH51" s="52">
        <v>0</v>
      </c>
      <c r="CI51" s="52" t="str">
        <v/>
      </c>
      <c r="CJ51" s="52">
        <v>0</v>
      </c>
      <c r="CK51" s="52" t="str">
        <v/>
      </c>
      <c r="CL51" s="52">
        <v>0</v>
      </c>
      <c r="CM51" s="52" t="str">
        <v/>
      </c>
      <c r="CN51" s="52">
        <v>0</v>
      </c>
      <c r="CO51" s="52" t="str">
        <v/>
      </c>
      <c r="CP51" s="52">
        <v>0</v>
      </c>
      <c r="CQ51" s="52" t="str">
        <v/>
      </c>
      <c r="CR51" s="52">
        <v>0</v>
      </c>
      <c r="CS51" s="52" t="str">
        <v/>
      </c>
      <c r="CT51" s="52">
        <v>0</v>
      </c>
      <c r="CU51" s="52" t="str">
        <v/>
      </c>
      <c r="CV51" s="52">
        <v>0</v>
      </c>
      <c r="CW51" s="52" t="str">
        <v/>
      </c>
      <c r="CX51" s="52">
        <v>0</v>
      </c>
      <c r="CY51" s="52" t="str">
        <v/>
      </c>
      <c r="CZ51" s="52">
        <v>0</v>
      </c>
      <c r="DA51" s="52" t="str">
        <v/>
      </c>
      <c r="DB51" s="52">
        <v>0</v>
      </c>
      <c r="DC51" s="52" t="str">
        <v/>
      </c>
      <c r="DD51" s="52">
        <v>0</v>
      </c>
      <c r="DE51" s="52" t="str">
        <v/>
      </c>
      <c r="DF51" s="52">
        <v>0</v>
      </c>
      <c r="DG51" s="52" t="str">
        <v/>
      </c>
      <c r="DH51" s="52">
        <v>0</v>
      </c>
      <c r="DI51" s="52" t="str">
        <v/>
      </c>
      <c r="DJ51" s="52">
        <v>0</v>
      </c>
      <c r="DK51" s="52" t="str">
        <v/>
      </c>
      <c r="DL51" s="52">
        <v>0</v>
      </c>
      <c r="DM51" s="52" t="str">
        <v/>
      </c>
    </row>
    <row r="52" spans="1:117" x14ac:dyDescent="0.25">
      <c r="A52" s="54">
        <v>-2032.5000000000018</v>
      </c>
      <c r="B52" s="52">
        <v>0</v>
      </c>
      <c r="C52" s="52" t="str">
        <v/>
      </c>
      <c r="D52" s="52">
        <v>0</v>
      </c>
      <c r="E52" s="52" t="str">
        <v/>
      </c>
      <c r="F52" s="52" t="str">
        <v>advAerospaceEngineering</v>
      </c>
      <c r="G52" s="52" t="str">
        <v>Advanced Aerospace Engineering</v>
      </c>
      <c r="H52" s="52">
        <v>0</v>
      </c>
      <c r="I52" s="52" t="str">
        <v/>
      </c>
      <c r="J52" s="52" t="str">
        <v>experimentalAerodynamics</v>
      </c>
      <c r="K52" s="52" t="str">
        <v>Experimental Aerodynamics</v>
      </c>
      <c r="L52" s="52">
        <v>0</v>
      </c>
      <c r="M52" s="52" t="str">
        <v/>
      </c>
      <c r="N52" s="52" t="str">
        <v>hypersonicFlight</v>
      </c>
      <c r="O52" s="52" t="str">
        <v>Hypersonic Aerodynamics</v>
      </c>
      <c r="P52" s="52">
        <v>0</v>
      </c>
      <c r="Q52" s="52" t="str">
        <v/>
      </c>
      <c r="R52" s="52" t="str">
        <v>supersonicFlight</v>
      </c>
      <c r="S52" s="52" t="str">
        <v>Supersonic Aerodynamics</v>
      </c>
      <c r="T52" s="52">
        <v>0</v>
      </c>
      <c r="U52" s="52" t="str">
        <v/>
      </c>
      <c r="V52" s="52" t="str">
        <v>subsonicFlight</v>
      </c>
      <c r="W52" s="52" t="str">
        <v>Subsonic Aerodynamics</v>
      </c>
      <c r="X52" s="52">
        <v>0</v>
      </c>
      <c r="Y52" s="52" t="str">
        <v/>
      </c>
      <c r="Z52" s="52" t="str">
        <v>aerodynamicSystems</v>
      </c>
      <c r="AA52" s="52" t="str">
        <v>Aerodynamics</v>
      </c>
      <c r="AB52" s="52">
        <v>0</v>
      </c>
      <c r="AC52" s="52" t="str">
        <v/>
      </c>
      <c r="AD52" s="52">
        <v>0</v>
      </c>
      <c r="AE52" s="52" t="str">
        <v/>
      </c>
      <c r="AF52" s="52">
        <v>0</v>
      </c>
      <c r="AG52" s="52" t="str">
        <v/>
      </c>
      <c r="AH52" s="52">
        <v>0</v>
      </c>
      <c r="AI52" s="52" t="str">
        <v/>
      </c>
      <c r="AJ52" s="52">
        <v>0</v>
      </c>
      <c r="AK52" s="52" t="str">
        <v/>
      </c>
      <c r="AL52" s="52">
        <v>0</v>
      </c>
      <c r="AM52" s="52" t="str">
        <v/>
      </c>
      <c r="AN52" s="52">
        <v>0</v>
      </c>
      <c r="AO52" s="52" t="str">
        <v/>
      </c>
      <c r="AP52" s="52">
        <v>0</v>
      </c>
      <c r="AQ52" s="52" t="str">
        <v/>
      </c>
      <c r="AR52" s="52">
        <v>0</v>
      </c>
      <c r="AS52" s="52" t="str">
        <v/>
      </c>
      <c r="AT52" s="52">
        <v>0</v>
      </c>
      <c r="AU52" s="52" t="str">
        <v/>
      </c>
      <c r="AV52" s="52">
        <v>0</v>
      </c>
      <c r="AW52" s="52" t="str">
        <v/>
      </c>
      <c r="AX52" s="52">
        <v>0</v>
      </c>
      <c r="AY52" s="52" t="str">
        <v/>
      </c>
      <c r="AZ52" s="52">
        <v>0</v>
      </c>
      <c r="BA52" s="52" t="str">
        <v/>
      </c>
      <c r="BB52" s="52">
        <v>0</v>
      </c>
      <c r="BC52" s="52" t="str">
        <v/>
      </c>
      <c r="BD52" s="52">
        <v>0</v>
      </c>
      <c r="BE52" s="52" t="str">
        <v/>
      </c>
      <c r="BF52" s="52">
        <v>0</v>
      </c>
      <c r="BG52" s="52" t="str">
        <v/>
      </c>
      <c r="BH52" s="52">
        <v>0</v>
      </c>
      <c r="BI52" s="52" t="str">
        <v/>
      </c>
      <c r="BJ52" s="52">
        <v>0</v>
      </c>
      <c r="BK52" s="52" t="str">
        <v/>
      </c>
      <c r="BL52" s="52">
        <v>0</v>
      </c>
      <c r="BM52" s="52" t="str">
        <v/>
      </c>
      <c r="BN52" s="52" t="str">
        <v>engineering101</v>
      </c>
      <c r="BO52" s="52" t="str">
        <v>Mechanical Engineering</v>
      </c>
      <c r="BP52" s="52">
        <v>0</v>
      </c>
      <c r="BQ52" s="52" t="str">
        <v/>
      </c>
      <c r="BR52" s="52" t="str">
        <v>basicScience</v>
      </c>
      <c r="BS52" s="52" t="str">
        <v>Physical Sciences</v>
      </c>
      <c r="BT52" s="52">
        <v>0</v>
      </c>
      <c r="BU52" s="52">
        <v>0</v>
      </c>
      <c r="BV52" s="52">
        <v>0</v>
      </c>
      <c r="BW52" s="52">
        <v>0</v>
      </c>
      <c r="BX52" s="52">
        <v>0</v>
      </c>
      <c r="BY52" s="52" t="str">
        <v/>
      </c>
      <c r="BZ52" s="52">
        <v>0</v>
      </c>
      <c r="CA52" s="52" t="str">
        <v/>
      </c>
      <c r="CB52" s="52">
        <v>0</v>
      </c>
      <c r="CC52" s="52" t="str">
        <v/>
      </c>
      <c r="CD52" s="52" t="str">
        <v>advancedMotors</v>
      </c>
      <c r="CE52" s="52" t="str">
        <v>Advanced Electric Motors</v>
      </c>
      <c r="CF52" s="52">
        <v>0</v>
      </c>
      <c r="CG52" s="52" t="str">
        <v/>
      </c>
      <c r="CH52" s="52">
        <v>0</v>
      </c>
      <c r="CI52" s="52" t="str">
        <v/>
      </c>
      <c r="CJ52" s="52">
        <v>0</v>
      </c>
      <c r="CK52" s="52" t="str">
        <v/>
      </c>
      <c r="CL52" s="52">
        <v>0</v>
      </c>
      <c r="CM52" s="52" t="str">
        <v/>
      </c>
      <c r="CN52" s="52">
        <v>0</v>
      </c>
      <c r="CO52" s="52" t="str">
        <v/>
      </c>
      <c r="CP52" s="52">
        <v>0</v>
      </c>
      <c r="CQ52" s="52" t="str">
        <v/>
      </c>
      <c r="CR52" s="52">
        <v>0</v>
      </c>
      <c r="CS52" s="52" t="str">
        <v/>
      </c>
      <c r="CT52" s="52" t="str">
        <v>plasmaPropulsion</v>
      </c>
      <c r="CU52" s="52" t="str">
        <v>Plasma Propulsion</v>
      </c>
      <c r="CV52" s="52">
        <v>0</v>
      </c>
      <c r="CW52" s="52" t="str">
        <v/>
      </c>
      <c r="CX52" s="52" t="str">
        <v>advEMSystems</v>
      </c>
      <c r="CY52" s="52" t="str">
        <v>Advanced Plasma Propulsion</v>
      </c>
      <c r="CZ52" s="52">
        <v>0</v>
      </c>
      <c r="DA52" s="52" t="str">
        <v/>
      </c>
      <c r="DB52" s="52" t="str">
        <v>specializedPlasmaGeneration</v>
      </c>
      <c r="DC52" s="52" t="str">
        <v>Specialized Plasma Propulsion</v>
      </c>
      <c r="DD52" s="52">
        <v>0</v>
      </c>
      <c r="DE52" s="52" t="str">
        <v/>
      </c>
      <c r="DF52" s="52" t="str">
        <v>exoticPlasmaPropulsion</v>
      </c>
      <c r="DG52" s="52" t="str">
        <v>Exotic Plasma Propulsion</v>
      </c>
      <c r="DH52" s="52">
        <v>0</v>
      </c>
      <c r="DI52" s="52" t="str">
        <v/>
      </c>
      <c r="DJ52" s="52">
        <v>0</v>
      </c>
      <c r="DK52" s="52" t="str">
        <v/>
      </c>
      <c r="DL52" s="52">
        <v>0</v>
      </c>
      <c r="DM52" s="52" t="str">
        <v/>
      </c>
    </row>
    <row r="53" spans="1:117" x14ac:dyDescent="0.25">
      <c r="A53" s="54">
        <v>-1993.3500000000017</v>
      </c>
      <c r="B53" s="52">
        <v>0</v>
      </c>
      <c r="C53" s="52" t="str">
        <v/>
      </c>
      <c r="D53" s="52">
        <v>0</v>
      </c>
      <c r="E53" s="52" t="str">
        <v/>
      </c>
      <c r="F53" s="52">
        <v>0</v>
      </c>
      <c r="G53" s="52" t="str">
        <v/>
      </c>
      <c r="H53" s="52">
        <v>0</v>
      </c>
      <c r="I53" s="52" t="str">
        <v/>
      </c>
      <c r="J53" s="52">
        <v>0</v>
      </c>
      <c r="K53" s="52" t="str">
        <v/>
      </c>
      <c r="L53" s="52">
        <v>0</v>
      </c>
      <c r="M53" s="52" t="str">
        <v/>
      </c>
      <c r="N53" s="52">
        <v>0</v>
      </c>
      <c r="O53" s="52" t="str">
        <v/>
      </c>
      <c r="P53" s="52">
        <v>0</v>
      </c>
      <c r="Q53" s="52" t="str">
        <v/>
      </c>
      <c r="R53" s="52">
        <v>0</v>
      </c>
      <c r="S53" s="52" t="str">
        <v/>
      </c>
      <c r="T53" s="52">
        <v>0</v>
      </c>
      <c r="U53" s="52" t="str">
        <v/>
      </c>
      <c r="V53" s="52">
        <v>0</v>
      </c>
      <c r="W53" s="52" t="str">
        <v/>
      </c>
      <c r="X53" s="52">
        <v>0</v>
      </c>
      <c r="Y53" s="52" t="str">
        <v/>
      </c>
      <c r="Z53" s="52">
        <v>0</v>
      </c>
      <c r="AA53" s="52" t="str">
        <v/>
      </c>
      <c r="AB53" s="52">
        <v>0</v>
      </c>
      <c r="AC53" s="52" t="str">
        <v/>
      </c>
      <c r="AD53" s="52">
        <v>0</v>
      </c>
      <c r="AE53" s="52" t="str">
        <v/>
      </c>
      <c r="AF53" s="52">
        <v>0</v>
      </c>
      <c r="AG53" s="52" t="str">
        <v/>
      </c>
      <c r="AH53" s="52">
        <v>0</v>
      </c>
      <c r="AI53" s="52" t="str">
        <v/>
      </c>
      <c r="AJ53" s="52">
        <v>0</v>
      </c>
      <c r="AK53" s="52" t="str">
        <v/>
      </c>
      <c r="AL53" s="52">
        <v>0</v>
      </c>
      <c r="AM53" s="52" t="str">
        <v/>
      </c>
      <c r="AN53" s="52">
        <v>0</v>
      </c>
      <c r="AO53" s="52" t="str">
        <v/>
      </c>
      <c r="AP53" s="52">
        <v>0</v>
      </c>
      <c r="AQ53" s="52" t="str">
        <v/>
      </c>
      <c r="AR53" s="52">
        <v>0</v>
      </c>
      <c r="AS53" s="52" t="str">
        <v/>
      </c>
      <c r="AT53" s="52">
        <v>0</v>
      </c>
      <c r="AU53" s="52" t="str">
        <v/>
      </c>
      <c r="AV53" s="52">
        <v>0</v>
      </c>
      <c r="AW53" s="52" t="str">
        <v/>
      </c>
      <c r="AX53" s="52">
        <v>0</v>
      </c>
      <c r="AY53" s="52" t="str">
        <v/>
      </c>
      <c r="AZ53" s="52">
        <v>0</v>
      </c>
      <c r="BA53" s="52" t="str">
        <v/>
      </c>
      <c r="BB53" s="52">
        <v>0</v>
      </c>
      <c r="BC53" s="52" t="str">
        <v/>
      </c>
      <c r="BD53" s="52">
        <v>0</v>
      </c>
      <c r="BE53" s="52" t="str">
        <v/>
      </c>
      <c r="BF53" s="52">
        <v>0</v>
      </c>
      <c r="BG53" s="52" t="str">
        <v/>
      </c>
      <c r="BH53" s="52">
        <v>0</v>
      </c>
      <c r="BI53" s="52" t="str">
        <v/>
      </c>
      <c r="BJ53" s="52">
        <v>0</v>
      </c>
      <c r="BK53" s="52" t="str">
        <v/>
      </c>
      <c r="BL53" s="52">
        <v>0</v>
      </c>
      <c r="BM53" s="52" t="str">
        <v/>
      </c>
      <c r="BN53" s="52">
        <v>0</v>
      </c>
      <c r="BO53" s="52" t="str">
        <v/>
      </c>
      <c r="BP53" s="52">
        <v>0</v>
      </c>
      <c r="BQ53" s="52" t="str">
        <v/>
      </c>
      <c r="BR53" s="52">
        <v>0</v>
      </c>
      <c r="BS53" s="52">
        <v>0</v>
      </c>
      <c r="BT53" s="52">
        <v>0</v>
      </c>
      <c r="BU53" s="52">
        <v>0</v>
      </c>
      <c r="BV53" s="52">
        <v>0</v>
      </c>
      <c r="BW53" s="52">
        <v>0</v>
      </c>
      <c r="BX53" s="52">
        <v>0</v>
      </c>
      <c r="BY53" s="52" t="str">
        <v/>
      </c>
      <c r="BZ53" s="52">
        <v>0</v>
      </c>
      <c r="CA53" s="52" t="str">
        <v/>
      </c>
      <c r="CB53" s="52">
        <v>0</v>
      </c>
      <c r="CC53" s="52" t="str">
        <v/>
      </c>
      <c r="CD53" s="52">
        <v>0</v>
      </c>
      <c r="CE53" s="52" t="str">
        <v/>
      </c>
      <c r="CF53" s="52">
        <v>0</v>
      </c>
      <c r="CG53" s="52" t="str">
        <v/>
      </c>
      <c r="CH53" s="52">
        <v>0</v>
      </c>
      <c r="CI53" s="52" t="str">
        <v/>
      </c>
      <c r="CJ53" s="52">
        <v>0</v>
      </c>
      <c r="CK53" s="52" t="str">
        <v/>
      </c>
      <c r="CL53" s="52">
        <v>0</v>
      </c>
      <c r="CM53" s="52" t="str">
        <v/>
      </c>
      <c r="CN53" s="52">
        <v>0</v>
      </c>
      <c r="CO53" s="52" t="str">
        <v/>
      </c>
      <c r="CP53" s="52">
        <v>0</v>
      </c>
      <c r="CQ53" s="52" t="str">
        <v/>
      </c>
      <c r="CR53" s="52">
        <v>0</v>
      </c>
      <c r="CS53" s="52" t="str">
        <v/>
      </c>
      <c r="CT53" s="52">
        <v>0</v>
      </c>
      <c r="CU53" s="52" t="str">
        <v/>
      </c>
      <c r="CV53" s="52">
        <v>0</v>
      </c>
      <c r="CW53" s="52" t="str">
        <v/>
      </c>
      <c r="CX53" s="52">
        <v>0</v>
      </c>
      <c r="CY53" s="52" t="str">
        <v/>
      </c>
      <c r="CZ53" s="52">
        <v>0</v>
      </c>
      <c r="DA53" s="52" t="str">
        <v/>
      </c>
      <c r="DB53" s="52">
        <v>0</v>
      </c>
      <c r="DC53" s="52" t="str">
        <v/>
      </c>
      <c r="DD53" s="52">
        <v>0</v>
      </c>
      <c r="DE53" s="52" t="str">
        <v/>
      </c>
      <c r="DF53" s="52">
        <v>0</v>
      </c>
      <c r="DG53" s="52" t="str">
        <v/>
      </c>
      <c r="DH53" s="52">
        <v>0</v>
      </c>
      <c r="DI53" s="52" t="str">
        <v/>
      </c>
      <c r="DJ53" s="52">
        <v>0</v>
      </c>
      <c r="DK53" s="52" t="str">
        <v/>
      </c>
      <c r="DL53" s="52">
        <v>0</v>
      </c>
      <c r="DM53" s="52" t="str">
        <v/>
      </c>
    </row>
    <row r="54" spans="1:117" x14ac:dyDescent="0.25">
      <c r="A54" s="54">
        <v>-1954.2000000000016</v>
      </c>
      <c r="B54" s="52">
        <v>0</v>
      </c>
      <c r="C54" s="52" t="str">
        <v/>
      </c>
      <c r="D54" s="52">
        <v>0</v>
      </c>
      <c r="E54" s="52" t="str">
        <v/>
      </c>
      <c r="F54" s="52">
        <v>0</v>
      </c>
      <c r="G54" s="52" t="str">
        <v/>
      </c>
      <c r="H54" s="52">
        <v>0</v>
      </c>
      <c r="I54" s="52" t="str">
        <v/>
      </c>
      <c r="J54" s="52" t="str">
        <v>veryLargeFairings</v>
      </c>
      <c r="K54" s="52" t="str">
        <v>Extra-Large Fairings</v>
      </c>
      <c r="L54" s="52">
        <v>0</v>
      </c>
      <c r="M54" s="52" t="str">
        <v/>
      </c>
      <c r="N54" s="52" t="str">
        <v>largeFairings</v>
      </c>
      <c r="O54" s="52" t="str">
        <v>Large Fairings</v>
      </c>
      <c r="P54" s="52">
        <v>0</v>
      </c>
      <c r="Q54" s="52" t="str">
        <v/>
      </c>
      <c r="R54" s="52" t="str">
        <v>advFairings</v>
      </c>
      <c r="S54" s="52" t="str">
        <v>Medium Fairings</v>
      </c>
      <c r="T54" s="52">
        <v>0</v>
      </c>
      <c r="U54" s="52" t="str">
        <v/>
      </c>
      <c r="V54" s="52" t="str">
        <v>fairings</v>
      </c>
      <c r="W54" s="52" t="str">
        <v>Small Fairings</v>
      </c>
      <c r="X54" s="52">
        <v>0</v>
      </c>
      <c r="Y54" s="52" t="str">
        <v/>
      </c>
      <c r="Z54" s="52">
        <v>0</v>
      </c>
      <c r="AA54" s="52" t="str">
        <v/>
      </c>
      <c r="AB54" s="52" t="str">
        <v>aviation</v>
      </c>
      <c r="AC54" s="52" t="str">
        <v>Aerospace Engineering</v>
      </c>
      <c r="AD54" s="52">
        <v>0</v>
      </c>
      <c r="AE54" s="52" t="str">
        <v/>
      </c>
      <c r="AF54" s="52">
        <v>0</v>
      </c>
      <c r="AG54" s="52" t="str">
        <v/>
      </c>
      <c r="AH54" s="52">
        <v>0</v>
      </c>
      <c r="AI54" s="52" t="str">
        <v/>
      </c>
      <c r="AJ54" s="52">
        <v>0</v>
      </c>
      <c r="AK54" s="52">
        <v>0</v>
      </c>
      <c r="AL54" s="52">
        <v>0</v>
      </c>
      <c r="AM54" s="52">
        <v>0</v>
      </c>
      <c r="AN54" s="52">
        <v>0</v>
      </c>
      <c r="AO54" s="52">
        <v>0</v>
      </c>
      <c r="AP54" s="52">
        <v>0</v>
      </c>
      <c r="AQ54" s="52" t="str">
        <v/>
      </c>
      <c r="AR54" s="52">
        <v>0</v>
      </c>
      <c r="AS54" s="52" t="str">
        <v/>
      </c>
      <c r="AT54" s="52">
        <v>0</v>
      </c>
      <c r="AU54" s="52" t="str">
        <v/>
      </c>
      <c r="AV54" s="52">
        <v>0</v>
      </c>
      <c r="AW54" s="52" t="str">
        <v/>
      </c>
      <c r="AX54" s="52">
        <v>0</v>
      </c>
      <c r="AY54" s="52" t="str">
        <v/>
      </c>
      <c r="AZ54" s="52">
        <v>0</v>
      </c>
      <c r="BA54" s="52" t="str">
        <v/>
      </c>
      <c r="BB54" s="52">
        <v>0</v>
      </c>
      <c r="BC54" s="52" t="str">
        <v/>
      </c>
      <c r="BD54" s="52">
        <v>0</v>
      </c>
      <c r="BE54" s="52" t="str">
        <v/>
      </c>
      <c r="BF54" s="52">
        <v>0</v>
      </c>
      <c r="BG54" s="52" t="str">
        <v/>
      </c>
      <c r="BH54" s="52">
        <v>0</v>
      </c>
      <c r="BI54" s="52" t="str">
        <v/>
      </c>
      <c r="BJ54" s="52">
        <v>0</v>
      </c>
      <c r="BK54" s="52" t="str">
        <v/>
      </c>
      <c r="BL54" s="52">
        <v>0</v>
      </c>
      <c r="BM54" s="52" t="str">
        <v/>
      </c>
      <c r="BN54" s="52">
        <v>0</v>
      </c>
      <c r="BO54" s="52" t="str">
        <v/>
      </c>
      <c r="BP54" s="52">
        <v>0</v>
      </c>
      <c r="BQ54" s="52" t="str">
        <v/>
      </c>
      <c r="BR54" s="52">
        <v>0</v>
      </c>
      <c r="BS54" s="52">
        <v>0</v>
      </c>
      <c r="BT54" s="52">
        <v>0</v>
      </c>
      <c r="BU54" s="52">
        <v>0</v>
      </c>
      <c r="BV54" s="52">
        <v>0</v>
      </c>
      <c r="BW54" s="52">
        <v>0</v>
      </c>
      <c r="BX54" s="52">
        <v>0</v>
      </c>
      <c r="BY54" s="52" t="str">
        <v/>
      </c>
      <c r="BZ54" s="52">
        <v>0</v>
      </c>
      <c r="CA54" s="52" t="str">
        <v/>
      </c>
      <c r="CB54" s="52">
        <v>0</v>
      </c>
      <c r="CC54" s="52" t="str">
        <v/>
      </c>
      <c r="CD54" s="52" t="str">
        <v>experimentalMotors</v>
      </c>
      <c r="CE54" s="52" t="str">
        <v>Experimental Motors</v>
      </c>
      <c r="CF54" s="52">
        <v>0</v>
      </c>
      <c r="CG54" s="52" t="str">
        <v/>
      </c>
      <c r="CH54" s="52">
        <v>0</v>
      </c>
      <c r="CI54" s="52" t="str">
        <v/>
      </c>
      <c r="CJ54" s="52">
        <v>0</v>
      </c>
      <c r="CK54" s="52" t="str">
        <v/>
      </c>
      <c r="CL54" s="52">
        <v>0</v>
      </c>
      <c r="CM54" s="52" t="str">
        <v/>
      </c>
      <c r="CN54" s="52">
        <v>0</v>
      </c>
      <c r="CO54" s="52" t="str">
        <v/>
      </c>
      <c r="CP54" s="52">
        <v>0</v>
      </c>
      <c r="CQ54" s="52" t="str">
        <v/>
      </c>
      <c r="CR54" s="52">
        <v>0</v>
      </c>
      <c r="CS54" s="52" t="str">
        <v/>
      </c>
      <c r="CT54" s="52">
        <v>0</v>
      </c>
      <c r="CU54" s="52" t="str">
        <v/>
      </c>
      <c r="CV54" s="52">
        <v>0</v>
      </c>
      <c r="CW54" s="52" t="str">
        <v/>
      </c>
      <c r="CX54" s="52">
        <v>0</v>
      </c>
      <c r="CY54" s="52" t="str">
        <v/>
      </c>
      <c r="CZ54" s="52">
        <v>0</v>
      </c>
      <c r="DA54" s="52" t="str">
        <v/>
      </c>
      <c r="DB54" s="52" t="str">
        <v>microwavePowerTransmission</v>
      </c>
      <c r="DC54" s="52" t="str">
        <v>Microwave Propulsion</v>
      </c>
      <c r="DD54" s="52">
        <v>0</v>
      </c>
      <c r="DE54" s="52" t="str">
        <v/>
      </c>
      <c r="DF54" s="52" t="str">
        <v>advMicrowavePropulsion</v>
      </c>
      <c r="DG54" s="52" t="str">
        <v>Advanced Microwave Propulsion</v>
      </c>
      <c r="DH54" s="52">
        <v>0</v>
      </c>
      <c r="DI54" s="52" t="str">
        <v/>
      </c>
      <c r="DJ54" s="52">
        <v>0</v>
      </c>
      <c r="DK54" s="52" t="str">
        <v/>
      </c>
      <c r="DL54" s="52">
        <v>0</v>
      </c>
      <c r="DM54" s="52" t="str">
        <v/>
      </c>
    </row>
    <row r="55" spans="1:117" x14ac:dyDescent="0.25">
      <c r="A55" s="54">
        <v>-1915.0500000000015</v>
      </c>
      <c r="B55" s="52">
        <v>0</v>
      </c>
      <c r="C55" s="52" t="str">
        <v/>
      </c>
      <c r="D55" s="52">
        <v>0</v>
      </c>
      <c r="E55" s="52" t="str">
        <v/>
      </c>
      <c r="F55" s="52">
        <v>0</v>
      </c>
      <c r="G55" s="52" t="str">
        <v/>
      </c>
      <c r="H55" s="52">
        <v>0</v>
      </c>
      <c r="I55" s="52" t="str">
        <v/>
      </c>
      <c r="J55" s="52">
        <v>0</v>
      </c>
      <c r="K55" s="52" t="str">
        <v/>
      </c>
      <c r="L55" s="52">
        <v>0</v>
      </c>
      <c r="M55" s="52" t="str">
        <v/>
      </c>
      <c r="N55" s="52">
        <v>0</v>
      </c>
      <c r="O55" s="52" t="str">
        <v/>
      </c>
      <c r="P55" s="52">
        <v>0</v>
      </c>
      <c r="Q55" s="52" t="str">
        <v/>
      </c>
      <c r="R55" s="52">
        <v>0</v>
      </c>
      <c r="S55" s="52" t="str">
        <v/>
      </c>
      <c r="T55" s="52">
        <v>0</v>
      </c>
      <c r="U55" s="52" t="str">
        <v/>
      </c>
      <c r="V55" s="52">
        <v>0</v>
      </c>
      <c r="W55" s="52" t="str">
        <v/>
      </c>
      <c r="X55" s="52">
        <v>0</v>
      </c>
      <c r="Y55" s="52" t="str">
        <v/>
      </c>
      <c r="Z55" s="52">
        <v>0</v>
      </c>
      <c r="AA55" s="52" t="str">
        <v/>
      </c>
      <c r="AB55" s="52">
        <v>0</v>
      </c>
      <c r="AC55" s="52" t="str">
        <v/>
      </c>
      <c r="AD55" s="52">
        <v>0</v>
      </c>
      <c r="AE55" s="52" t="str">
        <v/>
      </c>
      <c r="AF55" s="52">
        <v>0</v>
      </c>
      <c r="AG55" s="52" t="str">
        <v/>
      </c>
      <c r="AH55" s="52">
        <v>0</v>
      </c>
      <c r="AI55" s="52" t="str">
        <v/>
      </c>
      <c r="AJ55" s="52">
        <v>0</v>
      </c>
      <c r="AK55" s="52" t="str">
        <v/>
      </c>
      <c r="AL55" s="52">
        <v>0</v>
      </c>
      <c r="AM55" s="52" t="str">
        <v/>
      </c>
      <c r="AN55" s="52">
        <v>0</v>
      </c>
      <c r="AO55" s="52" t="str">
        <v/>
      </c>
      <c r="AP55" s="52">
        <v>0</v>
      </c>
      <c r="AQ55" s="52" t="str">
        <v/>
      </c>
      <c r="AR55" s="52">
        <v>0</v>
      </c>
      <c r="AS55" s="52" t="str">
        <v/>
      </c>
      <c r="AT55" s="52">
        <v>0</v>
      </c>
      <c r="AU55" s="52" t="str">
        <v/>
      </c>
      <c r="AV55" s="52">
        <v>0</v>
      </c>
      <c r="AW55" s="52" t="str">
        <v/>
      </c>
      <c r="AX55" s="52">
        <v>0</v>
      </c>
      <c r="AY55" s="52" t="str">
        <v/>
      </c>
      <c r="AZ55" s="52">
        <v>0</v>
      </c>
      <c r="BA55" s="52" t="str">
        <v/>
      </c>
      <c r="BB55" s="52">
        <v>0</v>
      </c>
      <c r="BC55" s="52" t="str">
        <v/>
      </c>
      <c r="BD55" s="52">
        <v>0</v>
      </c>
      <c r="BE55" s="52" t="str">
        <v/>
      </c>
      <c r="BF55" s="52">
        <v>0</v>
      </c>
      <c r="BG55" s="52" t="str">
        <v/>
      </c>
      <c r="BH55" s="52">
        <v>0</v>
      </c>
      <c r="BI55" s="52" t="str">
        <v/>
      </c>
      <c r="BJ55" s="52">
        <v>0</v>
      </c>
      <c r="BK55" s="52" t="str">
        <v/>
      </c>
      <c r="BL55" s="52">
        <v>0</v>
      </c>
      <c r="BM55" s="52" t="str">
        <v/>
      </c>
      <c r="BN55" s="52">
        <v>0</v>
      </c>
      <c r="BO55" s="52" t="str">
        <v/>
      </c>
      <c r="BP55" s="52">
        <v>0</v>
      </c>
      <c r="BQ55" s="52" t="str">
        <v/>
      </c>
      <c r="BR55" s="52">
        <v>0</v>
      </c>
      <c r="BS55" s="52">
        <v>0</v>
      </c>
      <c r="BT55" s="52">
        <v>0</v>
      </c>
      <c r="BU55" s="52">
        <v>0</v>
      </c>
      <c r="BV55" s="52">
        <v>0</v>
      </c>
      <c r="BW55" s="52">
        <v>0</v>
      </c>
      <c r="BX55" s="52">
        <v>0</v>
      </c>
      <c r="BY55" s="52" t="str">
        <v/>
      </c>
      <c r="BZ55" s="52">
        <v>0</v>
      </c>
      <c r="CA55" s="52" t="str">
        <v/>
      </c>
      <c r="CB55" s="52">
        <v>0</v>
      </c>
      <c r="CC55" s="52" t="str">
        <v/>
      </c>
      <c r="CD55" s="52">
        <v>0</v>
      </c>
      <c r="CE55" s="52" t="str">
        <v/>
      </c>
      <c r="CF55" s="52">
        <v>0</v>
      </c>
      <c r="CG55" s="52" t="str">
        <v/>
      </c>
      <c r="CH55" s="52">
        <v>0</v>
      </c>
      <c r="CI55" s="52" t="str">
        <v/>
      </c>
      <c r="CJ55" s="52">
        <v>0</v>
      </c>
      <c r="CK55" s="52" t="str">
        <v/>
      </c>
      <c r="CL55" s="52">
        <v>0</v>
      </c>
      <c r="CM55" s="52" t="str">
        <v/>
      </c>
      <c r="CN55" s="52">
        <v>0</v>
      </c>
      <c r="CO55" s="52" t="str">
        <v/>
      </c>
      <c r="CP55" s="52">
        <v>0</v>
      </c>
      <c r="CQ55" s="52" t="str">
        <v/>
      </c>
      <c r="CR55" s="52">
        <v>0</v>
      </c>
      <c r="CS55" s="52" t="str">
        <v/>
      </c>
      <c r="CT55" s="52">
        <v>0</v>
      </c>
      <c r="CU55" s="52" t="str">
        <v/>
      </c>
      <c r="CV55" s="52">
        <v>0</v>
      </c>
      <c r="CW55" s="52" t="str">
        <v/>
      </c>
      <c r="CX55" s="52">
        <v>0</v>
      </c>
      <c r="CY55" s="52" t="str">
        <v/>
      </c>
      <c r="CZ55" s="52">
        <v>0</v>
      </c>
      <c r="DA55" s="52" t="str">
        <v/>
      </c>
      <c r="DB55" s="52">
        <v>0</v>
      </c>
      <c r="DC55" s="52" t="str">
        <v/>
      </c>
      <c r="DD55" s="52">
        <v>0</v>
      </c>
      <c r="DE55" s="52" t="str">
        <v/>
      </c>
      <c r="DF55" s="52">
        <v>0</v>
      </c>
      <c r="DG55" s="52" t="str">
        <v/>
      </c>
      <c r="DH55" s="52">
        <v>0</v>
      </c>
      <c r="DI55" s="52" t="str">
        <v/>
      </c>
      <c r="DJ55" s="52">
        <v>0</v>
      </c>
      <c r="DK55" s="52" t="str">
        <v/>
      </c>
      <c r="DL55" s="52">
        <v>0</v>
      </c>
      <c r="DM55" s="52" t="str">
        <v/>
      </c>
    </row>
    <row r="56" spans="1:117" x14ac:dyDescent="0.25">
      <c r="A56" s="54">
        <v>-1875.9000000000015</v>
      </c>
      <c r="B56" s="52">
        <v>0</v>
      </c>
      <c r="C56" s="52" t="str">
        <v/>
      </c>
      <c r="D56" s="52">
        <v>0</v>
      </c>
      <c r="E56" s="52" t="str">
        <v/>
      </c>
      <c r="F56" s="52">
        <v>0</v>
      </c>
      <c r="G56" s="52" t="str">
        <v/>
      </c>
      <c r="H56" s="52">
        <v>0</v>
      </c>
      <c r="I56" s="52" t="str">
        <v/>
      </c>
      <c r="J56" s="52">
        <v>0</v>
      </c>
      <c r="K56" s="52" t="str">
        <v/>
      </c>
      <c r="L56" s="52">
        <v>0</v>
      </c>
      <c r="M56" s="52" t="str">
        <v/>
      </c>
      <c r="N56" s="52" t="str">
        <v>heavyLanding</v>
      </c>
      <c r="O56" s="52" t="str">
        <v>Heavy Landing Gear</v>
      </c>
      <c r="P56" s="52">
        <v>0</v>
      </c>
      <c r="Q56" s="52" t="str">
        <v/>
      </c>
      <c r="R56" s="52" t="str">
        <v>advLanding</v>
      </c>
      <c r="S56" s="52" t="str">
        <v>Advanced Landing Gear</v>
      </c>
      <c r="T56" s="52">
        <v>0</v>
      </c>
      <c r="U56" s="52" t="str">
        <v/>
      </c>
      <c r="V56" s="52" t="str">
        <v>landing</v>
      </c>
      <c r="W56" s="52" t="str">
        <v>Basic Landing Gear</v>
      </c>
      <c r="X56" s="52">
        <v>0</v>
      </c>
      <c r="Y56" s="52" t="str">
        <v/>
      </c>
      <c r="Z56" s="52" t="str">
        <v>aircraftStructures</v>
      </c>
      <c r="AA56" s="52" t="str">
        <v>Aircraft Structures</v>
      </c>
      <c r="AB56" s="52">
        <v>0</v>
      </c>
      <c r="AC56" s="52" t="str">
        <v/>
      </c>
      <c r="AD56" s="52">
        <v>0</v>
      </c>
      <c r="AE56" s="52" t="str">
        <v/>
      </c>
      <c r="AF56" s="52">
        <v>0</v>
      </c>
      <c r="AG56" s="52" t="str">
        <v/>
      </c>
      <c r="AH56" s="52">
        <v>0</v>
      </c>
      <c r="AI56" s="52" t="str">
        <v/>
      </c>
      <c r="AJ56" s="52">
        <v>0</v>
      </c>
      <c r="AK56" s="52" t="str">
        <v/>
      </c>
      <c r="AL56" s="52">
        <v>0</v>
      </c>
      <c r="AM56" s="52" t="str">
        <v/>
      </c>
      <c r="AN56" s="52" t="str">
        <v>survivability</v>
      </c>
      <c r="AO56" s="52" t="str">
        <v>Basic Parachutes</v>
      </c>
      <c r="AP56" s="52">
        <v>0</v>
      </c>
      <c r="AQ56" s="52" t="str">
        <v/>
      </c>
      <c r="AR56" s="52" t="str">
        <v>landingLegs</v>
      </c>
      <c r="AS56" s="52" t="str">
        <v>Small Landing Legs</v>
      </c>
      <c r="AT56" s="52">
        <v>0</v>
      </c>
      <c r="AU56" s="52" t="str">
        <v/>
      </c>
      <c r="AV56" s="52">
        <v>0</v>
      </c>
      <c r="AW56" s="52" t="str">
        <v/>
      </c>
      <c r="AX56" s="52">
        <v>0</v>
      </c>
      <c r="AY56" s="52" t="str">
        <v/>
      </c>
      <c r="AZ56" s="52">
        <v>0</v>
      </c>
      <c r="BA56" s="52" t="str">
        <v/>
      </c>
      <c r="BB56" s="52">
        <v>0</v>
      </c>
      <c r="BC56" s="52" t="str">
        <v/>
      </c>
      <c r="BD56" s="52">
        <v>0</v>
      </c>
      <c r="BE56" s="52" t="str">
        <v/>
      </c>
      <c r="BF56" s="52">
        <v>0</v>
      </c>
      <c r="BG56" s="52" t="str">
        <v/>
      </c>
      <c r="BH56" s="52">
        <v>0</v>
      </c>
      <c r="BI56" s="52" t="str">
        <v/>
      </c>
      <c r="BJ56" s="52">
        <v>0</v>
      </c>
      <c r="BK56" s="52" t="str">
        <v/>
      </c>
      <c r="BL56" s="52">
        <v>0</v>
      </c>
      <c r="BM56" s="52" t="str">
        <v/>
      </c>
      <c r="BN56" s="52" t="str">
        <v>generalConstruction</v>
      </c>
      <c r="BO56" s="52" t="str">
        <v>General Construction</v>
      </c>
      <c r="BP56" s="52">
        <v>0</v>
      </c>
      <c r="BQ56" s="52" t="str">
        <v/>
      </c>
      <c r="BR56" s="52">
        <v>0</v>
      </c>
      <c r="BS56" s="52">
        <v>0</v>
      </c>
      <c r="BT56" s="52">
        <v>0</v>
      </c>
      <c r="BU56" s="52">
        <v>0</v>
      </c>
      <c r="BV56" s="52">
        <v>0</v>
      </c>
      <c r="BW56" s="52">
        <v>0</v>
      </c>
      <c r="BX56" s="52">
        <v>0</v>
      </c>
      <c r="BY56" s="52" t="str">
        <v/>
      </c>
      <c r="BZ56" s="52" t="str">
        <v>fieldScience</v>
      </c>
      <c r="CA56" s="52" t="str">
        <v>Field Science</v>
      </c>
      <c r="CB56" s="52">
        <v>0</v>
      </c>
      <c r="CC56" s="52" t="str">
        <v/>
      </c>
      <c r="CD56" s="52" t="str">
        <v>scienceTech</v>
      </c>
      <c r="CE56" s="52" t="str">
        <v>Science Tech</v>
      </c>
      <c r="CF56" s="52">
        <v>0</v>
      </c>
      <c r="CG56" s="52" t="str">
        <v/>
      </c>
      <c r="CH56" s="52" t="str">
        <v>advScienceTech</v>
      </c>
      <c r="CI56" s="52" t="str">
        <v>Advanced Science Tech</v>
      </c>
      <c r="CJ56" s="52">
        <v>0</v>
      </c>
      <c r="CK56" s="52" t="str">
        <v/>
      </c>
      <c r="CL56" s="52" t="str">
        <v>experimentalScience</v>
      </c>
      <c r="CM56" s="52" t="str">
        <v>Experimental Science</v>
      </c>
      <c r="CN56" s="52">
        <v>0</v>
      </c>
      <c r="CO56" s="52" t="str">
        <v/>
      </c>
      <c r="CP56" s="52" t="str">
        <v>specializedScienceTech</v>
      </c>
      <c r="CQ56" s="52" t="str">
        <v>Invention</v>
      </c>
      <c r="CR56" s="52">
        <v>0</v>
      </c>
      <c r="CS56" s="52" t="str">
        <v/>
      </c>
      <c r="CT56" s="52" t="str">
        <v>highEnergyScience</v>
      </c>
      <c r="CU56" s="52" t="str">
        <v>Advanced Detection</v>
      </c>
      <c r="CV56" s="52">
        <v>0</v>
      </c>
      <c r="CW56" s="52" t="str">
        <v/>
      </c>
      <c r="CX56" s="52">
        <v>0</v>
      </c>
      <c r="CY56" s="52" t="str">
        <v/>
      </c>
      <c r="CZ56" s="52">
        <v>0</v>
      </c>
      <c r="DA56" s="52" t="str">
        <v/>
      </c>
      <c r="DB56" s="52">
        <v>0</v>
      </c>
      <c r="DC56" s="52" t="str">
        <v/>
      </c>
      <c r="DD56" s="52">
        <v>0</v>
      </c>
      <c r="DE56" s="52" t="str">
        <v/>
      </c>
      <c r="DF56" s="52">
        <v>0</v>
      </c>
      <c r="DG56" s="52" t="str">
        <v/>
      </c>
      <c r="DH56" s="52">
        <v>0</v>
      </c>
      <c r="DI56" s="52" t="str">
        <v/>
      </c>
      <c r="DJ56" s="52">
        <v>0</v>
      </c>
      <c r="DK56" s="52" t="str">
        <v/>
      </c>
      <c r="DL56" s="52">
        <v>0</v>
      </c>
      <c r="DM56" s="52" t="str">
        <v/>
      </c>
    </row>
    <row r="57" spans="1:117" x14ac:dyDescent="0.25">
      <c r="A57" s="54">
        <v>-1836.7500000000014</v>
      </c>
      <c r="B57" s="52">
        <v>0</v>
      </c>
      <c r="C57" s="52" t="str">
        <v/>
      </c>
      <c r="D57" s="52">
        <v>0</v>
      </c>
      <c r="E57" s="52" t="str">
        <v/>
      </c>
      <c r="F57" s="52">
        <v>0</v>
      </c>
      <c r="G57" s="52" t="str">
        <v/>
      </c>
      <c r="H57" s="52">
        <v>0</v>
      </c>
      <c r="I57" s="52" t="str">
        <v/>
      </c>
      <c r="J57" s="52">
        <v>0</v>
      </c>
      <c r="K57" s="52" t="str">
        <v/>
      </c>
      <c r="L57" s="52">
        <v>0</v>
      </c>
      <c r="M57" s="52" t="str">
        <v/>
      </c>
      <c r="N57" s="52">
        <v>0</v>
      </c>
      <c r="O57" s="52" t="str">
        <v/>
      </c>
      <c r="P57" s="52">
        <v>0</v>
      </c>
      <c r="Q57" s="52" t="str">
        <v/>
      </c>
      <c r="R57" s="52">
        <v>0</v>
      </c>
      <c r="S57" s="52" t="str">
        <v/>
      </c>
      <c r="T57" s="52">
        <v>0</v>
      </c>
      <c r="U57" s="52" t="str">
        <v/>
      </c>
      <c r="V57" s="52">
        <v>0</v>
      </c>
      <c r="W57" s="52" t="str">
        <v/>
      </c>
      <c r="X57" s="52">
        <v>0</v>
      </c>
      <c r="Y57" s="52" t="str">
        <v/>
      </c>
      <c r="Z57" s="52">
        <v>0</v>
      </c>
      <c r="AA57" s="52" t="str">
        <v/>
      </c>
      <c r="AB57" s="52">
        <v>0</v>
      </c>
      <c r="AC57" s="52" t="str">
        <v/>
      </c>
      <c r="AD57" s="52">
        <v>0</v>
      </c>
      <c r="AE57" s="52" t="str">
        <v/>
      </c>
      <c r="AF57" s="52">
        <v>0</v>
      </c>
      <c r="AG57" s="52" t="str">
        <v/>
      </c>
      <c r="AH57" s="52">
        <v>0</v>
      </c>
      <c r="AI57" s="52" t="str">
        <v/>
      </c>
      <c r="AJ57" s="52">
        <v>0</v>
      </c>
      <c r="AK57" s="52" t="str">
        <v/>
      </c>
      <c r="AL57" s="52">
        <v>0</v>
      </c>
      <c r="AM57" s="52" t="str">
        <v/>
      </c>
      <c r="AN57" s="52">
        <v>0</v>
      </c>
      <c r="AO57" s="52" t="str">
        <v/>
      </c>
      <c r="AP57" s="52">
        <v>0</v>
      </c>
      <c r="AQ57" s="52" t="str">
        <v/>
      </c>
      <c r="AR57" s="52">
        <v>0</v>
      </c>
      <c r="AS57" s="52" t="str">
        <v/>
      </c>
      <c r="AT57" s="52">
        <v>0</v>
      </c>
      <c r="AU57" s="52" t="str">
        <v/>
      </c>
      <c r="AV57" s="52">
        <v>0</v>
      </c>
      <c r="AW57" s="52" t="str">
        <v/>
      </c>
      <c r="AX57" s="52">
        <v>0</v>
      </c>
      <c r="AY57" s="52" t="str">
        <v/>
      </c>
      <c r="AZ57" s="52">
        <v>0</v>
      </c>
      <c r="BA57" s="52" t="str">
        <v/>
      </c>
      <c r="BB57" s="52">
        <v>0</v>
      </c>
      <c r="BC57" s="52" t="str">
        <v/>
      </c>
      <c r="BD57" s="52">
        <v>0</v>
      </c>
      <c r="BE57" s="52" t="str">
        <v/>
      </c>
      <c r="BF57" s="52">
        <v>0</v>
      </c>
      <c r="BG57" s="52" t="str">
        <v/>
      </c>
      <c r="BH57" s="52">
        <v>0</v>
      </c>
      <c r="BI57" s="52" t="str">
        <v/>
      </c>
      <c r="BJ57" s="52">
        <v>0</v>
      </c>
      <c r="BK57" s="52" t="str">
        <v/>
      </c>
      <c r="BL57" s="52">
        <v>0</v>
      </c>
      <c r="BM57" s="52" t="str">
        <v/>
      </c>
      <c r="BN57" s="52">
        <v>0</v>
      </c>
      <c r="BO57" s="52" t="str">
        <v/>
      </c>
      <c r="BP57" s="52">
        <v>0</v>
      </c>
      <c r="BQ57" s="52" t="str">
        <v/>
      </c>
      <c r="BR57" s="52">
        <v>0</v>
      </c>
      <c r="BS57" s="52">
        <v>0</v>
      </c>
      <c r="BT57" s="52">
        <v>0</v>
      </c>
      <c r="BU57" s="52">
        <v>0</v>
      </c>
      <c r="BV57" s="52">
        <v>0</v>
      </c>
      <c r="BW57" s="52">
        <v>0</v>
      </c>
      <c r="BX57" s="52">
        <v>0</v>
      </c>
      <c r="BY57" s="52" t="str">
        <v/>
      </c>
      <c r="BZ57" s="52">
        <v>0</v>
      </c>
      <c r="CA57" s="52" t="str">
        <v/>
      </c>
      <c r="CB57" s="52">
        <v>0</v>
      </c>
      <c r="CC57" s="52" t="str">
        <v/>
      </c>
      <c r="CD57" s="52">
        <v>0</v>
      </c>
      <c r="CE57" s="52" t="str">
        <v/>
      </c>
      <c r="CF57" s="52">
        <v>0</v>
      </c>
      <c r="CG57" s="52" t="str">
        <v/>
      </c>
      <c r="CH57" s="52">
        <v>0</v>
      </c>
      <c r="CI57" s="52" t="str">
        <v/>
      </c>
      <c r="CJ57" s="52">
        <v>0</v>
      </c>
      <c r="CK57" s="52" t="str">
        <v/>
      </c>
      <c r="CL57" s="52">
        <v>0</v>
      </c>
      <c r="CM57" s="52" t="str">
        <v/>
      </c>
      <c r="CN57" s="52">
        <v>0</v>
      </c>
      <c r="CO57" s="52" t="str">
        <v/>
      </c>
      <c r="CP57" s="52">
        <v>0</v>
      </c>
      <c r="CQ57" s="52" t="str">
        <v/>
      </c>
      <c r="CR57" s="52">
        <v>0</v>
      </c>
      <c r="CS57" s="52" t="str">
        <v/>
      </c>
      <c r="CT57" s="52">
        <v>0</v>
      </c>
      <c r="CU57" s="52" t="str">
        <v/>
      </c>
      <c r="CV57" s="52">
        <v>0</v>
      </c>
      <c r="CW57" s="52" t="str">
        <v/>
      </c>
      <c r="CX57" s="52">
        <v>0</v>
      </c>
      <c r="CY57" s="52" t="str">
        <v/>
      </c>
      <c r="CZ57" s="52">
        <v>0</v>
      </c>
      <c r="DA57" s="52" t="str">
        <v/>
      </c>
      <c r="DB57" s="52">
        <v>0</v>
      </c>
      <c r="DC57" s="52" t="str">
        <v/>
      </c>
      <c r="DD57" s="52">
        <v>0</v>
      </c>
      <c r="DE57" s="52" t="str">
        <v/>
      </c>
      <c r="DF57" s="52">
        <v>0</v>
      </c>
      <c r="DG57" s="52" t="str">
        <v/>
      </c>
      <c r="DH57" s="52">
        <v>0</v>
      </c>
      <c r="DI57" s="52" t="str">
        <v/>
      </c>
      <c r="DJ57" s="52">
        <v>0</v>
      </c>
      <c r="DK57" s="52" t="str">
        <v/>
      </c>
      <c r="DL57" s="52">
        <v>0</v>
      </c>
      <c r="DM57" s="52" t="str">
        <v/>
      </c>
    </row>
    <row r="58" spans="1:117" x14ac:dyDescent="0.25">
      <c r="A58" s="54">
        <v>-1797.6000000000013</v>
      </c>
      <c r="B58" s="52">
        <v>0</v>
      </c>
      <c r="C58" s="52" t="str">
        <v/>
      </c>
      <c r="D58" s="52">
        <v>0</v>
      </c>
      <c r="E58" s="52" t="str">
        <v/>
      </c>
      <c r="F58" s="52">
        <v>0</v>
      </c>
      <c r="G58" s="52" t="str">
        <v/>
      </c>
      <c r="H58" s="52">
        <v>0</v>
      </c>
      <c r="I58" s="52" t="str">
        <v/>
      </c>
      <c r="J58" s="52" t="str">
        <v>aerospaceComposites</v>
      </c>
      <c r="K58" s="52" t="str">
        <v>Aerospace Composites</v>
      </c>
      <c r="L58" s="52">
        <v>0</v>
      </c>
      <c r="M58" s="52" t="str">
        <v/>
      </c>
      <c r="N58" s="52" t="str">
        <v>heavyAerodynamics</v>
      </c>
      <c r="O58" s="52" t="str">
        <v>Heavy Aircraft</v>
      </c>
      <c r="P58" s="52">
        <v>0</v>
      </c>
      <c r="Q58" s="52" t="str">
        <v/>
      </c>
      <c r="R58" s="52" t="str">
        <v>highAltitudeFlight</v>
      </c>
      <c r="S58" s="52" t="str">
        <v>High Altitude Flight</v>
      </c>
      <c r="T58" s="52">
        <v>0</v>
      </c>
      <c r="U58" s="52" t="str">
        <v/>
      </c>
      <c r="V58" s="52" t="str">
        <v>aerospaceTech</v>
      </c>
      <c r="W58" s="52" t="str">
        <v>Aerospace Technologies</v>
      </c>
      <c r="X58" s="52">
        <v>0</v>
      </c>
      <c r="Y58" s="52" t="str">
        <v/>
      </c>
      <c r="Z58" s="52">
        <v>0</v>
      </c>
      <c r="AA58" s="52" t="str">
        <v/>
      </c>
      <c r="AB58" s="52">
        <v>0</v>
      </c>
      <c r="AC58" s="52" t="str">
        <v/>
      </c>
      <c r="AD58" s="52">
        <v>0</v>
      </c>
      <c r="AE58" s="52" t="str">
        <v/>
      </c>
      <c r="AF58" s="52">
        <v>0</v>
      </c>
      <c r="AG58" s="52" t="str">
        <v/>
      </c>
      <c r="AH58" s="52">
        <v>0</v>
      </c>
      <c r="AI58" s="52" t="str">
        <v/>
      </c>
      <c r="AJ58" s="52">
        <v>0</v>
      </c>
      <c r="AK58" s="52" t="str">
        <v/>
      </c>
      <c r="AL58" s="52">
        <v>0</v>
      </c>
      <c r="AM58" s="52" t="str">
        <v/>
      </c>
      <c r="AN58" s="52" t="str">
        <v>advParachutes</v>
      </c>
      <c r="AO58" s="52" t="str">
        <v>Advanced Parachutes</v>
      </c>
      <c r="AP58" s="52">
        <v>0</v>
      </c>
      <c r="AQ58" s="52" t="str">
        <v/>
      </c>
      <c r="AR58" s="52" t="str">
        <v>advLandingLegs</v>
      </c>
      <c r="AS58" s="52" t="str">
        <v>Advanced Landing Legs</v>
      </c>
      <c r="AT58" s="52">
        <v>0</v>
      </c>
      <c r="AU58" s="52" t="str">
        <v/>
      </c>
      <c r="AV58" s="52">
        <v>0</v>
      </c>
      <c r="AW58" s="52" t="str">
        <v/>
      </c>
      <c r="AX58" s="52">
        <v>0</v>
      </c>
      <c r="AY58" s="52" t="str">
        <v/>
      </c>
      <c r="AZ58" s="52">
        <v>0</v>
      </c>
      <c r="BA58" s="52" t="str">
        <v/>
      </c>
      <c r="BB58" s="52" t="str">
        <v>advConstruction</v>
      </c>
      <c r="BC58" s="52" t="str">
        <v>Structural Engineering</v>
      </c>
      <c r="BD58" s="52">
        <v>0</v>
      </c>
      <c r="BE58" s="52" t="str">
        <v/>
      </c>
      <c r="BF58" s="52">
        <v>0</v>
      </c>
      <c r="BG58" s="52" t="str">
        <v/>
      </c>
      <c r="BH58" s="52">
        <v>0</v>
      </c>
      <c r="BI58" s="52" t="str">
        <v/>
      </c>
      <c r="BJ58" s="52" t="str">
        <v>radialTech</v>
      </c>
      <c r="BK58" s="52" t="str">
        <v>Strap-on Boosters</v>
      </c>
      <c r="BL58" s="52">
        <v>0</v>
      </c>
      <c r="BM58" s="52" t="str">
        <v/>
      </c>
      <c r="BN58" s="52" t="str">
        <v>actuators</v>
      </c>
      <c r="BO58" s="52" t="str">
        <v xml:space="preserve">Actuators </v>
      </c>
      <c r="BP58" s="52">
        <v>0</v>
      </c>
      <c r="BQ58" s="52" t="str">
        <v/>
      </c>
      <c r="BR58" s="52" t="str">
        <v>smallLaunchClamps</v>
      </c>
      <c r="BS58" s="52" t="str">
        <v>Small Launch Clamps</v>
      </c>
      <c r="BT58" s="52">
        <v>0</v>
      </c>
      <c r="BU58" s="52">
        <v>0</v>
      </c>
      <c r="BV58" s="52" t="str">
        <v>docking</v>
      </c>
      <c r="BW58" s="52" t="str">
        <v>Small Docking Ports and Airlocks</v>
      </c>
      <c r="BX58" s="52">
        <v>0</v>
      </c>
      <c r="BY58" s="52" t="str">
        <v/>
      </c>
      <c r="BZ58" s="52">
        <v>0</v>
      </c>
      <c r="CA58" s="52" t="str">
        <v/>
      </c>
      <c r="CB58" s="52">
        <v>0</v>
      </c>
      <c r="CC58" s="52" t="str">
        <v/>
      </c>
      <c r="CD58" s="52">
        <v>0</v>
      </c>
      <c r="CE58" s="52" t="str">
        <v/>
      </c>
      <c r="CF58" s="52">
        <v>0</v>
      </c>
      <c r="CG58" s="52" t="str">
        <v/>
      </c>
      <c r="CH58" s="52">
        <v>0</v>
      </c>
      <c r="CI58" s="52">
        <v>0</v>
      </c>
      <c r="CJ58" s="52">
        <v>0</v>
      </c>
      <c r="CK58" s="52" t="str">
        <v/>
      </c>
      <c r="CL58" s="52" t="str">
        <v>longTermScienceTech</v>
      </c>
      <c r="CM58" s="52" t="str">
        <v>Long-term Science Tech</v>
      </c>
      <c r="CN58" s="52">
        <v>0</v>
      </c>
      <c r="CO58" s="52" t="str">
        <v/>
      </c>
      <c r="CP58" s="52">
        <v>0</v>
      </c>
      <c r="CQ58" s="52" t="str">
        <v/>
      </c>
      <c r="CR58" s="52">
        <v>0</v>
      </c>
      <c r="CS58" s="52" t="str">
        <v/>
      </c>
      <c r="CT58" s="52">
        <v>0</v>
      </c>
      <c r="CU58" s="52" t="str">
        <v/>
      </c>
      <c r="CV58" s="52">
        <v>0</v>
      </c>
      <c r="CW58" s="52" t="str">
        <v/>
      </c>
      <c r="CX58" s="52" t="str">
        <v>appliedHighEnergyPhysics</v>
      </c>
      <c r="CY58" s="52" t="str">
        <v>Particle Physics</v>
      </c>
      <c r="CZ58" s="52">
        <v>0</v>
      </c>
      <c r="DA58" s="52" t="str">
        <v/>
      </c>
      <c r="DB58" s="52">
        <v>0</v>
      </c>
      <c r="DC58" s="52" t="str">
        <v/>
      </c>
      <c r="DD58" s="52">
        <v>0</v>
      </c>
      <c r="DE58" s="52" t="str">
        <v/>
      </c>
      <c r="DF58" s="52">
        <v>0</v>
      </c>
      <c r="DG58" s="52" t="str">
        <v/>
      </c>
      <c r="DH58" s="52">
        <v>0</v>
      </c>
      <c r="DI58" s="52" t="str">
        <v/>
      </c>
      <c r="DJ58" s="52">
        <v>0</v>
      </c>
      <c r="DK58" s="52" t="str">
        <v/>
      </c>
      <c r="DL58" s="52">
        <v>0</v>
      </c>
      <c r="DM58" s="52" t="str">
        <v/>
      </c>
    </row>
    <row r="59" spans="1:117" x14ac:dyDescent="0.25">
      <c r="A59" s="54">
        <v>-1758.4500000000012</v>
      </c>
      <c r="B59" s="52">
        <v>0</v>
      </c>
      <c r="C59" s="52" t="str">
        <v/>
      </c>
      <c r="D59" s="52">
        <v>0</v>
      </c>
      <c r="E59" s="52" t="str">
        <v/>
      </c>
      <c r="F59" s="52">
        <v>0</v>
      </c>
      <c r="G59" s="52" t="str">
        <v/>
      </c>
      <c r="H59" s="52">
        <v>0</v>
      </c>
      <c r="I59" s="52" t="str">
        <v/>
      </c>
      <c r="J59" s="52">
        <v>0</v>
      </c>
      <c r="K59" s="52" t="str">
        <v/>
      </c>
      <c r="L59" s="52">
        <v>0</v>
      </c>
      <c r="M59" s="52" t="str">
        <v/>
      </c>
      <c r="N59" s="52">
        <v>0</v>
      </c>
      <c r="O59" s="52" t="str">
        <v/>
      </c>
      <c r="P59" s="52">
        <v>0</v>
      </c>
      <c r="Q59" s="52" t="str">
        <v/>
      </c>
      <c r="R59" s="52">
        <v>0</v>
      </c>
      <c r="S59" s="52" t="str">
        <v/>
      </c>
      <c r="T59" s="52">
        <v>0</v>
      </c>
      <c r="U59" s="52" t="str">
        <v/>
      </c>
      <c r="V59" s="52">
        <v>0</v>
      </c>
      <c r="W59" s="52" t="str">
        <v/>
      </c>
      <c r="X59" s="52">
        <v>0</v>
      </c>
      <c r="Y59" s="52" t="str">
        <v/>
      </c>
      <c r="Z59" s="52">
        <v>0</v>
      </c>
      <c r="AA59" s="52" t="str">
        <v/>
      </c>
      <c r="AB59" s="52">
        <v>0</v>
      </c>
      <c r="AC59" s="52" t="str">
        <v/>
      </c>
      <c r="AD59" s="52">
        <v>0</v>
      </c>
      <c r="AE59" s="52" t="str">
        <v/>
      </c>
      <c r="AF59" s="52">
        <v>0</v>
      </c>
      <c r="AG59" s="52" t="str">
        <v/>
      </c>
      <c r="AH59" s="52">
        <v>0</v>
      </c>
      <c r="AI59" s="52" t="str">
        <v/>
      </c>
      <c r="AJ59" s="52">
        <v>0</v>
      </c>
      <c r="AK59" s="52" t="str">
        <v/>
      </c>
      <c r="AL59" s="52">
        <v>0</v>
      </c>
      <c r="AM59" s="52" t="str">
        <v/>
      </c>
      <c r="AN59" s="52">
        <v>0</v>
      </c>
      <c r="AO59" s="52" t="str">
        <v/>
      </c>
      <c r="AP59" s="52">
        <v>0</v>
      </c>
      <c r="AQ59" s="52" t="str">
        <v/>
      </c>
      <c r="AR59" s="52">
        <v>0</v>
      </c>
      <c r="AS59" s="52" t="str">
        <v/>
      </c>
      <c r="AT59" s="52">
        <v>0</v>
      </c>
      <c r="AU59" s="52" t="str">
        <v/>
      </c>
      <c r="AV59" s="52">
        <v>0</v>
      </c>
      <c r="AW59" s="52" t="str">
        <v/>
      </c>
      <c r="AX59" s="52">
        <v>0</v>
      </c>
      <c r="AY59" s="52" t="str">
        <v/>
      </c>
      <c r="AZ59" s="52">
        <v>0</v>
      </c>
      <c r="BA59" s="52" t="str">
        <v/>
      </c>
      <c r="BB59" s="52">
        <v>0</v>
      </c>
      <c r="BC59" s="52" t="str">
        <v/>
      </c>
      <c r="BD59" s="52">
        <v>0</v>
      </c>
      <c r="BE59" s="52" t="str">
        <v/>
      </c>
      <c r="BF59" s="52">
        <v>0</v>
      </c>
      <c r="BG59" s="52" t="str">
        <v/>
      </c>
      <c r="BH59" s="52">
        <v>0</v>
      </c>
      <c r="BI59" s="52" t="str">
        <v/>
      </c>
      <c r="BJ59" s="52">
        <v>0</v>
      </c>
      <c r="BK59" s="52" t="str">
        <v/>
      </c>
      <c r="BL59" s="52">
        <v>0</v>
      </c>
      <c r="BM59" s="52" t="str">
        <v/>
      </c>
      <c r="BN59" s="52">
        <v>0</v>
      </c>
      <c r="BO59" s="52" t="str">
        <v/>
      </c>
      <c r="BP59" s="52">
        <v>0</v>
      </c>
      <c r="BQ59" s="52" t="str">
        <v/>
      </c>
      <c r="BR59" s="52">
        <v>0</v>
      </c>
      <c r="BS59" s="52" t="str">
        <v/>
      </c>
      <c r="BT59" s="52">
        <v>0</v>
      </c>
      <c r="BU59" s="52">
        <v>0</v>
      </c>
      <c r="BV59" s="52">
        <v>0</v>
      </c>
      <c r="BW59" s="52" t="str">
        <v/>
      </c>
      <c r="BX59" s="52">
        <v>0</v>
      </c>
      <c r="BY59" s="52" t="str">
        <v/>
      </c>
      <c r="BZ59" s="52">
        <v>0</v>
      </c>
      <c r="CA59" s="52" t="str">
        <v/>
      </c>
      <c r="CB59" s="52">
        <v>0</v>
      </c>
      <c r="CC59" s="52" t="str">
        <v/>
      </c>
      <c r="CD59" s="52">
        <v>0</v>
      </c>
      <c r="CE59" s="52" t="str">
        <v/>
      </c>
      <c r="CF59" s="52">
        <v>0</v>
      </c>
      <c r="CG59" s="52" t="str">
        <v/>
      </c>
      <c r="CH59" s="52">
        <v>0</v>
      </c>
      <c r="CI59" s="52">
        <v>0</v>
      </c>
      <c r="CJ59" s="52">
        <v>0</v>
      </c>
      <c r="CK59" s="52" t="str">
        <v/>
      </c>
      <c r="CL59" s="52">
        <v>0</v>
      </c>
      <c r="CM59" s="52" t="str">
        <v/>
      </c>
      <c r="CN59" s="52">
        <v>0</v>
      </c>
      <c r="CO59" s="52" t="str">
        <v/>
      </c>
      <c r="CP59" s="52">
        <v>0</v>
      </c>
      <c r="CQ59" s="52" t="str">
        <v/>
      </c>
      <c r="CR59" s="52">
        <v>0</v>
      </c>
      <c r="CS59" s="52" t="str">
        <v/>
      </c>
      <c r="CT59" s="52">
        <v>0</v>
      </c>
      <c r="CU59" s="52" t="str">
        <v/>
      </c>
      <c r="CV59" s="52">
        <v>0</v>
      </c>
      <c r="CW59" s="52" t="str">
        <v/>
      </c>
      <c r="CX59" s="52">
        <v>0</v>
      </c>
      <c r="CY59" s="52" t="str">
        <v/>
      </c>
      <c r="CZ59" s="52">
        <v>0</v>
      </c>
      <c r="DA59" s="52" t="str">
        <v/>
      </c>
      <c r="DB59" s="52">
        <v>0</v>
      </c>
      <c r="DC59" s="52" t="str">
        <v/>
      </c>
      <c r="DD59" s="52">
        <v>0</v>
      </c>
      <c r="DE59" s="52" t="str">
        <v/>
      </c>
      <c r="DF59" s="52">
        <v>0</v>
      </c>
      <c r="DG59" s="52" t="str">
        <v/>
      </c>
      <c r="DH59" s="52">
        <v>0</v>
      </c>
      <c r="DI59" s="52" t="str">
        <v/>
      </c>
      <c r="DJ59" s="52">
        <v>0</v>
      </c>
      <c r="DK59" s="52" t="str">
        <v/>
      </c>
      <c r="DL59" s="52">
        <v>0</v>
      </c>
      <c r="DM59" s="52" t="str">
        <v/>
      </c>
    </row>
    <row r="60" spans="1:117" x14ac:dyDescent="0.25">
      <c r="A60" s="54">
        <v>-1719.3000000000011</v>
      </c>
      <c r="B60" s="52">
        <v>0</v>
      </c>
      <c r="C60" s="52" t="str">
        <v/>
      </c>
      <c r="D60" s="52">
        <v>0</v>
      </c>
      <c r="E60" s="52" t="str">
        <v/>
      </c>
      <c r="F60" s="52">
        <v>0</v>
      </c>
      <c r="G60" s="52" t="str">
        <v/>
      </c>
      <c r="H60" s="52">
        <v>0</v>
      </c>
      <c r="I60" s="52" t="str">
        <v/>
      </c>
      <c r="J60" s="52">
        <v>0</v>
      </c>
      <c r="K60" s="52" t="str">
        <v/>
      </c>
      <c r="L60" s="52">
        <v>0</v>
      </c>
      <c r="M60" s="52" t="str">
        <v/>
      </c>
      <c r="N60" s="52">
        <v>0</v>
      </c>
      <c r="O60" s="52">
        <v>0</v>
      </c>
      <c r="P60" s="52">
        <v>0</v>
      </c>
      <c r="Q60" s="52">
        <v>0</v>
      </c>
      <c r="R60" s="52">
        <v>0</v>
      </c>
      <c r="S60" s="52" t="str">
        <v/>
      </c>
      <c r="T60" s="52">
        <v>0</v>
      </c>
      <c r="U60" s="52" t="str">
        <v/>
      </c>
      <c r="V60" s="52">
        <v>0</v>
      </c>
      <c r="W60" s="52" t="str">
        <v/>
      </c>
      <c r="X60" s="52">
        <v>0</v>
      </c>
      <c r="Y60" s="52" t="str">
        <v/>
      </c>
      <c r="Z60" s="52">
        <v>0</v>
      </c>
      <c r="AA60" s="52">
        <v>0</v>
      </c>
      <c r="AB60" s="52">
        <v>0</v>
      </c>
      <c r="AC60" s="52" t="str">
        <v/>
      </c>
      <c r="AD60" s="52">
        <v>0</v>
      </c>
      <c r="AE60" s="52" t="str">
        <v/>
      </c>
      <c r="AF60" s="52" t="str">
        <v>simpleCommandModules</v>
      </c>
      <c r="AG60" s="52" t="str">
        <v>Simple Command Modules</v>
      </c>
      <c r="AH60" s="52">
        <v>0</v>
      </c>
      <c r="AI60" s="52" t="str">
        <v/>
      </c>
      <c r="AJ60" s="52">
        <v>0</v>
      </c>
      <c r="AK60" s="52" t="str">
        <v/>
      </c>
      <c r="AL60" s="52">
        <v>0</v>
      </c>
      <c r="AM60" s="52" t="str">
        <v/>
      </c>
      <c r="AN60" s="52" t="str">
        <v>enhancedSurvivability</v>
      </c>
      <c r="AO60" s="52" t="str">
        <v>Enhanced Survivability</v>
      </c>
      <c r="AP60" s="52">
        <v>0</v>
      </c>
      <c r="AQ60" s="52" t="str">
        <v/>
      </c>
      <c r="AR60" s="52" t="str">
        <v>largeLandingLegs</v>
      </c>
      <c r="AS60" s="52" t="str">
        <v>Heavy Duty Landing Legs</v>
      </c>
      <c r="AT60" s="52">
        <v>0</v>
      </c>
      <c r="AU60" s="52" t="str">
        <v/>
      </c>
      <c r="AV60" s="52">
        <v>0</v>
      </c>
      <c r="AW60" s="52" t="str">
        <v/>
      </c>
      <c r="AX60" s="52" t="str">
        <v>storageTech</v>
      </c>
      <c r="AY60" s="52" t="str">
        <v>Service Modules</v>
      </c>
      <c r="AZ60" s="52">
        <v>0</v>
      </c>
      <c r="BA60" s="52" t="str">
        <v/>
      </c>
      <c r="BB60" s="52" t="str">
        <v>specializedConstruction</v>
      </c>
      <c r="BC60" s="52" t="str">
        <v>Specialized Construction</v>
      </c>
      <c r="BD60" s="52">
        <v>0</v>
      </c>
      <c r="BE60" s="52" t="str">
        <v/>
      </c>
      <c r="BF60" s="52">
        <v>0</v>
      </c>
      <c r="BG60" s="52" t="str">
        <v/>
      </c>
      <c r="BH60" s="52">
        <v>0</v>
      </c>
      <c r="BI60" s="52" t="str">
        <v/>
      </c>
      <c r="BJ60" s="52" t="str">
        <v>advRadialTech</v>
      </c>
      <c r="BK60" s="52" t="str">
        <v>Advanced Radial Decouplers</v>
      </c>
      <c r="BL60" s="52">
        <v>0</v>
      </c>
      <c r="BM60" s="52" t="str">
        <v/>
      </c>
      <c r="BN60" s="52" t="str">
        <v>advActuators</v>
      </c>
      <c r="BO60" s="52" t="str">
        <v>Advanced Actuators</v>
      </c>
      <c r="BP60" s="52">
        <v>0</v>
      </c>
      <c r="BQ60" s="52" t="str">
        <v/>
      </c>
      <c r="BR60" s="52" t="str">
        <v>largeLaunchClamps</v>
      </c>
      <c r="BS60" s="52" t="str">
        <v>Large Launch Clamps</v>
      </c>
      <c r="BT60" s="52">
        <v>0</v>
      </c>
      <c r="BU60" s="52">
        <v>0</v>
      </c>
      <c r="BV60" s="52" t="str">
        <v>advDocking</v>
      </c>
      <c r="BW60" s="52" t="str">
        <v>Advanced Docking</v>
      </c>
      <c r="BX60" s="52">
        <v>0</v>
      </c>
      <c r="BY60" s="52" t="str">
        <v/>
      </c>
      <c r="BZ60" s="52">
        <v>0</v>
      </c>
      <c r="CA60" s="52" t="str">
        <v/>
      </c>
      <c r="CB60" s="52">
        <v>0</v>
      </c>
      <c r="CC60" s="52" t="str">
        <v/>
      </c>
      <c r="CD60" s="52">
        <v>0</v>
      </c>
      <c r="CE60" s="52" t="str">
        <v/>
      </c>
      <c r="CF60" s="52">
        <v>0</v>
      </c>
      <c r="CG60" s="52" t="str">
        <v/>
      </c>
      <c r="CH60" s="52">
        <v>0</v>
      </c>
      <c r="CI60" s="52" t="str">
        <v/>
      </c>
      <c r="CJ60" s="52">
        <v>0</v>
      </c>
      <c r="CK60" s="52" t="str">
        <v/>
      </c>
      <c r="CL60" s="52" t="str">
        <v>scientificOutposts</v>
      </c>
      <c r="CM60" s="52" t="str">
        <v>Scientific Outposts</v>
      </c>
      <c r="CN60" s="52">
        <v>0</v>
      </c>
      <c r="CO60" s="52" t="str">
        <v/>
      </c>
      <c r="CP60" s="52">
        <v>0</v>
      </c>
      <c r="CQ60" s="52" t="str">
        <v/>
      </c>
      <c r="CR60" s="52">
        <v>0</v>
      </c>
      <c r="CS60" s="52" t="str">
        <v/>
      </c>
      <c r="CT60" s="52">
        <v>0</v>
      </c>
      <c r="CU60" s="52" t="str">
        <v/>
      </c>
      <c r="CV60" s="52">
        <v>0</v>
      </c>
      <c r="CW60" s="52" t="str">
        <v/>
      </c>
      <c r="CX60" s="52">
        <v>0</v>
      </c>
      <c r="CY60" s="52" t="str">
        <v/>
      </c>
      <c r="CZ60" s="52">
        <v>0</v>
      </c>
      <c r="DA60" s="52" t="str">
        <v/>
      </c>
      <c r="DB60" s="52">
        <v>0</v>
      </c>
      <c r="DC60" s="52" t="str">
        <v/>
      </c>
      <c r="DD60" s="52">
        <v>0</v>
      </c>
      <c r="DE60" s="52" t="str">
        <v/>
      </c>
      <c r="DF60" s="52">
        <v>0</v>
      </c>
      <c r="DG60" s="52" t="str">
        <v/>
      </c>
      <c r="DH60" s="52">
        <v>0</v>
      </c>
      <c r="DI60" s="52" t="str">
        <v/>
      </c>
      <c r="DJ60" s="52">
        <v>0</v>
      </c>
      <c r="DK60" s="52" t="str">
        <v/>
      </c>
      <c r="DL60" s="52">
        <v>0</v>
      </c>
      <c r="DM60" s="52" t="str">
        <v/>
      </c>
    </row>
    <row r="61" spans="1:117" x14ac:dyDescent="0.25">
      <c r="A61" s="54">
        <v>-1680.150000000001</v>
      </c>
      <c r="B61" s="52">
        <v>0</v>
      </c>
      <c r="C61" s="52" t="str">
        <v/>
      </c>
      <c r="D61" s="52">
        <v>0</v>
      </c>
      <c r="E61" s="52" t="str">
        <v/>
      </c>
      <c r="F61" s="52">
        <v>0</v>
      </c>
      <c r="G61" s="52" t="str">
        <v/>
      </c>
      <c r="H61" s="52">
        <v>0</v>
      </c>
      <c r="I61" s="52" t="str">
        <v/>
      </c>
      <c r="J61" s="52">
        <v>0</v>
      </c>
      <c r="K61" s="52" t="str">
        <v/>
      </c>
      <c r="L61" s="52">
        <v>0</v>
      </c>
      <c r="M61" s="52" t="str">
        <v/>
      </c>
      <c r="N61" s="52">
        <v>0</v>
      </c>
      <c r="O61" s="52">
        <v>0</v>
      </c>
      <c r="P61" s="52">
        <v>0</v>
      </c>
      <c r="Q61" s="52">
        <v>0</v>
      </c>
      <c r="R61" s="52">
        <v>0</v>
      </c>
      <c r="S61" s="52" t="str">
        <v/>
      </c>
      <c r="T61" s="52">
        <v>0</v>
      </c>
      <c r="U61" s="52" t="str">
        <v/>
      </c>
      <c r="V61" s="52">
        <v>0</v>
      </c>
      <c r="W61" s="52" t="str">
        <v/>
      </c>
      <c r="X61" s="52">
        <v>0</v>
      </c>
      <c r="Y61" s="52" t="str">
        <v/>
      </c>
      <c r="Z61" s="52">
        <v>0</v>
      </c>
      <c r="AA61" s="52">
        <v>0</v>
      </c>
      <c r="AB61" s="52">
        <v>0</v>
      </c>
      <c r="AC61" s="52" t="str">
        <v/>
      </c>
      <c r="AD61" s="52">
        <v>0</v>
      </c>
      <c r="AE61" s="52" t="str">
        <v/>
      </c>
      <c r="AF61" s="52">
        <v>0</v>
      </c>
      <c r="AG61" s="52" t="str">
        <v/>
      </c>
      <c r="AH61" s="52">
        <v>0</v>
      </c>
      <c r="AI61" s="52" t="str">
        <v/>
      </c>
      <c r="AJ61" s="52">
        <v>0</v>
      </c>
      <c r="AK61" s="52" t="str">
        <v/>
      </c>
      <c r="AL61" s="52">
        <v>0</v>
      </c>
      <c r="AM61" s="52" t="str">
        <v/>
      </c>
      <c r="AN61" s="52">
        <v>0</v>
      </c>
      <c r="AO61" s="52" t="str">
        <v/>
      </c>
      <c r="AP61" s="52">
        <v>0</v>
      </c>
      <c r="AQ61" s="52" t="str">
        <v/>
      </c>
      <c r="AR61" s="52">
        <v>0</v>
      </c>
      <c r="AS61" s="52" t="str">
        <v/>
      </c>
      <c r="AT61" s="52">
        <v>0</v>
      </c>
      <c r="AU61" s="52" t="str">
        <v/>
      </c>
      <c r="AV61" s="52">
        <v>0</v>
      </c>
      <c r="AW61" s="52" t="str">
        <v/>
      </c>
      <c r="AX61" s="52">
        <v>0</v>
      </c>
      <c r="AY61" s="52" t="str">
        <v/>
      </c>
      <c r="AZ61" s="52">
        <v>0</v>
      </c>
      <c r="BA61" s="52" t="str">
        <v/>
      </c>
      <c r="BB61" s="52">
        <v>0</v>
      </c>
      <c r="BC61" s="52" t="str">
        <v/>
      </c>
      <c r="BD61" s="52">
        <v>0</v>
      </c>
      <c r="BE61" s="52" t="str">
        <v/>
      </c>
      <c r="BF61" s="52">
        <v>0</v>
      </c>
      <c r="BG61" s="52" t="str">
        <v/>
      </c>
      <c r="BH61" s="52">
        <v>0</v>
      </c>
      <c r="BI61" s="52" t="str">
        <v/>
      </c>
      <c r="BJ61" s="52">
        <v>0</v>
      </c>
      <c r="BK61" s="52" t="str">
        <v/>
      </c>
      <c r="BL61" s="52">
        <v>0</v>
      </c>
      <c r="BM61" s="52" t="str">
        <v/>
      </c>
      <c r="BN61" s="52">
        <v>0</v>
      </c>
      <c r="BO61" s="52" t="str">
        <v/>
      </c>
      <c r="BP61" s="52">
        <v>0</v>
      </c>
      <c r="BQ61" s="52" t="str">
        <v/>
      </c>
      <c r="BR61" s="52">
        <v>0</v>
      </c>
      <c r="BS61" s="52" t="str">
        <v/>
      </c>
      <c r="BT61" s="52">
        <v>0</v>
      </c>
      <c r="BU61" s="52">
        <v>0</v>
      </c>
      <c r="BV61" s="52">
        <v>0</v>
      </c>
      <c r="BW61" s="52">
        <v>0</v>
      </c>
      <c r="BX61" s="52">
        <v>0</v>
      </c>
      <c r="BY61" s="52" t="str">
        <v/>
      </c>
      <c r="BZ61" s="52">
        <v>0</v>
      </c>
      <c r="CA61" s="52" t="str">
        <v/>
      </c>
      <c r="CB61" s="52">
        <v>0</v>
      </c>
      <c r="CC61" s="52" t="str">
        <v/>
      </c>
      <c r="CD61" s="52">
        <v>0</v>
      </c>
      <c r="CE61" s="52" t="str">
        <v/>
      </c>
      <c r="CF61" s="52">
        <v>0</v>
      </c>
      <c r="CG61" s="52" t="str">
        <v/>
      </c>
      <c r="CH61" s="52">
        <v>0</v>
      </c>
      <c r="CI61" s="52" t="str">
        <v/>
      </c>
      <c r="CJ61" s="52">
        <v>0</v>
      </c>
      <c r="CK61" s="52" t="str">
        <v/>
      </c>
      <c r="CL61" s="52">
        <v>0</v>
      </c>
      <c r="CM61" s="52" t="str">
        <v/>
      </c>
      <c r="CN61" s="52">
        <v>0</v>
      </c>
      <c r="CO61" s="52" t="str">
        <v/>
      </c>
      <c r="CP61" s="52">
        <v>0</v>
      </c>
      <c r="CQ61" s="52" t="str">
        <v/>
      </c>
      <c r="CR61" s="52">
        <v>0</v>
      </c>
      <c r="CS61" s="52" t="str">
        <v/>
      </c>
      <c r="CT61" s="52">
        <v>0</v>
      </c>
      <c r="CU61" s="52" t="str">
        <v/>
      </c>
      <c r="CV61" s="52">
        <v>0</v>
      </c>
      <c r="CW61" s="52" t="str">
        <v/>
      </c>
      <c r="CX61" s="52">
        <v>0</v>
      </c>
      <c r="CY61" s="52" t="str">
        <v/>
      </c>
      <c r="CZ61" s="52">
        <v>0</v>
      </c>
      <c r="DA61" s="52" t="str">
        <v/>
      </c>
      <c r="DB61" s="52">
        <v>0</v>
      </c>
      <c r="DC61" s="52" t="str">
        <v/>
      </c>
      <c r="DD61" s="52">
        <v>0</v>
      </c>
      <c r="DE61" s="52" t="str">
        <v/>
      </c>
      <c r="DF61" s="52">
        <v>0</v>
      </c>
      <c r="DG61" s="52" t="str">
        <v/>
      </c>
      <c r="DH61" s="52">
        <v>0</v>
      </c>
      <c r="DI61" s="52" t="str">
        <v/>
      </c>
      <c r="DJ61" s="52">
        <v>0</v>
      </c>
      <c r="DK61" s="52" t="str">
        <v/>
      </c>
      <c r="DL61" s="52">
        <v>0</v>
      </c>
      <c r="DM61" s="52" t="str">
        <v/>
      </c>
    </row>
    <row r="62" spans="1:117" x14ac:dyDescent="0.25">
      <c r="A62" s="54">
        <v>-1641.0000000000009</v>
      </c>
      <c r="B62" s="52">
        <v>0</v>
      </c>
      <c r="C62" s="52" t="str">
        <v/>
      </c>
      <c r="D62" s="52">
        <v>0</v>
      </c>
      <c r="E62" s="52" t="str">
        <v/>
      </c>
      <c r="F62" s="52">
        <v>0</v>
      </c>
      <c r="G62" s="52" t="str">
        <v/>
      </c>
      <c r="H62" s="52">
        <v>0</v>
      </c>
      <c r="I62" s="52" t="str">
        <v/>
      </c>
      <c r="J62" s="52">
        <v>0</v>
      </c>
      <c r="K62" s="52" t="str">
        <v/>
      </c>
      <c r="L62" s="52">
        <v>0</v>
      </c>
      <c r="M62" s="52" t="str">
        <v/>
      </c>
      <c r="N62" s="52">
        <v>0</v>
      </c>
      <c r="O62" s="52">
        <v>0</v>
      </c>
      <c r="P62" s="52">
        <v>0</v>
      </c>
      <c r="Q62" s="52">
        <v>0</v>
      </c>
      <c r="R62" s="52">
        <v>0</v>
      </c>
      <c r="S62" s="52" t="str">
        <v/>
      </c>
      <c r="T62" s="52">
        <v>0</v>
      </c>
      <c r="U62" s="52" t="str">
        <v/>
      </c>
      <c r="V62" s="52">
        <v>0</v>
      </c>
      <c r="W62" s="52" t="str">
        <v/>
      </c>
      <c r="X62" s="52">
        <v>0</v>
      </c>
      <c r="Y62" s="52" t="str">
        <v/>
      </c>
      <c r="Z62" s="52">
        <v>0</v>
      </c>
      <c r="AA62" s="52">
        <v>0</v>
      </c>
      <c r="AB62" s="52" t="str">
        <v>spaceExploration</v>
      </c>
      <c r="AC62" s="52" t="str">
        <v>EVA Technology</v>
      </c>
      <c r="AD62" s="52">
        <v>0</v>
      </c>
      <c r="AE62" s="52" t="str">
        <v/>
      </c>
      <c r="AF62" s="52" t="str">
        <v>commandModules</v>
      </c>
      <c r="AG62" s="52" t="str">
        <v>Command Modules</v>
      </c>
      <c r="AH62" s="52">
        <v>0</v>
      </c>
      <c r="AI62" s="52" t="str">
        <v/>
      </c>
      <c r="AJ62" s="52">
        <v>0</v>
      </c>
      <c r="AK62" s="52" t="str">
        <v/>
      </c>
      <c r="AL62" s="52">
        <v>0</v>
      </c>
      <c r="AM62" s="52" t="str">
        <v/>
      </c>
      <c r="AN62" s="52">
        <v>0</v>
      </c>
      <c r="AO62" s="52" t="str">
        <v/>
      </c>
      <c r="AP62" s="52" t="str">
        <v>heavyLanders</v>
      </c>
      <c r="AQ62" s="52" t="str">
        <v>Landers</v>
      </c>
      <c r="AR62" s="52">
        <v>0</v>
      </c>
      <c r="AS62" s="52" t="str">
        <v/>
      </c>
      <c r="AT62" s="52">
        <v>0</v>
      </c>
      <c r="AU62" s="52" t="str">
        <v/>
      </c>
      <c r="AV62" s="52">
        <v>0</v>
      </c>
      <c r="AW62" s="52" t="str">
        <v/>
      </c>
      <c r="AX62" s="52" t="str">
        <v>advStorageTech</v>
      </c>
      <c r="AY62" s="52" t="str">
        <v>Advanced Service Modules</v>
      </c>
      <c r="AZ62" s="52">
        <v>0</v>
      </c>
      <c r="BA62" s="52" t="str">
        <v/>
      </c>
      <c r="BB62" s="52" t="str">
        <v>advMetalworks</v>
      </c>
      <c r="BC62" s="52" t="str">
        <v>Advanced Metalworks</v>
      </c>
      <c r="BD62" s="52">
        <v>0</v>
      </c>
      <c r="BE62" s="52" t="str">
        <v/>
      </c>
      <c r="BF62" s="52">
        <v>0</v>
      </c>
      <c r="BG62" s="52" t="str">
        <v/>
      </c>
      <c r="BH62" s="52">
        <v>0</v>
      </c>
      <c r="BI62" s="52" t="str">
        <v/>
      </c>
      <c r="BJ62" s="52" t="str">
        <v>experimentalRadialTech</v>
      </c>
      <c r="BK62" s="52" t="str">
        <v>Experimental Radial Decouplers</v>
      </c>
      <c r="BL62" s="52">
        <v>0</v>
      </c>
      <c r="BM62" s="52" t="str">
        <v/>
      </c>
      <c r="BN62" s="52" t="str">
        <v>automation</v>
      </c>
      <c r="BO62" s="52" t="str">
        <v xml:space="preserve">Automation </v>
      </c>
      <c r="BP62" s="52">
        <v>0</v>
      </c>
      <c r="BQ62" s="52" t="str">
        <v/>
      </c>
      <c r="BR62" s="52">
        <v>0</v>
      </c>
      <c r="BS62" s="52" t="str">
        <v/>
      </c>
      <c r="BT62" s="52">
        <v>0</v>
      </c>
      <c r="BU62" s="52">
        <v>0</v>
      </c>
      <c r="BV62" s="52" t="str">
        <v>spaceStationTech</v>
      </c>
      <c r="BW62" s="52" t="str">
        <v>Space Station Technologies</v>
      </c>
      <c r="BX62" s="52">
        <v>0</v>
      </c>
      <c r="BY62" s="52" t="str">
        <v/>
      </c>
      <c r="BZ62" s="52">
        <v>0</v>
      </c>
      <c r="CA62" s="52" t="str">
        <v/>
      </c>
      <c r="CB62" s="52">
        <v>0</v>
      </c>
      <c r="CC62" s="52" t="str">
        <v/>
      </c>
      <c r="CD62" s="52">
        <v>0</v>
      </c>
      <c r="CE62" s="52" t="str">
        <v/>
      </c>
      <c r="CF62" s="52">
        <v>0</v>
      </c>
      <c r="CG62" s="52" t="str">
        <v/>
      </c>
      <c r="CH62" s="52">
        <v>0</v>
      </c>
      <c r="CI62" s="52" t="str">
        <v/>
      </c>
      <c r="CJ62" s="52">
        <v>0</v>
      </c>
      <c r="CK62" s="52" t="str">
        <v/>
      </c>
      <c r="CL62" s="52" t="str">
        <v>recycling</v>
      </c>
      <c r="CM62" s="52" t="str">
        <v>Early Recyclers</v>
      </c>
      <c r="CN62" s="52">
        <v>0</v>
      </c>
      <c r="CO62" s="52" t="str">
        <v/>
      </c>
      <c r="CP62" s="52">
        <v>0</v>
      </c>
      <c r="CQ62" s="52" t="str">
        <v/>
      </c>
      <c r="CR62" s="52">
        <v>0</v>
      </c>
      <c r="CS62" s="52" t="str">
        <v/>
      </c>
      <c r="CT62" s="52">
        <v>0</v>
      </c>
      <c r="CU62" s="52" t="str">
        <v/>
      </c>
      <c r="CV62" s="52">
        <v>0</v>
      </c>
      <c r="CW62" s="52" t="str">
        <v/>
      </c>
      <c r="CX62" s="52">
        <v>0</v>
      </c>
      <c r="CY62" s="52" t="str">
        <v/>
      </c>
      <c r="CZ62" s="52">
        <v>0</v>
      </c>
      <c r="DA62" s="52" t="str">
        <v/>
      </c>
      <c r="DB62" s="52">
        <v>0</v>
      </c>
      <c r="DC62" s="52" t="str">
        <v/>
      </c>
      <c r="DD62" s="52">
        <v>0</v>
      </c>
      <c r="DE62" s="52" t="str">
        <v/>
      </c>
      <c r="DF62" s="52">
        <v>0</v>
      </c>
      <c r="DG62" s="52" t="str">
        <v/>
      </c>
      <c r="DH62" s="52">
        <v>0</v>
      </c>
      <c r="DI62" s="52" t="str">
        <v/>
      </c>
      <c r="DJ62" s="52">
        <v>0</v>
      </c>
      <c r="DK62" s="52" t="str">
        <v/>
      </c>
      <c r="DL62" s="52">
        <v>0</v>
      </c>
      <c r="DM62" s="52" t="str">
        <v/>
      </c>
    </row>
    <row r="63" spans="1:117" x14ac:dyDescent="0.25">
      <c r="A63" s="54">
        <v>-1601.8500000000008</v>
      </c>
      <c r="B63" s="52">
        <v>0</v>
      </c>
      <c r="C63" s="52" t="str">
        <v/>
      </c>
      <c r="D63" s="52">
        <v>0</v>
      </c>
      <c r="E63" s="52" t="str">
        <v/>
      </c>
      <c r="F63" s="52">
        <v>0</v>
      </c>
      <c r="G63" s="52" t="str">
        <v/>
      </c>
      <c r="H63" s="52">
        <v>0</v>
      </c>
      <c r="I63" s="52" t="str">
        <v/>
      </c>
      <c r="J63" s="52">
        <v>0</v>
      </c>
      <c r="K63" s="52" t="str">
        <v/>
      </c>
      <c r="L63" s="52">
        <v>0</v>
      </c>
      <c r="M63" s="52" t="str">
        <v/>
      </c>
      <c r="N63" s="52">
        <v>0</v>
      </c>
      <c r="O63" s="52">
        <v>0</v>
      </c>
      <c r="P63" s="52">
        <v>0</v>
      </c>
      <c r="Q63" s="52">
        <v>0</v>
      </c>
      <c r="R63" s="52">
        <v>0</v>
      </c>
      <c r="S63" s="52" t="str">
        <v/>
      </c>
      <c r="T63" s="52">
        <v>0</v>
      </c>
      <c r="U63" s="52" t="str">
        <v/>
      </c>
      <c r="V63" s="52">
        <v>0</v>
      </c>
      <c r="W63" s="52" t="str">
        <v/>
      </c>
      <c r="X63" s="52">
        <v>0</v>
      </c>
      <c r="Y63" s="52" t="str">
        <v/>
      </c>
      <c r="Z63" s="52">
        <v>0</v>
      </c>
      <c r="AA63" s="52">
        <v>0</v>
      </c>
      <c r="AB63" s="52">
        <v>0</v>
      </c>
      <c r="AC63" s="52" t="str">
        <v/>
      </c>
      <c r="AD63" s="52">
        <v>0</v>
      </c>
      <c r="AE63" s="52" t="str">
        <v/>
      </c>
      <c r="AF63" s="52">
        <v>0</v>
      </c>
      <c r="AG63" s="52" t="str">
        <v/>
      </c>
      <c r="AH63" s="52">
        <v>0</v>
      </c>
      <c r="AI63" s="52" t="str">
        <v/>
      </c>
      <c r="AJ63" s="52">
        <v>0</v>
      </c>
      <c r="AK63" s="52" t="str">
        <v/>
      </c>
      <c r="AL63" s="52">
        <v>0</v>
      </c>
      <c r="AM63" s="52" t="str">
        <v/>
      </c>
      <c r="AN63" s="52">
        <v>0</v>
      </c>
      <c r="AO63" s="52" t="str">
        <v/>
      </c>
      <c r="AP63" s="52">
        <v>0</v>
      </c>
      <c r="AQ63" s="52" t="str">
        <v/>
      </c>
      <c r="AR63" s="52">
        <v>0</v>
      </c>
      <c r="AS63" s="52" t="str">
        <v/>
      </c>
      <c r="AT63" s="52">
        <v>0</v>
      </c>
      <c r="AU63" s="52" t="str">
        <v/>
      </c>
      <c r="AV63" s="52">
        <v>0</v>
      </c>
      <c r="AW63" s="52" t="str">
        <v/>
      </c>
      <c r="AX63" s="52">
        <v>0</v>
      </c>
      <c r="AY63" s="52" t="str">
        <v/>
      </c>
      <c r="AZ63" s="52">
        <v>0</v>
      </c>
      <c r="BA63" s="52" t="str">
        <v/>
      </c>
      <c r="BB63" s="52">
        <v>0</v>
      </c>
      <c r="BC63" s="52" t="str">
        <v/>
      </c>
      <c r="BD63" s="52">
        <v>0</v>
      </c>
      <c r="BE63" s="52" t="str">
        <v/>
      </c>
      <c r="BF63" s="52">
        <v>0</v>
      </c>
      <c r="BG63" s="52" t="str">
        <v/>
      </c>
      <c r="BH63" s="52">
        <v>0</v>
      </c>
      <c r="BI63" s="52" t="str">
        <v/>
      </c>
      <c r="BJ63" s="52">
        <v>0</v>
      </c>
      <c r="BK63" s="52" t="str">
        <v/>
      </c>
      <c r="BL63" s="52">
        <v>0</v>
      </c>
      <c r="BM63" s="52" t="str">
        <v/>
      </c>
      <c r="BN63" s="52">
        <v>0</v>
      </c>
      <c r="BO63" s="52" t="str">
        <v/>
      </c>
      <c r="BP63" s="52">
        <v>0</v>
      </c>
      <c r="BQ63" s="52" t="str">
        <v/>
      </c>
      <c r="BR63" s="52">
        <v>0</v>
      </c>
      <c r="BS63" s="52" t="str">
        <v/>
      </c>
      <c r="BT63" s="52">
        <v>0</v>
      </c>
      <c r="BU63" s="52">
        <v>0</v>
      </c>
      <c r="BV63" s="52">
        <v>0</v>
      </c>
      <c r="BW63" s="52" t="str">
        <v/>
      </c>
      <c r="BX63" s="52">
        <v>0</v>
      </c>
      <c r="BY63" s="52" t="str">
        <v/>
      </c>
      <c r="BZ63" s="52">
        <v>0</v>
      </c>
      <c r="CA63" s="52" t="str">
        <v/>
      </c>
      <c r="CB63" s="52">
        <v>0</v>
      </c>
      <c r="CC63" s="52" t="str">
        <v/>
      </c>
      <c r="CD63" s="52">
        <v>0</v>
      </c>
      <c r="CE63" s="52" t="str">
        <v/>
      </c>
      <c r="CF63" s="52">
        <v>0</v>
      </c>
      <c r="CG63" s="52" t="str">
        <v/>
      </c>
      <c r="CH63" s="52">
        <v>0</v>
      </c>
      <c r="CI63" s="52" t="str">
        <v/>
      </c>
      <c r="CJ63" s="52">
        <v>0</v>
      </c>
      <c r="CK63" s="52" t="str">
        <v/>
      </c>
      <c r="CL63" s="52">
        <v>0</v>
      </c>
      <c r="CM63" s="52" t="str">
        <v/>
      </c>
      <c r="CN63" s="52">
        <v>0</v>
      </c>
      <c r="CO63" s="52" t="str">
        <v/>
      </c>
      <c r="CP63" s="52">
        <v>0</v>
      </c>
      <c r="CQ63" s="52" t="str">
        <v/>
      </c>
      <c r="CR63" s="52">
        <v>0</v>
      </c>
      <c r="CS63" s="52" t="str">
        <v/>
      </c>
      <c r="CT63" s="52">
        <v>0</v>
      </c>
      <c r="CU63" s="52" t="str">
        <v/>
      </c>
      <c r="CV63" s="52">
        <v>0</v>
      </c>
      <c r="CW63" s="52" t="str">
        <v/>
      </c>
      <c r="CX63" s="52">
        <v>0</v>
      </c>
      <c r="CY63" s="52" t="str">
        <v/>
      </c>
      <c r="CZ63" s="52">
        <v>0</v>
      </c>
      <c r="DA63" s="52" t="str">
        <v/>
      </c>
      <c r="DB63" s="52">
        <v>0</v>
      </c>
      <c r="DC63" s="52" t="str">
        <v/>
      </c>
      <c r="DD63" s="52">
        <v>0</v>
      </c>
      <c r="DE63" s="52" t="str">
        <v/>
      </c>
      <c r="DF63" s="52">
        <v>0</v>
      </c>
      <c r="DG63" s="52" t="str">
        <v/>
      </c>
      <c r="DH63" s="52">
        <v>0</v>
      </c>
      <c r="DI63" s="52" t="str">
        <v/>
      </c>
      <c r="DJ63" s="52">
        <v>0</v>
      </c>
      <c r="DK63" s="52" t="str">
        <v/>
      </c>
      <c r="DL63" s="52">
        <v>0</v>
      </c>
      <c r="DM63" s="52" t="str">
        <v/>
      </c>
    </row>
    <row r="64" spans="1:117" x14ac:dyDescent="0.25">
      <c r="A64" s="54">
        <v>-1562.7000000000007</v>
      </c>
      <c r="B64" s="52">
        <v>0</v>
      </c>
      <c r="C64" s="52" t="str">
        <v/>
      </c>
      <c r="D64" s="52">
        <v>0</v>
      </c>
      <c r="E64" s="52" t="str">
        <v/>
      </c>
      <c r="F64" s="52">
        <v>0</v>
      </c>
      <c r="G64" s="52" t="str">
        <v/>
      </c>
      <c r="H64" s="52">
        <v>0</v>
      </c>
      <c r="I64" s="52" t="str">
        <v/>
      </c>
      <c r="J64" s="52">
        <v>0</v>
      </c>
      <c r="K64" s="52" t="str">
        <v/>
      </c>
      <c r="L64" s="52">
        <v>0</v>
      </c>
      <c r="M64" s="52" t="str">
        <v/>
      </c>
      <c r="N64" s="52">
        <v>0</v>
      </c>
      <c r="O64" s="52">
        <v>0</v>
      </c>
      <c r="P64" s="52">
        <v>0</v>
      </c>
      <c r="Q64" s="52">
        <v>0</v>
      </c>
      <c r="R64" s="52">
        <v>0</v>
      </c>
      <c r="S64" s="52" t="str">
        <v/>
      </c>
      <c r="T64" s="52">
        <v>0</v>
      </c>
      <c r="U64" s="52" t="str">
        <v/>
      </c>
      <c r="V64" s="52">
        <v>0</v>
      </c>
      <c r="W64" s="52" t="str">
        <v/>
      </c>
      <c r="X64" s="52">
        <v>0</v>
      </c>
      <c r="Y64" s="52" t="str">
        <v/>
      </c>
      <c r="Z64" s="52">
        <v>0</v>
      </c>
      <c r="AA64" s="52">
        <v>0</v>
      </c>
      <c r="AB64" s="52" t="str">
        <v>advExploration</v>
      </c>
      <c r="AC64" s="52" t="str">
        <v>Advanced Exploration</v>
      </c>
      <c r="AD64" s="52">
        <v>0</v>
      </c>
      <c r="AE64" s="52" t="str">
        <v/>
      </c>
      <c r="AF64" s="52" t="str">
        <v>heavyCommandModules</v>
      </c>
      <c r="AG64" s="52" t="str">
        <v>Heavy Command Modules</v>
      </c>
      <c r="AH64" s="52">
        <v>0</v>
      </c>
      <c r="AI64" s="52" t="str">
        <v/>
      </c>
      <c r="AJ64" s="52">
        <v>0</v>
      </c>
      <c r="AK64" s="52" t="str">
        <v/>
      </c>
      <c r="AL64" s="52">
        <v>0</v>
      </c>
      <c r="AM64" s="52" t="str">
        <v/>
      </c>
      <c r="AN64" s="52">
        <v>0</v>
      </c>
      <c r="AO64" s="52" t="str">
        <v/>
      </c>
      <c r="AP64" s="52" t="str">
        <v>specializedLanders</v>
      </c>
      <c r="AQ64" s="52" t="str">
        <v>Specialized Landers</v>
      </c>
      <c r="AR64" s="52">
        <v>0</v>
      </c>
      <c r="AS64" s="52" t="str">
        <v/>
      </c>
      <c r="AT64" s="52">
        <v>0</v>
      </c>
      <c r="AU64" s="52" t="str">
        <v/>
      </c>
      <c r="AV64" s="52">
        <v>0</v>
      </c>
      <c r="AW64" s="52" t="str">
        <v/>
      </c>
      <c r="AX64" s="52" t="str">
        <v>largeVolumeContainment</v>
      </c>
      <c r="AY64" s="52" t="str">
        <v>Large Volume Containment</v>
      </c>
      <c r="AZ64" s="52">
        <v>0</v>
      </c>
      <c r="BA64" s="52" t="str">
        <v/>
      </c>
      <c r="BB64" s="52" t="str">
        <v>nanolathing</v>
      </c>
      <c r="BC64" s="52" t="str">
        <v xml:space="preserve">Nanolathing </v>
      </c>
      <c r="BD64" s="52">
        <v>0</v>
      </c>
      <c r="BE64" s="52" t="str">
        <v/>
      </c>
      <c r="BF64" s="52" t="str">
        <v>composites</v>
      </c>
      <c r="BG64" s="52" t="str">
        <v xml:space="preserve">Composites </v>
      </c>
      <c r="BH64" s="52">
        <v>0</v>
      </c>
      <c r="BI64" s="52" t="str">
        <v/>
      </c>
      <c r="BJ64" s="52">
        <v>0</v>
      </c>
      <c r="BK64" s="52" t="str">
        <v/>
      </c>
      <c r="BL64" s="52">
        <v>0</v>
      </c>
      <c r="BM64" s="52" t="str">
        <v/>
      </c>
      <c r="BN64" s="52">
        <v>0</v>
      </c>
      <c r="BO64" s="52" t="str">
        <v/>
      </c>
      <c r="BP64" s="52">
        <v>0</v>
      </c>
      <c r="BQ64" s="52" t="str">
        <v/>
      </c>
      <c r="BR64" s="52">
        <v>0</v>
      </c>
      <c r="BS64" s="52" t="str">
        <v/>
      </c>
      <c r="BT64" s="52">
        <v>0</v>
      </c>
      <c r="BU64" s="52">
        <v>0</v>
      </c>
      <c r="BV64" s="52" t="str">
        <v>shortTermHabitation</v>
      </c>
      <c r="BW64" s="52" t="str">
        <v>Short-term Habitation</v>
      </c>
      <c r="BX64" s="52">
        <v>0</v>
      </c>
      <c r="BY64" s="52" t="str">
        <v/>
      </c>
      <c r="BZ64" s="52">
        <v>0</v>
      </c>
      <c r="CA64" s="52" t="str">
        <v/>
      </c>
      <c r="CB64" s="52">
        <v>0</v>
      </c>
      <c r="CC64" s="52" t="str">
        <v/>
      </c>
      <c r="CD64" s="52">
        <v>0</v>
      </c>
      <c r="CE64" s="52" t="str">
        <v/>
      </c>
      <c r="CF64" s="52">
        <v>0</v>
      </c>
      <c r="CG64" s="52" t="str">
        <v/>
      </c>
      <c r="CH64" s="52">
        <v>0</v>
      </c>
      <c r="CI64" s="52" t="str">
        <v/>
      </c>
      <c r="CJ64" s="52">
        <v>0</v>
      </c>
      <c r="CK64" s="52" t="str">
        <v/>
      </c>
      <c r="CL64" s="52" t="str">
        <v>hydroponics</v>
      </c>
      <c r="CM64" s="52" t="str">
        <v xml:space="preserve">Hydroponics </v>
      </c>
      <c r="CN64" s="52">
        <v>0</v>
      </c>
      <c r="CO64" s="52" t="str">
        <v/>
      </c>
      <c r="CP64" s="52">
        <v>0</v>
      </c>
      <c r="CQ64" s="52" t="str">
        <v/>
      </c>
      <c r="CR64" s="52">
        <v>0</v>
      </c>
      <c r="CS64" s="52" t="str">
        <v/>
      </c>
      <c r="CT64" s="52">
        <v>0</v>
      </c>
      <c r="CU64" s="52" t="str">
        <v/>
      </c>
      <c r="CV64" s="52">
        <v>0</v>
      </c>
      <c r="CW64" s="52" t="str">
        <v/>
      </c>
      <c r="CX64" s="52">
        <v>0</v>
      </c>
      <c r="CY64" s="52" t="str">
        <v/>
      </c>
      <c r="CZ64" s="52">
        <v>0</v>
      </c>
      <c r="DA64" s="52" t="str">
        <v/>
      </c>
      <c r="DB64" s="52">
        <v>0</v>
      </c>
      <c r="DC64" s="52" t="str">
        <v/>
      </c>
      <c r="DD64" s="52">
        <v>0</v>
      </c>
      <c r="DE64" s="52" t="str">
        <v/>
      </c>
      <c r="DF64" s="52">
        <v>0</v>
      </c>
      <c r="DG64" s="52" t="str">
        <v/>
      </c>
      <c r="DH64" s="52">
        <v>0</v>
      </c>
      <c r="DI64" s="52" t="str">
        <v/>
      </c>
      <c r="DJ64" s="52">
        <v>0</v>
      </c>
      <c r="DK64" s="52" t="str">
        <v/>
      </c>
      <c r="DL64" s="52">
        <v>0</v>
      </c>
      <c r="DM64" s="52" t="str">
        <v/>
      </c>
    </row>
    <row r="65" spans="1:117" x14ac:dyDescent="0.25">
      <c r="A65" s="54">
        <v>-1523.5500000000006</v>
      </c>
      <c r="B65" s="52">
        <v>0</v>
      </c>
      <c r="C65" s="52" t="str">
        <v/>
      </c>
      <c r="D65" s="52">
        <v>0</v>
      </c>
      <c r="E65" s="52" t="str">
        <v/>
      </c>
      <c r="F65" s="52">
        <v>0</v>
      </c>
      <c r="G65" s="52" t="str">
        <v/>
      </c>
      <c r="H65" s="52">
        <v>0</v>
      </c>
      <c r="I65" s="52" t="str">
        <v/>
      </c>
      <c r="J65" s="52">
        <v>0</v>
      </c>
      <c r="K65" s="52" t="str">
        <v/>
      </c>
      <c r="L65" s="52">
        <v>0</v>
      </c>
      <c r="M65" s="52" t="str">
        <v/>
      </c>
      <c r="N65" s="52">
        <v>0</v>
      </c>
      <c r="O65" s="52">
        <v>0</v>
      </c>
      <c r="P65" s="52">
        <v>0</v>
      </c>
      <c r="Q65" s="52">
        <v>0</v>
      </c>
      <c r="R65" s="52">
        <v>0</v>
      </c>
      <c r="S65" s="52" t="str">
        <v/>
      </c>
      <c r="T65" s="52">
        <v>0</v>
      </c>
      <c r="U65" s="52" t="str">
        <v/>
      </c>
      <c r="V65" s="52">
        <v>0</v>
      </c>
      <c r="W65" s="52" t="str">
        <v/>
      </c>
      <c r="X65" s="52">
        <v>0</v>
      </c>
      <c r="Y65" s="52" t="str">
        <v/>
      </c>
      <c r="Z65" s="52">
        <v>0</v>
      </c>
      <c r="AA65" s="52" t="str">
        <v/>
      </c>
      <c r="AB65" s="52">
        <v>0</v>
      </c>
      <c r="AC65" s="52" t="str">
        <v/>
      </c>
      <c r="AD65" s="52">
        <v>0</v>
      </c>
      <c r="AE65" s="52" t="str">
        <v/>
      </c>
      <c r="AF65" s="52">
        <v>0</v>
      </c>
      <c r="AG65" s="52" t="str">
        <v/>
      </c>
      <c r="AH65" s="52">
        <v>0</v>
      </c>
      <c r="AI65" s="52" t="str">
        <v/>
      </c>
      <c r="AJ65" s="52">
        <v>0</v>
      </c>
      <c r="AK65" s="52" t="str">
        <v/>
      </c>
      <c r="AL65" s="52">
        <v>0</v>
      </c>
      <c r="AM65" s="52" t="str">
        <v/>
      </c>
      <c r="AN65" s="52">
        <v>0</v>
      </c>
      <c r="AO65" s="52" t="str">
        <v/>
      </c>
      <c r="AP65" s="52">
        <v>0</v>
      </c>
      <c r="AQ65" s="52" t="str">
        <v/>
      </c>
      <c r="AR65" s="52">
        <v>0</v>
      </c>
      <c r="AS65" s="52" t="str">
        <v/>
      </c>
      <c r="AT65" s="52">
        <v>0</v>
      </c>
      <c r="AU65" s="52" t="str">
        <v/>
      </c>
      <c r="AV65" s="52">
        <v>0</v>
      </c>
      <c r="AW65" s="52" t="str">
        <v/>
      </c>
      <c r="AX65" s="52">
        <v>0</v>
      </c>
      <c r="AY65" s="52" t="str">
        <v/>
      </c>
      <c r="AZ65" s="52">
        <v>0</v>
      </c>
      <c r="BA65" s="52" t="str">
        <v/>
      </c>
      <c r="BB65" s="52">
        <v>0</v>
      </c>
      <c r="BC65" s="52" t="str">
        <v/>
      </c>
      <c r="BD65" s="52">
        <v>0</v>
      </c>
      <c r="BE65" s="52" t="str">
        <v/>
      </c>
      <c r="BF65" s="52">
        <v>0</v>
      </c>
      <c r="BG65" s="52" t="str">
        <v/>
      </c>
      <c r="BH65" s="52">
        <v>0</v>
      </c>
      <c r="BI65" s="52" t="str">
        <v/>
      </c>
      <c r="BJ65" s="52">
        <v>0</v>
      </c>
      <c r="BK65" s="52" t="str">
        <v/>
      </c>
      <c r="BL65" s="52">
        <v>0</v>
      </c>
      <c r="BM65" s="52" t="str">
        <v/>
      </c>
      <c r="BN65" s="52">
        <v>0</v>
      </c>
      <c r="BO65" s="52" t="str">
        <v/>
      </c>
      <c r="BP65" s="52">
        <v>0</v>
      </c>
      <c r="BQ65" s="52" t="str">
        <v/>
      </c>
      <c r="BR65" s="52">
        <v>0</v>
      </c>
      <c r="BS65" s="52" t="str">
        <v/>
      </c>
      <c r="BT65" s="52">
        <v>0</v>
      </c>
      <c r="BU65" s="52">
        <v>0</v>
      </c>
      <c r="BV65" s="52">
        <v>0</v>
      </c>
      <c r="BW65" s="52" t="str">
        <v/>
      </c>
      <c r="BX65" s="52">
        <v>0</v>
      </c>
      <c r="BY65" s="52" t="str">
        <v/>
      </c>
      <c r="BZ65" s="52">
        <v>0</v>
      </c>
      <c r="CA65" s="52" t="str">
        <v/>
      </c>
      <c r="CB65" s="52">
        <v>0</v>
      </c>
      <c r="CC65" s="52" t="str">
        <v/>
      </c>
      <c r="CD65" s="52">
        <v>0</v>
      </c>
      <c r="CE65" s="52" t="str">
        <v/>
      </c>
      <c r="CF65" s="52">
        <v>0</v>
      </c>
      <c r="CG65" s="52" t="str">
        <v/>
      </c>
      <c r="CH65" s="52">
        <v>0</v>
      </c>
      <c r="CI65" s="52" t="str">
        <v/>
      </c>
      <c r="CJ65" s="52">
        <v>0</v>
      </c>
      <c r="CK65" s="52" t="str">
        <v/>
      </c>
      <c r="CL65" s="52">
        <v>0</v>
      </c>
      <c r="CM65" s="52" t="str">
        <v/>
      </c>
      <c r="CN65" s="52">
        <v>0</v>
      </c>
      <c r="CO65" s="52" t="str">
        <v/>
      </c>
      <c r="CP65" s="52">
        <v>0</v>
      </c>
      <c r="CQ65" s="52" t="str">
        <v/>
      </c>
      <c r="CR65" s="52">
        <v>0</v>
      </c>
      <c r="CS65" s="52" t="str">
        <v/>
      </c>
      <c r="CT65" s="52">
        <v>0</v>
      </c>
      <c r="CU65" s="52" t="str">
        <v/>
      </c>
      <c r="CV65" s="52">
        <v>0</v>
      </c>
      <c r="CW65" s="52" t="str">
        <v/>
      </c>
      <c r="CX65" s="52">
        <v>0</v>
      </c>
      <c r="CY65" s="52" t="str">
        <v/>
      </c>
      <c r="CZ65" s="52">
        <v>0</v>
      </c>
      <c r="DA65" s="52" t="str">
        <v/>
      </c>
      <c r="DB65" s="52">
        <v>0</v>
      </c>
      <c r="DC65" s="52" t="str">
        <v/>
      </c>
      <c r="DD65" s="52">
        <v>0</v>
      </c>
      <c r="DE65" s="52" t="str">
        <v/>
      </c>
      <c r="DF65" s="52">
        <v>0</v>
      </c>
      <c r="DG65" s="52" t="str">
        <v/>
      </c>
      <c r="DH65" s="52">
        <v>0</v>
      </c>
      <c r="DI65" s="52" t="str">
        <v/>
      </c>
      <c r="DJ65" s="52">
        <v>0</v>
      </c>
      <c r="DK65" s="52" t="str">
        <v/>
      </c>
      <c r="DL65" s="52">
        <v>0</v>
      </c>
      <c r="DM65" s="52" t="str">
        <v/>
      </c>
    </row>
    <row r="66" spans="1:117" x14ac:dyDescent="0.25">
      <c r="A66" s="54">
        <v>-1484.4000000000005</v>
      </c>
      <c r="B66" s="52">
        <v>0</v>
      </c>
      <c r="C66" s="52" t="str">
        <v/>
      </c>
      <c r="D66" s="52">
        <v>0</v>
      </c>
      <c r="E66" s="52" t="str">
        <v/>
      </c>
      <c r="F66" s="52">
        <v>0</v>
      </c>
      <c r="G66" s="52" t="str">
        <v/>
      </c>
      <c r="H66" s="52">
        <v>0</v>
      </c>
      <c r="I66" s="52" t="str">
        <v/>
      </c>
      <c r="J66" s="52">
        <v>0</v>
      </c>
      <c r="K66" s="52" t="str">
        <v/>
      </c>
      <c r="L66" s="52">
        <v>0</v>
      </c>
      <c r="M66" s="52" t="str">
        <v/>
      </c>
      <c r="N66" s="52">
        <v>0</v>
      </c>
      <c r="O66" s="52">
        <v>0</v>
      </c>
      <c r="P66" s="52">
        <v>0</v>
      </c>
      <c r="Q66" s="52">
        <v>0</v>
      </c>
      <c r="R66" s="52">
        <v>0</v>
      </c>
      <c r="S66" s="52" t="str">
        <v/>
      </c>
      <c r="T66" s="52">
        <v>0</v>
      </c>
      <c r="U66" s="52" t="str">
        <v/>
      </c>
      <c r="V66" s="52">
        <v>0</v>
      </c>
      <c r="W66" s="52" t="str">
        <v/>
      </c>
      <c r="X66" s="52">
        <v>0</v>
      </c>
      <c r="Y66" s="52">
        <v>0</v>
      </c>
      <c r="Z66" s="52">
        <v>0</v>
      </c>
      <c r="AA66" s="52" t="str">
        <v/>
      </c>
      <c r="AB66" s="52">
        <v>0</v>
      </c>
      <c r="AC66" s="52" t="str">
        <v/>
      </c>
      <c r="AD66" s="52">
        <v>0</v>
      </c>
      <c r="AE66" s="52" t="str">
        <v/>
      </c>
      <c r="AF66" s="52" t="str">
        <v>specializedCommandModules</v>
      </c>
      <c r="AG66" s="52" t="str">
        <v>Specialized Command Modules</v>
      </c>
      <c r="AH66" s="52">
        <v>0</v>
      </c>
      <c r="AI66" s="52" t="str">
        <v/>
      </c>
      <c r="AJ66" s="52" t="str">
        <v>heavyCommandCenters</v>
      </c>
      <c r="AK66" s="52" t="str">
        <v>Heavy Command Centers</v>
      </c>
      <c r="AL66" s="52">
        <v>0</v>
      </c>
      <c r="AM66" s="52" t="str">
        <v/>
      </c>
      <c r="AN66" s="52">
        <v>0</v>
      </c>
      <c r="AO66" s="52" t="str">
        <v/>
      </c>
      <c r="AP66" s="52" t="str">
        <v>logistics</v>
      </c>
      <c r="AQ66" s="52" t="str">
        <v>Logistics Engineering</v>
      </c>
      <c r="AR66" s="52">
        <v>0</v>
      </c>
      <c r="AS66" s="52" t="str">
        <v/>
      </c>
      <c r="AT66" s="52">
        <v>0</v>
      </c>
      <c r="AU66" s="52" t="str">
        <v/>
      </c>
      <c r="AV66" s="52">
        <v>0</v>
      </c>
      <c r="AW66" s="52" t="str">
        <v/>
      </c>
      <c r="AX66" s="52">
        <v>0</v>
      </c>
      <c r="AY66" s="52" t="str">
        <v/>
      </c>
      <c r="AZ66" s="52">
        <v>0</v>
      </c>
      <c r="BA66" s="52" t="str">
        <v/>
      </c>
      <c r="BB66" s="52" t="str">
        <v>exoticAlloys</v>
      </c>
      <c r="BC66" s="52" t="str">
        <v>Exotic Alloys</v>
      </c>
      <c r="BD66" s="52">
        <v>0</v>
      </c>
      <c r="BE66" s="52" t="str">
        <v/>
      </c>
      <c r="BF66" s="52" t="str">
        <v>metaMaterials</v>
      </c>
      <c r="BG66" s="52" t="str">
        <v xml:space="preserve">Metamaterials </v>
      </c>
      <c r="BH66" s="52">
        <v>0</v>
      </c>
      <c r="BI66" s="52" t="str">
        <v/>
      </c>
      <c r="BJ66" s="52">
        <v>0</v>
      </c>
      <c r="BK66" s="52" t="str">
        <v/>
      </c>
      <c r="BL66" s="52">
        <v>0</v>
      </c>
      <c r="BM66" s="52" t="str">
        <v/>
      </c>
      <c r="BN66" s="52">
        <v>0</v>
      </c>
      <c r="BO66" s="52" t="str">
        <v/>
      </c>
      <c r="BP66" s="52">
        <v>0</v>
      </c>
      <c r="BQ66" s="52" t="str">
        <v/>
      </c>
      <c r="BR66" s="52">
        <v>0</v>
      </c>
      <c r="BS66" s="52" t="str">
        <v/>
      </c>
      <c r="BT66" s="52">
        <v>0</v>
      </c>
      <c r="BU66" s="52">
        <v>0</v>
      </c>
      <c r="BV66" s="52" t="str">
        <v>longTermHabitation</v>
      </c>
      <c r="BW66" s="52" t="str">
        <v>Long-term Habitation</v>
      </c>
      <c r="BX66" s="52">
        <v>0</v>
      </c>
      <c r="BY66" s="52" t="str">
        <v/>
      </c>
      <c r="BZ66" s="52">
        <v>0</v>
      </c>
      <c r="CA66" s="52" t="str">
        <v/>
      </c>
      <c r="CB66" s="52">
        <v>0</v>
      </c>
      <c r="CC66" s="52" t="str">
        <v/>
      </c>
      <c r="CD66" s="52">
        <v>0</v>
      </c>
      <c r="CE66" s="52" t="str">
        <v/>
      </c>
      <c r="CF66" s="52">
        <v>0</v>
      </c>
      <c r="CG66" s="52" t="str">
        <v/>
      </c>
      <c r="CH66" s="52">
        <v>0</v>
      </c>
      <c r="CI66" s="52" t="str">
        <v/>
      </c>
      <c r="CJ66" s="52">
        <v>0</v>
      </c>
      <c r="CK66" s="52" t="str">
        <v/>
      </c>
      <c r="CL66" s="52">
        <v>0</v>
      </c>
      <c r="CM66" s="52" t="str">
        <v/>
      </c>
      <c r="CN66" s="52">
        <v>0</v>
      </c>
      <c r="CO66" s="52" t="str">
        <v/>
      </c>
      <c r="CP66" s="52">
        <v>0</v>
      </c>
      <c r="CQ66" s="52" t="str">
        <v/>
      </c>
      <c r="CR66" s="52">
        <v>0</v>
      </c>
      <c r="CS66" s="52" t="str">
        <v/>
      </c>
      <c r="CT66" s="52">
        <v>0</v>
      </c>
      <c r="CU66" s="52" t="str">
        <v/>
      </c>
      <c r="CV66" s="52">
        <v>0</v>
      </c>
      <c r="CW66" s="52" t="str">
        <v/>
      </c>
      <c r="CX66" s="52">
        <v>0</v>
      </c>
      <c r="CY66" s="52" t="str">
        <v/>
      </c>
      <c r="CZ66" s="52">
        <v>0</v>
      </c>
      <c r="DA66" s="52" t="str">
        <v/>
      </c>
      <c r="DB66" s="52">
        <v>0</v>
      </c>
      <c r="DC66" s="52" t="str">
        <v/>
      </c>
      <c r="DD66" s="52">
        <v>0</v>
      </c>
      <c r="DE66" s="52" t="str">
        <v/>
      </c>
      <c r="DF66" s="52">
        <v>0</v>
      </c>
      <c r="DG66" s="52" t="str">
        <v/>
      </c>
      <c r="DH66" s="52">
        <v>0</v>
      </c>
      <c r="DI66" s="52" t="str">
        <v/>
      </c>
      <c r="DJ66" s="52">
        <v>0</v>
      </c>
      <c r="DK66" s="52" t="str">
        <v/>
      </c>
      <c r="DL66" s="52">
        <v>0</v>
      </c>
      <c r="DM66" s="52" t="str">
        <v/>
      </c>
    </row>
    <row r="67" spans="1:117" x14ac:dyDescent="0.25">
      <c r="A67" s="54">
        <v>-1445.2500000000005</v>
      </c>
      <c r="B67" s="52">
        <v>0</v>
      </c>
      <c r="C67" s="52" t="str">
        <v/>
      </c>
      <c r="D67" s="52">
        <v>0</v>
      </c>
      <c r="E67" s="52" t="str">
        <v/>
      </c>
      <c r="F67" s="52">
        <v>0</v>
      </c>
      <c r="G67" s="52" t="str">
        <v/>
      </c>
      <c r="H67" s="52">
        <v>0</v>
      </c>
      <c r="I67" s="52" t="str">
        <v/>
      </c>
      <c r="J67" s="52">
        <v>0</v>
      </c>
      <c r="K67" s="52" t="str">
        <v/>
      </c>
      <c r="L67" s="52">
        <v>0</v>
      </c>
      <c r="M67" s="52" t="str">
        <v/>
      </c>
      <c r="N67" s="52">
        <v>0</v>
      </c>
      <c r="O67" s="52" t="str">
        <v/>
      </c>
      <c r="P67" s="52">
        <v>0</v>
      </c>
      <c r="Q67" s="52" t="str">
        <v/>
      </c>
      <c r="R67" s="52">
        <v>0</v>
      </c>
      <c r="S67" s="52" t="str">
        <v/>
      </c>
      <c r="T67" s="52">
        <v>0</v>
      </c>
      <c r="U67" s="52" t="str">
        <v/>
      </c>
      <c r="V67" s="52">
        <v>0</v>
      </c>
      <c r="W67" s="52" t="str">
        <v/>
      </c>
      <c r="X67" s="52">
        <v>0</v>
      </c>
      <c r="Y67" s="52">
        <v>0</v>
      </c>
      <c r="Z67" s="52">
        <v>0</v>
      </c>
      <c r="AA67" s="52" t="str">
        <v/>
      </c>
      <c r="AB67" s="52">
        <v>0</v>
      </c>
      <c r="AC67" s="52" t="str">
        <v/>
      </c>
      <c r="AD67" s="52">
        <v>0</v>
      </c>
      <c r="AE67" s="52" t="str">
        <v/>
      </c>
      <c r="AF67" s="52">
        <v>0</v>
      </c>
      <c r="AG67" s="52" t="str">
        <v/>
      </c>
      <c r="AH67" s="52">
        <v>0</v>
      </c>
      <c r="AI67" s="52" t="str">
        <v/>
      </c>
      <c r="AJ67" s="52">
        <v>0</v>
      </c>
      <c r="AK67" s="52" t="str">
        <v/>
      </c>
      <c r="AL67" s="52">
        <v>0</v>
      </c>
      <c r="AM67" s="52" t="str">
        <v/>
      </c>
      <c r="AN67" s="52">
        <v>0</v>
      </c>
      <c r="AO67" s="52" t="str">
        <v/>
      </c>
      <c r="AP67" s="52">
        <v>0</v>
      </c>
      <c r="AQ67" s="52" t="str">
        <v/>
      </c>
      <c r="AR67" s="52">
        <v>0</v>
      </c>
      <c r="AS67" s="52" t="str">
        <v/>
      </c>
      <c r="AT67" s="52">
        <v>0</v>
      </c>
      <c r="AU67" s="52" t="str">
        <v/>
      </c>
      <c r="AV67" s="52">
        <v>0</v>
      </c>
      <c r="AW67" s="52" t="str">
        <v/>
      </c>
      <c r="AX67" s="52">
        <v>0</v>
      </c>
      <c r="AY67" s="52" t="str">
        <v/>
      </c>
      <c r="AZ67" s="52">
        <v>0</v>
      </c>
      <c r="BA67" s="52" t="str">
        <v/>
      </c>
      <c r="BB67" s="52">
        <v>0</v>
      </c>
      <c r="BC67" s="52" t="str">
        <v/>
      </c>
      <c r="BD67" s="52">
        <v>0</v>
      </c>
      <c r="BE67" s="52" t="str">
        <v/>
      </c>
      <c r="BF67" s="52">
        <v>0</v>
      </c>
      <c r="BG67" s="52" t="str">
        <v/>
      </c>
      <c r="BH67" s="52">
        <v>0</v>
      </c>
      <c r="BI67" s="52" t="str">
        <v/>
      </c>
      <c r="BJ67" s="52">
        <v>0</v>
      </c>
      <c r="BK67" s="52" t="str">
        <v/>
      </c>
      <c r="BL67" s="52">
        <v>0</v>
      </c>
      <c r="BM67" s="52" t="str">
        <v/>
      </c>
      <c r="BN67" s="52">
        <v>0</v>
      </c>
      <c r="BO67" s="52" t="str">
        <v/>
      </c>
      <c r="BP67" s="52">
        <v>0</v>
      </c>
      <c r="BQ67" s="52" t="str">
        <v/>
      </c>
      <c r="BR67" s="52">
        <v>0</v>
      </c>
      <c r="BS67" s="52" t="str">
        <v/>
      </c>
      <c r="BT67" s="52">
        <v>0</v>
      </c>
      <c r="BU67" s="52">
        <v>0</v>
      </c>
      <c r="BV67" s="52">
        <v>0</v>
      </c>
      <c r="BW67" s="52">
        <v>0</v>
      </c>
      <c r="BX67" s="52">
        <v>0</v>
      </c>
      <c r="BY67" s="52" t="str">
        <v/>
      </c>
      <c r="BZ67" s="52">
        <v>0</v>
      </c>
      <c r="CA67" s="52" t="str">
        <v/>
      </c>
      <c r="CB67" s="52">
        <v>0</v>
      </c>
      <c r="CC67" s="52" t="str">
        <v/>
      </c>
      <c r="CD67" s="52">
        <v>0</v>
      </c>
      <c r="CE67" s="52" t="str">
        <v/>
      </c>
      <c r="CF67" s="52">
        <v>0</v>
      </c>
      <c r="CG67" s="52" t="str">
        <v/>
      </c>
      <c r="CH67" s="52">
        <v>0</v>
      </c>
      <c r="CI67" s="52" t="str">
        <v/>
      </c>
      <c r="CJ67" s="52">
        <v>0</v>
      </c>
      <c r="CK67" s="52" t="str">
        <v/>
      </c>
      <c r="CL67" s="52">
        <v>0</v>
      </c>
      <c r="CM67" s="52" t="str">
        <v/>
      </c>
      <c r="CN67" s="52">
        <v>0</v>
      </c>
      <c r="CO67" s="52" t="str">
        <v/>
      </c>
      <c r="CP67" s="52">
        <v>0</v>
      </c>
      <c r="CQ67" s="52" t="str">
        <v/>
      </c>
      <c r="CR67" s="52">
        <v>0</v>
      </c>
      <c r="CS67" s="52" t="str">
        <v/>
      </c>
      <c r="CT67" s="52">
        <v>0</v>
      </c>
      <c r="CU67" s="52" t="str">
        <v/>
      </c>
      <c r="CV67" s="52">
        <v>0</v>
      </c>
      <c r="CW67" s="52" t="str">
        <v/>
      </c>
      <c r="CX67" s="52">
        <v>0</v>
      </c>
      <c r="CY67" s="52" t="str">
        <v/>
      </c>
      <c r="CZ67" s="52">
        <v>0</v>
      </c>
      <c r="DA67" s="52" t="str">
        <v/>
      </c>
      <c r="DB67" s="52">
        <v>0</v>
      </c>
      <c r="DC67" s="52" t="str">
        <v/>
      </c>
      <c r="DD67" s="52">
        <v>0</v>
      </c>
      <c r="DE67" s="52" t="str">
        <v/>
      </c>
      <c r="DF67" s="52">
        <v>0</v>
      </c>
      <c r="DG67" s="52" t="str">
        <v/>
      </c>
      <c r="DH67" s="52">
        <v>0</v>
      </c>
      <c r="DI67" s="52" t="str">
        <v/>
      </c>
      <c r="DJ67" s="52">
        <v>0</v>
      </c>
      <c r="DK67" s="52" t="str">
        <v/>
      </c>
      <c r="DL67" s="52">
        <v>0</v>
      </c>
      <c r="DM67" s="52" t="str">
        <v/>
      </c>
    </row>
    <row r="68" spans="1:117" x14ac:dyDescent="0.25">
      <c r="A68" s="54">
        <v>-1406.1000000000004</v>
      </c>
      <c r="B68" s="52">
        <v>0</v>
      </c>
      <c r="C68" s="52" t="str">
        <v/>
      </c>
      <c r="D68" s="52">
        <v>0</v>
      </c>
      <c r="E68" s="52" t="str">
        <v/>
      </c>
      <c r="F68" s="52">
        <v>0</v>
      </c>
      <c r="G68" s="52" t="str">
        <v/>
      </c>
      <c r="H68" s="52">
        <v>0</v>
      </c>
      <c r="I68" s="52" t="str">
        <v/>
      </c>
      <c r="J68" s="52">
        <v>0</v>
      </c>
      <c r="K68" s="52" t="str">
        <v/>
      </c>
      <c r="L68" s="52">
        <v>0</v>
      </c>
      <c r="M68" s="52" t="str">
        <v/>
      </c>
      <c r="N68" s="52">
        <v>0</v>
      </c>
      <c r="O68" s="52" t="str">
        <v/>
      </c>
      <c r="P68" s="52">
        <v>0</v>
      </c>
      <c r="Q68" s="52" t="str">
        <v/>
      </c>
      <c r="R68" s="52">
        <v>0</v>
      </c>
      <c r="S68" s="52" t="str">
        <v/>
      </c>
      <c r="T68" s="52">
        <v>0</v>
      </c>
      <c r="U68" s="52" t="str">
        <v/>
      </c>
      <c r="V68" s="52">
        <v>0</v>
      </c>
      <c r="W68" s="52" t="str">
        <v/>
      </c>
      <c r="X68" s="52">
        <v>0</v>
      </c>
      <c r="Y68" s="52">
        <v>0</v>
      </c>
      <c r="Z68" s="52">
        <v>0</v>
      </c>
      <c r="AA68" s="52" t="str">
        <v/>
      </c>
      <c r="AB68" s="52">
        <v>0</v>
      </c>
      <c r="AC68" s="52" t="str">
        <v/>
      </c>
      <c r="AD68" s="52">
        <v>0</v>
      </c>
      <c r="AE68" s="52" t="str">
        <v/>
      </c>
      <c r="AF68" s="52">
        <v>0</v>
      </c>
      <c r="AG68" s="52" t="str">
        <v/>
      </c>
      <c r="AH68" s="52">
        <v>0</v>
      </c>
      <c r="AI68" s="52" t="str">
        <v/>
      </c>
      <c r="AJ68" s="52" t="str">
        <v>specializedCommandCenters</v>
      </c>
      <c r="AK68" s="52" t="str">
        <v>Specialized Command Centers</v>
      </c>
      <c r="AL68" s="52">
        <v>0</v>
      </c>
      <c r="AM68" s="52" t="str">
        <v/>
      </c>
      <c r="AN68" s="52">
        <v>0</v>
      </c>
      <c r="AO68" s="52" t="str">
        <v/>
      </c>
      <c r="AP68" s="52" t="str">
        <v>advLogistics</v>
      </c>
      <c r="AQ68" s="52" t="str">
        <v>Advanced Logistics</v>
      </c>
      <c r="AR68" s="52">
        <v>0</v>
      </c>
      <c r="AS68" s="52" t="str">
        <v/>
      </c>
      <c r="AT68" s="52">
        <v>0</v>
      </c>
      <c r="AU68" s="52" t="str">
        <v/>
      </c>
      <c r="AV68" s="52">
        <v>0</v>
      </c>
      <c r="AW68" s="52" t="str">
        <v/>
      </c>
      <c r="AX68" s="52">
        <v>0</v>
      </c>
      <c r="AY68" s="52" t="str">
        <v/>
      </c>
      <c r="AZ68" s="52">
        <v>0</v>
      </c>
      <c r="BA68" s="52" t="str">
        <v/>
      </c>
      <c r="BB68" s="52">
        <v>0</v>
      </c>
      <c r="BC68" s="52" t="str">
        <v/>
      </c>
      <c r="BD68" s="52">
        <v>0</v>
      </c>
      <c r="BE68" s="52" t="str">
        <v/>
      </c>
      <c r="BF68" s="52">
        <v>0</v>
      </c>
      <c r="BG68" s="52" t="str">
        <v/>
      </c>
      <c r="BH68" s="52">
        <v>0</v>
      </c>
      <c r="BI68" s="52" t="str">
        <v/>
      </c>
      <c r="BJ68" s="52">
        <v>0</v>
      </c>
      <c r="BK68" s="52" t="str">
        <v/>
      </c>
      <c r="BL68" s="52">
        <v>0</v>
      </c>
      <c r="BM68" s="52" t="str">
        <v/>
      </c>
      <c r="BN68" s="52" t="str">
        <v>mechatronics</v>
      </c>
      <c r="BO68" s="52" t="str">
        <v xml:space="preserve">Mechatronics </v>
      </c>
      <c r="BP68" s="52">
        <v>0</v>
      </c>
      <c r="BQ68" s="52" t="str">
        <v/>
      </c>
      <c r="BR68" s="52" t="str">
        <v>experimentalActuators</v>
      </c>
      <c r="BS68" s="52" t="str">
        <v>Experimental Actuators</v>
      </c>
      <c r="BT68" s="52">
        <v>0</v>
      </c>
      <c r="BU68" s="52" t="str">
        <v/>
      </c>
      <c r="BV68" s="52" t="str">
        <v>artificialIntelligence</v>
      </c>
      <c r="BW68" s="52" t="str">
        <v>Robotics</v>
      </c>
      <c r="BX68" s="52">
        <v>0</v>
      </c>
      <c r="BY68" s="52" t="str">
        <v/>
      </c>
      <c r="BZ68" s="52" t="str">
        <v>orbitalAssembly</v>
      </c>
      <c r="CA68" s="52" t="str">
        <v>Orbital Assembly</v>
      </c>
      <c r="CB68" s="52">
        <v>0</v>
      </c>
      <c r="CC68" s="52" t="str">
        <v/>
      </c>
      <c r="CD68" s="52" t="str">
        <v>orbitalMegastructures</v>
      </c>
      <c r="CE68" s="52" t="str">
        <v>Orbital Megastructures</v>
      </c>
      <c r="CF68" s="52">
        <v>0</v>
      </c>
      <c r="CG68" s="52" t="str">
        <v/>
      </c>
      <c r="CH68" s="52" t="str">
        <v>offWorldManufacturing</v>
      </c>
      <c r="CI68" s="52" t="str">
        <v>Off-world Manufacturing</v>
      </c>
      <c r="CJ68" s="52">
        <v>0</v>
      </c>
      <c r="CK68" s="52" t="str">
        <v/>
      </c>
      <c r="CL68" s="52">
        <v>0</v>
      </c>
      <c r="CM68" s="52" t="str">
        <v/>
      </c>
      <c r="CN68" s="52">
        <v>0</v>
      </c>
      <c r="CO68" s="52" t="str">
        <v/>
      </c>
      <c r="CP68" s="52">
        <v>0</v>
      </c>
      <c r="CQ68" s="52" t="str">
        <v/>
      </c>
      <c r="CR68" s="52">
        <v>0</v>
      </c>
      <c r="CS68" s="52" t="str">
        <v/>
      </c>
      <c r="CT68" s="52">
        <v>0</v>
      </c>
      <c r="CU68" s="52" t="str">
        <v/>
      </c>
      <c r="CV68" s="52">
        <v>0</v>
      </c>
      <c r="CW68" s="52" t="str">
        <v/>
      </c>
      <c r="CX68" s="52">
        <v>0</v>
      </c>
      <c r="CY68" s="52" t="str">
        <v/>
      </c>
      <c r="CZ68" s="52">
        <v>0</v>
      </c>
      <c r="DA68" s="52" t="str">
        <v/>
      </c>
      <c r="DB68" s="52">
        <v>0</v>
      </c>
      <c r="DC68" s="52" t="str">
        <v/>
      </c>
      <c r="DD68" s="52">
        <v>0</v>
      </c>
      <c r="DE68" s="52" t="str">
        <v/>
      </c>
      <c r="DF68" s="52">
        <v>0</v>
      </c>
      <c r="DG68" s="52" t="str">
        <v/>
      </c>
      <c r="DH68" s="52">
        <v>0</v>
      </c>
      <c r="DI68" s="52" t="str">
        <v/>
      </c>
      <c r="DJ68" s="52">
        <v>0</v>
      </c>
      <c r="DK68" s="52" t="str">
        <v/>
      </c>
      <c r="DL68" s="52">
        <v>0</v>
      </c>
      <c r="DM68" s="52" t="str">
        <v/>
      </c>
    </row>
    <row r="69" spans="1:117" x14ac:dyDescent="0.25">
      <c r="A69" s="54">
        <v>-1366.9500000000003</v>
      </c>
      <c r="B69" s="52">
        <v>0</v>
      </c>
      <c r="C69" s="52" t="str">
        <v/>
      </c>
      <c r="D69" s="52">
        <v>0</v>
      </c>
      <c r="E69" s="52" t="str">
        <v/>
      </c>
      <c r="F69" s="52">
        <v>0</v>
      </c>
      <c r="G69" s="52" t="str">
        <v/>
      </c>
      <c r="H69" s="52">
        <v>0</v>
      </c>
      <c r="I69" s="52" t="str">
        <v/>
      </c>
      <c r="J69" s="52">
        <v>0</v>
      </c>
      <c r="K69" s="52" t="str">
        <v/>
      </c>
      <c r="L69" s="52">
        <v>0</v>
      </c>
      <c r="M69" s="52" t="str">
        <v/>
      </c>
      <c r="N69" s="52">
        <v>0</v>
      </c>
      <c r="O69" s="52" t="str">
        <v/>
      </c>
      <c r="P69" s="52">
        <v>0</v>
      </c>
      <c r="Q69" s="52" t="str">
        <v/>
      </c>
      <c r="R69" s="52">
        <v>0</v>
      </c>
      <c r="S69" s="52" t="str">
        <v/>
      </c>
      <c r="T69" s="52">
        <v>0</v>
      </c>
      <c r="U69" s="52" t="str">
        <v/>
      </c>
      <c r="V69" s="52">
        <v>0</v>
      </c>
      <c r="W69" s="52" t="str">
        <v/>
      </c>
      <c r="X69" s="52">
        <v>0</v>
      </c>
      <c r="Y69" s="52" t="str">
        <v/>
      </c>
      <c r="Z69" s="52">
        <v>0</v>
      </c>
      <c r="AA69" s="52" t="str">
        <v/>
      </c>
      <c r="AB69" s="52">
        <v>0</v>
      </c>
      <c r="AC69" s="52" t="str">
        <v/>
      </c>
      <c r="AD69" s="52">
        <v>0</v>
      </c>
      <c r="AE69" s="52" t="str">
        <v/>
      </c>
      <c r="AF69" s="52">
        <v>0</v>
      </c>
      <c r="AG69" s="52" t="str">
        <v/>
      </c>
      <c r="AH69" s="52">
        <v>0</v>
      </c>
      <c r="AI69" s="52" t="str">
        <v/>
      </c>
      <c r="AJ69" s="52">
        <v>0</v>
      </c>
      <c r="AK69" s="52" t="str">
        <v/>
      </c>
      <c r="AL69" s="52">
        <v>0</v>
      </c>
      <c r="AM69" s="52" t="str">
        <v/>
      </c>
      <c r="AN69" s="52">
        <v>0</v>
      </c>
      <c r="AO69" s="52" t="str">
        <v/>
      </c>
      <c r="AP69" s="52">
        <v>0</v>
      </c>
      <c r="AQ69" s="52" t="str">
        <v/>
      </c>
      <c r="AR69" s="52">
        <v>0</v>
      </c>
      <c r="AS69" s="52" t="str">
        <v/>
      </c>
      <c r="AT69" s="52">
        <v>0</v>
      </c>
      <c r="AU69" s="52" t="str">
        <v/>
      </c>
      <c r="AV69" s="52">
        <v>0</v>
      </c>
      <c r="AW69" s="52" t="str">
        <v/>
      </c>
      <c r="AX69" s="52">
        <v>0</v>
      </c>
      <c r="AY69" s="52" t="str">
        <v/>
      </c>
      <c r="AZ69" s="52">
        <v>0</v>
      </c>
      <c r="BA69" s="52" t="str">
        <v/>
      </c>
      <c r="BB69" s="52">
        <v>0</v>
      </c>
      <c r="BC69" s="52" t="str">
        <v/>
      </c>
      <c r="BD69" s="52">
        <v>0</v>
      </c>
      <c r="BE69" s="52" t="str">
        <v/>
      </c>
      <c r="BF69" s="52">
        <v>0</v>
      </c>
      <c r="BG69" s="52" t="str">
        <v/>
      </c>
      <c r="BH69" s="52">
        <v>0</v>
      </c>
      <c r="BI69" s="52" t="str">
        <v/>
      </c>
      <c r="BJ69" s="52">
        <v>0</v>
      </c>
      <c r="BK69" s="52" t="str">
        <v/>
      </c>
      <c r="BL69" s="52">
        <v>0</v>
      </c>
      <c r="BM69" s="52" t="str">
        <v/>
      </c>
      <c r="BN69" s="52">
        <v>0</v>
      </c>
      <c r="BO69" s="52" t="str">
        <v/>
      </c>
      <c r="BP69" s="52">
        <v>0</v>
      </c>
      <c r="BQ69" s="52" t="str">
        <v/>
      </c>
      <c r="BR69" s="52">
        <v>0</v>
      </c>
      <c r="BS69" s="52" t="str">
        <v/>
      </c>
      <c r="BT69" s="52">
        <v>0</v>
      </c>
      <c r="BU69" s="52" t="str">
        <v/>
      </c>
      <c r="BV69" s="52">
        <v>0</v>
      </c>
      <c r="BW69" s="52" t="str">
        <v/>
      </c>
      <c r="BX69" s="52">
        <v>0</v>
      </c>
      <c r="BY69" s="52" t="str">
        <v/>
      </c>
      <c r="BZ69" s="52">
        <v>0</v>
      </c>
      <c r="CA69" s="52" t="str">
        <v/>
      </c>
      <c r="CB69" s="52">
        <v>0</v>
      </c>
      <c r="CC69" s="52" t="str">
        <v/>
      </c>
      <c r="CD69" s="52">
        <v>0</v>
      </c>
      <c r="CE69" s="52">
        <v>0</v>
      </c>
      <c r="CF69" s="52">
        <v>0</v>
      </c>
      <c r="CG69" s="52" t="str">
        <v/>
      </c>
      <c r="CH69" s="52">
        <v>0</v>
      </c>
      <c r="CI69" s="52" t="str">
        <v/>
      </c>
      <c r="CJ69" s="52">
        <v>0</v>
      </c>
      <c r="CK69" s="52" t="str">
        <v/>
      </c>
      <c r="CL69" s="52">
        <v>0</v>
      </c>
      <c r="CM69" s="52" t="str">
        <v/>
      </c>
      <c r="CN69" s="52">
        <v>0</v>
      </c>
      <c r="CO69" s="52" t="str">
        <v/>
      </c>
      <c r="CP69" s="52">
        <v>0</v>
      </c>
      <c r="CQ69" s="52" t="str">
        <v/>
      </c>
      <c r="CR69" s="52">
        <v>0</v>
      </c>
      <c r="CS69" s="52" t="str">
        <v/>
      </c>
      <c r="CT69" s="52">
        <v>0</v>
      </c>
      <c r="CU69" s="52" t="str">
        <v/>
      </c>
      <c r="CV69" s="52">
        <v>0</v>
      </c>
      <c r="CW69" s="52" t="str">
        <v/>
      </c>
      <c r="CX69" s="52">
        <v>0</v>
      </c>
      <c r="CY69" s="52" t="str">
        <v/>
      </c>
      <c r="CZ69" s="52">
        <v>0</v>
      </c>
      <c r="DA69" s="52" t="str">
        <v/>
      </c>
      <c r="DB69" s="52">
        <v>0</v>
      </c>
      <c r="DC69" s="52" t="str">
        <v/>
      </c>
      <c r="DD69" s="52">
        <v>0</v>
      </c>
      <c r="DE69" s="52" t="str">
        <v/>
      </c>
      <c r="DF69" s="52">
        <v>0</v>
      </c>
      <c r="DG69" s="52" t="str">
        <v/>
      </c>
      <c r="DH69" s="52">
        <v>0</v>
      </c>
      <c r="DI69" s="52" t="str">
        <v/>
      </c>
      <c r="DJ69" s="52">
        <v>0</v>
      </c>
      <c r="DK69" s="52" t="str">
        <v/>
      </c>
      <c r="DL69" s="52">
        <v>0</v>
      </c>
      <c r="DM69" s="52" t="str">
        <v/>
      </c>
    </row>
    <row r="70" spans="1:117" x14ac:dyDescent="0.25">
      <c r="A70" s="54">
        <v>-1327.8000000000002</v>
      </c>
      <c r="B70" s="52">
        <v>0</v>
      </c>
      <c r="C70" s="52" t="str">
        <v/>
      </c>
      <c r="D70" s="52">
        <v>0</v>
      </c>
      <c r="E70" s="52" t="str">
        <v/>
      </c>
      <c r="F70" s="52">
        <v>0</v>
      </c>
      <c r="G70" s="52" t="str">
        <v/>
      </c>
      <c r="H70" s="52">
        <v>0</v>
      </c>
      <c r="I70" s="52" t="str">
        <v/>
      </c>
      <c r="J70" s="52">
        <v>0</v>
      </c>
      <c r="K70" s="52" t="str">
        <v/>
      </c>
      <c r="L70" s="52">
        <v>0</v>
      </c>
      <c r="M70" s="52" t="str">
        <v/>
      </c>
      <c r="N70" s="52">
        <v>0</v>
      </c>
      <c r="O70" s="52" t="str">
        <v/>
      </c>
      <c r="P70" s="52">
        <v>0</v>
      </c>
      <c r="Q70" s="52" t="str">
        <v/>
      </c>
      <c r="R70" s="52">
        <v>0</v>
      </c>
      <c r="S70" s="52" t="str">
        <v/>
      </c>
      <c r="T70" s="52">
        <v>0</v>
      </c>
      <c r="U70" s="52" t="str">
        <v/>
      </c>
      <c r="V70" s="52">
        <v>0</v>
      </c>
      <c r="W70" s="52" t="str">
        <v/>
      </c>
      <c r="X70" s="52">
        <v>0</v>
      </c>
      <c r="Y70" s="52" t="str">
        <v/>
      </c>
      <c r="Z70" s="52">
        <v>0</v>
      </c>
      <c r="AA70" s="52" t="str">
        <v/>
      </c>
      <c r="AB70" s="52">
        <v>0</v>
      </c>
      <c r="AC70" s="52" t="str">
        <v/>
      </c>
      <c r="AD70" s="52">
        <v>0</v>
      </c>
      <c r="AE70" s="52" t="str">
        <v/>
      </c>
      <c r="AF70" s="52">
        <v>0</v>
      </c>
      <c r="AG70" s="52" t="str">
        <v/>
      </c>
      <c r="AH70" s="52">
        <v>0</v>
      </c>
      <c r="AI70" s="52" t="str">
        <v/>
      </c>
      <c r="AJ70" s="52">
        <v>0</v>
      </c>
      <c r="AK70" s="52" t="str">
        <v/>
      </c>
      <c r="AL70" s="52">
        <v>0</v>
      </c>
      <c r="AM70" s="52" t="str">
        <v xml:space="preserve">Colonization  </v>
      </c>
      <c r="AN70" s="52">
        <v>0</v>
      </c>
      <c r="AO70" s="52" t="str">
        <v/>
      </c>
      <c r="AP70" s="52" t="str">
        <v>colonization</v>
      </c>
      <c r="AQ70" s="52">
        <v>0</v>
      </c>
      <c r="AR70" s="52">
        <v>0</v>
      </c>
      <c r="AS70" s="52" t="str">
        <v/>
      </c>
      <c r="AT70" s="52">
        <v>0</v>
      </c>
      <c r="AU70" s="52" t="str">
        <v/>
      </c>
      <c r="AV70" s="52">
        <v>0</v>
      </c>
      <c r="AW70" s="52" t="str">
        <v/>
      </c>
      <c r="AX70" s="52">
        <v>0</v>
      </c>
      <c r="AY70" s="52" t="str">
        <v/>
      </c>
      <c r="AZ70" s="52">
        <v>0</v>
      </c>
      <c r="BA70" s="52" t="str">
        <v/>
      </c>
      <c r="BB70" s="52">
        <v>0</v>
      </c>
      <c r="BC70" s="52" t="str">
        <v/>
      </c>
      <c r="BD70" s="52">
        <v>0</v>
      </c>
      <c r="BE70" s="52" t="str">
        <v/>
      </c>
      <c r="BF70" s="52">
        <v>0</v>
      </c>
      <c r="BG70" s="52" t="str">
        <v/>
      </c>
      <c r="BH70" s="52">
        <v>0</v>
      </c>
      <c r="BI70" s="52" t="str">
        <v/>
      </c>
      <c r="BJ70" s="52">
        <v>0</v>
      </c>
      <c r="BK70" s="52" t="str">
        <v/>
      </c>
      <c r="BL70" s="52">
        <v>0</v>
      </c>
      <c r="BM70" s="52" t="str">
        <v/>
      </c>
      <c r="BN70" s="52">
        <v>0</v>
      </c>
      <c r="BO70" s="52" t="str">
        <v/>
      </c>
      <c r="BP70" s="52">
        <v>0</v>
      </c>
      <c r="BQ70" s="52" t="str">
        <v/>
      </c>
      <c r="BR70" s="52">
        <v>0</v>
      </c>
      <c r="BS70" s="52" t="str">
        <v/>
      </c>
      <c r="BT70" s="52">
        <v>0</v>
      </c>
      <c r="BU70" s="52" t="str">
        <v/>
      </c>
      <c r="BV70" s="52">
        <v>0</v>
      </c>
      <c r="BW70" s="52" t="str">
        <v/>
      </c>
      <c r="BX70" s="52">
        <v>0</v>
      </c>
      <c r="BY70" s="52" t="str">
        <v/>
      </c>
      <c r="BZ70" s="52">
        <v>0</v>
      </c>
      <c r="CA70" s="52" t="str">
        <v/>
      </c>
      <c r="CB70" s="52">
        <v>0</v>
      </c>
      <c r="CC70" s="52" t="str">
        <v/>
      </c>
      <c r="CD70" s="52">
        <v>0</v>
      </c>
      <c r="CE70" s="52" t="str">
        <v/>
      </c>
      <c r="CF70" s="52">
        <v>0</v>
      </c>
      <c r="CG70" s="52" t="str">
        <v/>
      </c>
      <c r="CH70" s="52">
        <v>0</v>
      </c>
      <c r="CI70" s="52" t="str">
        <v/>
      </c>
      <c r="CJ70" s="52">
        <v>0</v>
      </c>
      <c r="CK70" s="52" t="str">
        <v/>
      </c>
      <c r="CL70" s="52">
        <v>0</v>
      </c>
      <c r="CM70" s="52" t="str">
        <v/>
      </c>
      <c r="CN70" s="52">
        <v>0</v>
      </c>
      <c r="CO70" s="52" t="str">
        <v/>
      </c>
      <c r="CP70" s="52">
        <v>0</v>
      </c>
      <c r="CQ70" s="52" t="str">
        <v/>
      </c>
      <c r="CR70" s="52">
        <v>0</v>
      </c>
      <c r="CS70" s="52" t="str">
        <v/>
      </c>
      <c r="CT70" s="52">
        <v>0</v>
      </c>
      <c r="CU70" s="52" t="str">
        <v/>
      </c>
      <c r="CV70" s="52">
        <v>0</v>
      </c>
      <c r="CW70" s="52" t="str">
        <v/>
      </c>
      <c r="CX70" s="52">
        <v>0</v>
      </c>
      <c r="CY70" s="52" t="str">
        <v/>
      </c>
      <c r="CZ70" s="52">
        <v>0</v>
      </c>
      <c r="DA70" s="52" t="str">
        <v/>
      </c>
      <c r="DB70" s="52">
        <v>0</v>
      </c>
      <c r="DC70" s="52" t="str">
        <v/>
      </c>
      <c r="DD70" s="52">
        <v>0</v>
      </c>
      <c r="DE70" s="52" t="str">
        <v/>
      </c>
      <c r="DF70" s="52">
        <v>0</v>
      </c>
      <c r="DG70" s="52" t="str">
        <v/>
      </c>
      <c r="DH70" s="52">
        <v>0</v>
      </c>
      <c r="DI70" s="52" t="str">
        <v/>
      </c>
      <c r="DJ70" s="52">
        <v>0</v>
      </c>
      <c r="DK70" s="52" t="str">
        <v/>
      </c>
      <c r="DL70" s="52">
        <v>0</v>
      </c>
      <c r="DM70" s="52" t="str">
        <v/>
      </c>
    </row>
    <row r="71" spans="1:117" x14ac:dyDescent="0.25">
      <c r="A71" s="54">
        <v>-1288.6500000000001</v>
      </c>
      <c r="B71" s="52">
        <v>0</v>
      </c>
      <c r="C71" s="52" t="str">
        <v/>
      </c>
      <c r="D71" s="52">
        <v>0</v>
      </c>
      <c r="E71" s="52" t="str">
        <v/>
      </c>
      <c r="F71" s="52">
        <v>0</v>
      </c>
      <c r="G71" s="52" t="str">
        <v/>
      </c>
      <c r="H71" s="52">
        <v>0</v>
      </c>
      <c r="I71" s="52" t="str">
        <v/>
      </c>
      <c r="J71" s="52">
        <v>0</v>
      </c>
      <c r="K71" s="52" t="str">
        <v/>
      </c>
      <c r="L71" s="52">
        <v>0</v>
      </c>
      <c r="M71" s="52" t="str">
        <v/>
      </c>
      <c r="N71" s="52">
        <v>0</v>
      </c>
      <c r="O71" s="52" t="str">
        <v/>
      </c>
      <c r="P71" s="52">
        <v>0</v>
      </c>
      <c r="Q71" s="52" t="str">
        <v/>
      </c>
      <c r="R71" s="52">
        <v>0</v>
      </c>
      <c r="S71" s="52" t="str">
        <v/>
      </c>
      <c r="T71" s="52">
        <v>0</v>
      </c>
      <c r="U71" s="52" t="str">
        <v/>
      </c>
      <c r="V71" s="52">
        <v>0</v>
      </c>
      <c r="W71" s="52" t="str">
        <v/>
      </c>
      <c r="X71" s="52">
        <v>0</v>
      </c>
      <c r="Y71" s="52" t="str">
        <v/>
      </c>
      <c r="Z71" s="52">
        <v>0</v>
      </c>
      <c r="AA71" s="52" t="str">
        <v/>
      </c>
      <c r="AB71" s="52">
        <v>0</v>
      </c>
      <c r="AC71" s="52" t="str">
        <v/>
      </c>
      <c r="AD71" s="52">
        <v>0</v>
      </c>
      <c r="AE71" s="52" t="str">
        <v/>
      </c>
      <c r="AF71" s="52">
        <v>0</v>
      </c>
      <c r="AG71" s="52" t="str">
        <v/>
      </c>
      <c r="AH71" s="52">
        <v>0</v>
      </c>
      <c r="AI71" s="52" t="str">
        <v/>
      </c>
      <c r="AJ71" s="52">
        <v>0</v>
      </c>
      <c r="AK71" s="52" t="str">
        <v/>
      </c>
      <c r="AL71" s="52">
        <v>0</v>
      </c>
      <c r="AM71" s="52" t="str">
        <v/>
      </c>
      <c r="AN71" s="52">
        <v>0</v>
      </c>
      <c r="AO71" s="52" t="str">
        <v/>
      </c>
      <c r="AP71" s="52">
        <v>0</v>
      </c>
      <c r="AQ71" s="52" t="str">
        <v/>
      </c>
      <c r="AR71" s="52">
        <v>0</v>
      </c>
      <c r="AS71" s="52" t="str">
        <v/>
      </c>
      <c r="AT71" s="52">
        <v>0</v>
      </c>
      <c r="AU71" s="52" t="str">
        <v/>
      </c>
      <c r="AV71" s="52">
        <v>0</v>
      </c>
      <c r="AW71" s="52" t="str">
        <v/>
      </c>
      <c r="AX71" s="52">
        <v>0</v>
      </c>
      <c r="AY71" s="52" t="str">
        <v/>
      </c>
      <c r="AZ71" s="52">
        <v>0</v>
      </c>
      <c r="BA71" s="52" t="str">
        <v/>
      </c>
      <c r="BB71" s="52">
        <v>0</v>
      </c>
      <c r="BC71" s="52" t="str">
        <v/>
      </c>
      <c r="BD71" s="52">
        <v>0</v>
      </c>
      <c r="BE71" s="52" t="str">
        <v/>
      </c>
      <c r="BF71" s="52">
        <v>0</v>
      </c>
      <c r="BG71" s="52" t="str">
        <v/>
      </c>
      <c r="BH71" s="52">
        <v>0</v>
      </c>
      <c r="BI71" s="52" t="str">
        <v/>
      </c>
      <c r="BJ71" s="52">
        <v>0</v>
      </c>
      <c r="BK71" s="52" t="str">
        <v/>
      </c>
      <c r="BL71" s="52">
        <v>0</v>
      </c>
      <c r="BM71" s="52" t="str">
        <v/>
      </c>
      <c r="BN71" s="52">
        <v>0</v>
      </c>
      <c r="BO71" s="52" t="str">
        <v/>
      </c>
      <c r="BP71" s="52">
        <v>0</v>
      </c>
      <c r="BQ71" s="52" t="str">
        <v/>
      </c>
      <c r="BR71" s="52">
        <v>0</v>
      </c>
      <c r="BS71" s="52" t="str">
        <v/>
      </c>
      <c r="BT71" s="52">
        <v>0</v>
      </c>
      <c r="BU71" s="52" t="str">
        <v/>
      </c>
      <c r="BV71" s="52">
        <v>0</v>
      </c>
      <c r="BW71" s="52" t="str">
        <v/>
      </c>
      <c r="BX71" s="52">
        <v>0</v>
      </c>
      <c r="BY71" s="52" t="str">
        <v/>
      </c>
      <c r="BZ71" s="52">
        <v>0</v>
      </c>
      <c r="CA71" s="52" t="str">
        <v/>
      </c>
      <c r="CB71" s="52">
        <v>0</v>
      </c>
      <c r="CC71" s="52" t="str">
        <v/>
      </c>
      <c r="CD71" s="52">
        <v>0</v>
      </c>
      <c r="CE71" s="52">
        <v>0</v>
      </c>
      <c r="CF71" s="52">
        <v>0</v>
      </c>
      <c r="CG71" s="52" t="str">
        <v/>
      </c>
      <c r="CH71" s="52">
        <v>0</v>
      </c>
      <c r="CI71" s="52" t="str">
        <v/>
      </c>
      <c r="CJ71" s="52">
        <v>0</v>
      </c>
      <c r="CK71" s="52" t="str">
        <v/>
      </c>
      <c r="CL71" s="52">
        <v>0</v>
      </c>
      <c r="CM71" s="52" t="str">
        <v/>
      </c>
      <c r="CN71" s="52">
        <v>0</v>
      </c>
      <c r="CO71" s="52" t="str">
        <v/>
      </c>
      <c r="CP71" s="52">
        <v>0</v>
      </c>
      <c r="CQ71" s="52" t="str">
        <v/>
      </c>
      <c r="CR71" s="52">
        <v>0</v>
      </c>
      <c r="CS71" s="52" t="str">
        <v/>
      </c>
      <c r="CT71" s="52">
        <v>0</v>
      </c>
      <c r="CU71" s="52" t="str">
        <v/>
      </c>
      <c r="CV71" s="52">
        <v>0</v>
      </c>
      <c r="CW71" s="52" t="str">
        <v/>
      </c>
      <c r="CX71" s="52">
        <v>0</v>
      </c>
      <c r="CY71" s="52" t="str">
        <v/>
      </c>
      <c r="CZ71" s="52">
        <v>0</v>
      </c>
      <c r="DA71" s="52" t="str">
        <v/>
      </c>
      <c r="DB71" s="52">
        <v>0</v>
      </c>
      <c r="DC71" s="52" t="str">
        <v/>
      </c>
      <c r="DD71" s="52">
        <v>0</v>
      </c>
      <c r="DE71" s="52" t="str">
        <v/>
      </c>
      <c r="DF71" s="52">
        <v>0</v>
      </c>
      <c r="DG71" s="52" t="str">
        <v/>
      </c>
      <c r="DH71" s="52">
        <v>0</v>
      </c>
      <c r="DI71" s="52" t="str">
        <v/>
      </c>
      <c r="DJ71" s="52">
        <v>0</v>
      </c>
      <c r="DK71" s="52" t="str">
        <v/>
      </c>
      <c r="DL71" s="52">
        <v>0</v>
      </c>
      <c r="DM71" s="52" t="str">
        <v/>
      </c>
    </row>
    <row r="72" spans="1:117" x14ac:dyDescent="0.25">
      <c r="A72" s="54">
        <v>-1249.5</v>
      </c>
      <c r="B72" s="52">
        <v>0</v>
      </c>
      <c r="C72" s="52" t="str">
        <v/>
      </c>
      <c r="D72" s="52">
        <v>0</v>
      </c>
      <c r="E72" s="52" t="str">
        <v/>
      </c>
      <c r="F72" s="52">
        <v>0</v>
      </c>
      <c r="G72" s="52" t="str">
        <v/>
      </c>
      <c r="H72" s="52">
        <v>0</v>
      </c>
      <c r="I72" s="52" t="str">
        <v/>
      </c>
      <c r="J72" s="52">
        <v>0</v>
      </c>
      <c r="K72" s="52" t="str">
        <v/>
      </c>
      <c r="L72" s="52">
        <v>0</v>
      </c>
      <c r="M72" s="52" t="str">
        <v/>
      </c>
      <c r="N72" s="52">
        <v>0</v>
      </c>
      <c r="O72" s="52" t="str">
        <v/>
      </c>
      <c r="P72" s="52">
        <v>0</v>
      </c>
      <c r="Q72" s="52" t="str">
        <v/>
      </c>
      <c r="R72" s="52">
        <v>0</v>
      </c>
      <c r="S72" s="52" t="str">
        <v/>
      </c>
      <c r="T72" s="52">
        <v>0</v>
      </c>
      <c r="U72" s="52" t="str">
        <v/>
      </c>
      <c r="V72" s="52">
        <v>0</v>
      </c>
      <c r="W72" s="52" t="str">
        <v/>
      </c>
      <c r="X72" s="52">
        <v>0</v>
      </c>
      <c r="Y72" s="52" t="str">
        <v/>
      </c>
      <c r="Z72" s="52">
        <v>0</v>
      </c>
      <c r="AA72" s="52" t="str">
        <v/>
      </c>
      <c r="AB72" s="52">
        <v>0</v>
      </c>
      <c r="AC72" s="52" t="str">
        <v/>
      </c>
      <c r="AD72" s="52">
        <v>0</v>
      </c>
      <c r="AE72" s="52" t="str">
        <v/>
      </c>
      <c r="AF72" s="52">
        <v>0</v>
      </c>
      <c r="AG72" s="52" t="str">
        <v/>
      </c>
      <c r="AH72" s="52">
        <v>0</v>
      </c>
      <c r="AI72" s="52" t="str">
        <v/>
      </c>
      <c r="AJ72" s="52">
        <v>0</v>
      </c>
      <c r="AK72" s="52" t="str">
        <v/>
      </c>
      <c r="AL72" s="52">
        <v>0</v>
      </c>
      <c r="AM72" s="52" t="str">
        <v/>
      </c>
      <c r="AN72" s="52">
        <v>0</v>
      </c>
      <c r="AO72" s="52" t="str">
        <v/>
      </c>
      <c r="AP72" s="52" t="str">
        <v>advColonization</v>
      </c>
      <c r="AQ72" s="52" t="str">
        <v>Advanced Colonization</v>
      </c>
      <c r="AR72" s="52">
        <v>0</v>
      </c>
      <c r="AS72" s="52" t="str">
        <v/>
      </c>
      <c r="AT72" s="52">
        <v>0</v>
      </c>
      <c r="AU72" s="52" t="str">
        <v/>
      </c>
      <c r="AV72" s="52">
        <v>0</v>
      </c>
      <c r="AW72" s="52" t="str">
        <v/>
      </c>
      <c r="AX72" s="52">
        <v>0</v>
      </c>
      <c r="AY72" s="52" t="str">
        <v/>
      </c>
      <c r="AZ72" s="52">
        <v>0</v>
      </c>
      <c r="BA72" s="52" t="str">
        <v/>
      </c>
      <c r="BB72" s="52">
        <v>0</v>
      </c>
      <c r="BC72" s="52" t="str">
        <v/>
      </c>
      <c r="BD72" s="52">
        <v>0</v>
      </c>
      <c r="BE72" s="52" t="str">
        <v/>
      </c>
      <c r="BF72" s="52">
        <v>0</v>
      </c>
      <c r="BG72" s="52" t="str">
        <v/>
      </c>
      <c r="BH72" s="52">
        <v>0</v>
      </c>
      <c r="BI72" s="52" t="str">
        <v/>
      </c>
      <c r="BJ72" s="52">
        <v>0</v>
      </c>
      <c r="BK72" s="52" t="str">
        <v/>
      </c>
      <c r="BL72" s="52">
        <v>0</v>
      </c>
      <c r="BM72" s="52" t="str">
        <v/>
      </c>
      <c r="BN72" s="52">
        <v>0</v>
      </c>
      <c r="BO72" s="52" t="str">
        <v/>
      </c>
      <c r="BP72" s="52">
        <v>0</v>
      </c>
      <c r="BQ72" s="52" t="str">
        <v/>
      </c>
      <c r="BR72" s="52">
        <v>0</v>
      </c>
      <c r="BS72" s="52" t="str">
        <v/>
      </c>
      <c r="BT72" s="52">
        <v>0</v>
      </c>
      <c r="BU72" s="52" t="str">
        <v/>
      </c>
      <c r="BV72" s="52">
        <v>0</v>
      </c>
      <c r="BW72" s="52" t="str">
        <v/>
      </c>
      <c r="BX72" s="52">
        <v>0</v>
      </c>
      <c r="BY72" s="52" t="str">
        <v/>
      </c>
      <c r="BZ72" s="52">
        <v>0</v>
      </c>
      <c r="CA72" s="52" t="str">
        <v/>
      </c>
      <c r="CB72" s="52">
        <v>0</v>
      </c>
      <c r="CC72" s="52" t="str">
        <v/>
      </c>
      <c r="CD72" s="52">
        <v>0</v>
      </c>
      <c r="CE72" s="52" t="str">
        <v/>
      </c>
      <c r="CF72" s="52">
        <v>0</v>
      </c>
      <c r="CG72" s="52" t="str">
        <v/>
      </c>
      <c r="CH72" s="52">
        <v>0</v>
      </c>
      <c r="CI72" s="52" t="str">
        <v/>
      </c>
      <c r="CJ72" s="52">
        <v>0</v>
      </c>
      <c r="CK72" s="52" t="str">
        <v/>
      </c>
      <c r="CL72" s="52">
        <v>0</v>
      </c>
      <c r="CM72" s="52" t="str">
        <v/>
      </c>
      <c r="CN72" s="52">
        <v>0</v>
      </c>
      <c r="CO72" s="52" t="str">
        <v/>
      </c>
      <c r="CP72" s="52">
        <v>0</v>
      </c>
      <c r="CQ72" s="52" t="str">
        <v/>
      </c>
      <c r="CR72" s="52">
        <v>0</v>
      </c>
      <c r="CS72" s="52" t="str">
        <v/>
      </c>
      <c r="CT72" s="52">
        <v>0</v>
      </c>
      <c r="CU72" s="52" t="str">
        <v/>
      </c>
      <c r="CV72" s="52">
        <v>0</v>
      </c>
      <c r="CW72" s="52" t="str">
        <v/>
      </c>
      <c r="CX72" s="52">
        <v>0</v>
      </c>
      <c r="CY72" s="52" t="str">
        <v/>
      </c>
      <c r="CZ72" s="52">
        <v>0</v>
      </c>
      <c r="DA72" s="52">
        <v>0</v>
      </c>
      <c r="DB72" s="52">
        <v>0</v>
      </c>
      <c r="DC72" s="52">
        <v>0</v>
      </c>
      <c r="DD72" s="52">
        <v>0</v>
      </c>
      <c r="DE72" s="52">
        <v>0</v>
      </c>
      <c r="DF72" s="52">
        <v>0</v>
      </c>
      <c r="DG72" s="52">
        <v>0</v>
      </c>
      <c r="DH72" s="52">
        <v>0</v>
      </c>
      <c r="DI72" s="52" t="str">
        <v/>
      </c>
      <c r="DJ72" s="52">
        <v>0</v>
      </c>
      <c r="DK72" s="52" t="str">
        <v/>
      </c>
      <c r="DL72" s="52">
        <v>0</v>
      </c>
      <c r="DM72" s="52" t="str">
        <v/>
      </c>
    </row>
    <row r="73" spans="1:117" x14ac:dyDescent="0.25">
      <c r="A73" s="54">
        <v>-1210.3499999999999</v>
      </c>
      <c r="B73" s="52">
        <v>0</v>
      </c>
      <c r="C73" s="52" t="str">
        <v/>
      </c>
      <c r="D73" s="52">
        <v>0</v>
      </c>
      <c r="E73" s="52" t="str">
        <v/>
      </c>
      <c r="F73" s="52">
        <v>0</v>
      </c>
      <c r="G73" s="52" t="str">
        <v/>
      </c>
      <c r="H73" s="52">
        <v>0</v>
      </c>
      <c r="I73" s="52" t="str">
        <v/>
      </c>
      <c r="J73" s="52">
        <v>0</v>
      </c>
      <c r="K73" s="52" t="str">
        <v/>
      </c>
      <c r="L73" s="52">
        <v>0</v>
      </c>
      <c r="M73" s="52" t="str">
        <v/>
      </c>
      <c r="N73" s="52">
        <v>0</v>
      </c>
      <c r="O73" s="52" t="str">
        <v/>
      </c>
      <c r="P73" s="52">
        <v>0</v>
      </c>
      <c r="Q73" s="52" t="str">
        <v/>
      </c>
      <c r="R73" s="52">
        <v>0</v>
      </c>
      <c r="S73" s="52" t="str">
        <v/>
      </c>
      <c r="T73" s="52">
        <v>0</v>
      </c>
      <c r="U73" s="52" t="str">
        <v/>
      </c>
      <c r="V73" s="52">
        <v>0</v>
      </c>
      <c r="W73" s="52" t="str">
        <v/>
      </c>
      <c r="X73" s="52">
        <v>0</v>
      </c>
      <c r="Y73" s="52" t="str">
        <v/>
      </c>
      <c r="Z73" s="52">
        <v>0</v>
      </c>
      <c r="AA73" s="52" t="str">
        <v/>
      </c>
      <c r="AB73" s="52">
        <v>0</v>
      </c>
      <c r="AC73" s="52" t="str">
        <v/>
      </c>
      <c r="AD73" s="52">
        <v>0</v>
      </c>
      <c r="AE73" s="52" t="str">
        <v/>
      </c>
      <c r="AF73" s="52">
        <v>0</v>
      </c>
      <c r="AG73" s="52" t="str">
        <v/>
      </c>
      <c r="AH73" s="52">
        <v>0</v>
      </c>
      <c r="AI73" s="52" t="str">
        <v/>
      </c>
      <c r="AJ73" s="52">
        <v>0</v>
      </c>
      <c r="AK73" s="52" t="str">
        <v/>
      </c>
      <c r="AL73" s="52">
        <v>0</v>
      </c>
      <c r="AM73" s="52" t="str">
        <v/>
      </c>
      <c r="AN73" s="52">
        <v>0</v>
      </c>
      <c r="AO73" s="52" t="str">
        <v/>
      </c>
      <c r="AP73" s="52">
        <v>0</v>
      </c>
      <c r="AQ73" s="52" t="str">
        <v/>
      </c>
      <c r="AR73" s="52">
        <v>0</v>
      </c>
      <c r="AS73" s="52" t="str">
        <v/>
      </c>
      <c r="AT73" s="52">
        <v>0</v>
      </c>
      <c r="AU73" s="52" t="str">
        <v/>
      </c>
      <c r="AV73" s="52">
        <v>0</v>
      </c>
      <c r="AW73" s="52" t="str">
        <v/>
      </c>
      <c r="AX73" s="52">
        <v>0</v>
      </c>
      <c r="AY73" s="52" t="str">
        <v/>
      </c>
      <c r="AZ73" s="52">
        <v>0</v>
      </c>
      <c r="BA73" s="52" t="str">
        <v/>
      </c>
      <c r="BB73" s="52">
        <v>0</v>
      </c>
      <c r="BC73" s="52" t="str">
        <v/>
      </c>
      <c r="BD73" s="52">
        <v>0</v>
      </c>
      <c r="BE73" s="52" t="str">
        <v/>
      </c>
      <c r="BF73" s="52">
        <v>0</v>
      </c>
      <c r="BG73" s="52" t="str">
        <v/>
      </c>
      <c r="BH73" s="52">
        <v>0</v>
      </c>
      <c r="BI73" s="52" t="str">
        <v/>
      </c>
      <c r="BJ73" s="52">
        <v>0</v>
      </c>
      <c r="BK73" s="52" t="str">
        <v/>
      </c>
      <c r="BL73" s="52">
        <v>0</v>
      </c>
      <c r="BM73" s="52" t="str">
        <v/>
      </c>
      <c r="BN73" s="52">
        <v>0</v>
      </c>
      <c r="BO73" s="52" t="str">
        <v/>
      </c>
      <c r="BP73" s="52">
        <v>0</v>
      </c>
      <c r="BQ73" s="52" t="str">
        <v/>
      </c>
      <c r="BR73" s="52">
        <v>0</v>
      </c>
      <c r="BS73" s="52" t="str">
        <v/>
      </c>
      <c r="BT73" s="52">
        <v>0</v>
      </c>
      <c r="BU73" s="52" t="str">
        <v/>
      </c>
      <c r="BV73" s="52">
        <v>0</v>
      </c>
      <c r="BW73" s="52" t="str">
        <v/>
      </c>
      <c r="BX73" s="52">
        <v>0</v>
      </c>
      <c r="BY73" s="52" t="str">
        <v/>
      </c>
      <c r="BZ73" s="52">
        <v>0</v>
      </c>
      <c r="CA73" s="52" t="str">
        <v/>
      </c>
      <c r="CB73" s="52">
        <v>0</v>
      </c>
      <c r="CC73" s="52" t="str">
        <v/>
      </c>
      <c r="CD73" s="52">
        <v>0</v>
      </c>
      <c r="CE73" s="52" t="str">
        <v/>
      </c>
      <c r="CF73" s="52">
        <v>0</v>
      </c>
      <c r="CG73" s="52" t="str">
        <v/>
      </c>
      <c r="CH73" s="52">
        <v>0</v>
      </c>
      <c r="CI73" s="52">
        <v>0</v>
      </c>
      <c r="CJ73" s="52">
        <v>0</v>
      </c>
      <c r="CK73" s="52">
        <v>0</v>
      </c>
      <c r="CL73" s="52">
        <v>0</v>
      </c>
      <c r="CM73" s="52">
        <v>0</v>
      </c>
      <c r="CN73" s="52">
        <v>0</v>
      </c>
      <c r="CO73" s="52">
        <v>0</v>
      </c>
      <c r="CP73" s="52">
        <v>0</v>
      </c>
      <c r="CQ73" s="52">
        <v>0</v>
      </c>
      <c r="CR73" s="52">
        <v>0</v>
      </c>
      <c r="CS73" s="52">
        <v>0</v>
      </c>
      <c r="CT73" s="52">
        <v>0</v>
      </c>
      <c r="CU73" s="52">
        <v>0</v>
      </c>
      <c r="CV73" s="52">
        <v>0</v>
      </c>
      <c r="CW73" s="52">
        <v>0</v>
      </c>
      <c r="CX73" s="52">
        <v>0</v>
      </c>
      <c r="CY73" s="52">
        <v>0</v>
      </c>
      <c r="CZ73" s="52">
        <v>0</v>
      </c>
      <c r="DA73" s="52">
        <v>0</v>
      </c>
      <c r="DB73" s="52">
        <v>0</v>
      </c>
      <c r="DC73" s="52">
        <v>0</v>
      </c>
      <c r="DD73" s="52">
        <v>0</v>
      </c>
      <c r="DE73" s="52">
        <v>0</v>
      </c>
      <c r="DF73" s="52">
        <v>0</v>
      </c>
      <c r="DG73" s="52">
        <v>0</v>
      </c>
      <c r="DH73" s="52">
        <v>0</v>
      </c>
      <c r="DI73" s="52" t="str">
        <v/>
      </c>
      <c r="DJ73" s="52">
        <v>0</v>
      </c>
      <c r="DK73" s="52" t="str">
        <v/>
      </c>
      <c r="DL73" s="52">
        <v>0</v>
      </c>
      <c r="DM73" s="52" t="str">
        <v/>
      </c>
    </row>
    <row r="74" spans="1:117" x14ac:dyDescent="0.25">
      <c r="A74" s="54">
        <v>-1171.1999999999998</v>
      </c>
      <c r="B74" s="52">
        <v>0</v>
      </c>
      <c r="C74" s="52" t="str">
        <v/>
      </c>
      <c r="D74" s="52">
        <v>0</v>
      </c>
      <c r="E74" s="52" t="str">
        <v/>
      </c>
      <c r="F74" s="52">
        <v>0</v>
      </c>
      <c r="G74" s="52" t="str">
        <v/>
      </c>
      <c r="H74" s="52">
        <v>0</v>
      </c>
      <c r="I74" s="52" t="str">
        <v/>
      </c>
      <c r="J74" s="52">
        <v>0</v>
      </c>
      <c r="K74" s="52" t="str">
        <v/>
      </c>
      <c r="L74" s="52">
        <v>0</v>
      </c>
      <c r="M74" s="52" t="str">
        <v/>
      </c>
      <c r="N74" s="52">
        <v>0</v>
      </c>
      <c r="O74" s="52" t="str">
        <v/>
      </c>
      <c r="P74" s="52">
        <v>0</v>
      </c>
      <c r="Q74" s="52" t="str">
        <v/>
      </c>
      <c r="R74" s="52">
        <v>0</v>
      </c>
      <c r="S74" s="52" t="str">
        <v/>
      </c>
      <c r="T74" s="52">
        <v>0</v>
      </c>
      <c r="U74" s="52" t="str">
        <v/>
      </c>
      <c r="V74" s="52">
        <v>0</v>
      </c>
      <c r="W74" s="52" t="str">
        <v/>
      </c>
      <c r="X74" s="52">
        <v>0</v>
      </c>
      <c r="Y74" s="52" t="str">
        <v/>
      </c>
      <c r="Z74" s="52">
        <v>0</v>
      </c>
      <c r="AA74" s="52" t="str">
        <v/>
      </c>
      <c r="AB74" s="52">
        <v>0</v>
      </c>
      <c r="AC74" s="52" t="str">
        <v/>
      </c>
      <c r="AD74" s="52">
        <v>0</v>
      </c>
      <c r="AE74" s="52" t="str">
        <v/>
      </c>
      <c r="AF74" s="52">
        <v>0</v>
      </c>
      <c r="AG74" s="52" t="str">
        <v/>
      </c>
      <c r="AH74" s="52">
        <v>0</v>
      </c>
      <c r="AI74" s="52" t="str">
        <v/>
      </c>
      <c r="AJ74" s="52">
        <v>0</v>
      </c>
      <c r="AK74" s="52" t="str">
        <v/>
      </c>
      <c r="AL74" s="52">
        <v>0</v>
      </c>
      <c r="AM74" s="52" t="str">
        <v/>
      </c>
      <c r="AN74" s="52">
        <v>0</v>
      </c>
      <c r="AO74" s="52" t="str">
        <v/>
      </c>
      <c r="AP74" s="52" t="str">
        <v>offWorldLaunchsites</v>
      </c>
      <c r="AQ74" s="52" t="str">
        <v>Off-world Launchsites</v>
      </c>
      <c r="AR74" s="52">
        <v>0</v>
      </c>
      <c r="AS74" s="52" t="str">
        <v/>
      </c>
      <c r="AT74" s="52">
        <v>0</v>
      </c>
      <c r="AU74" s="52" t="str">
        <v/>
      </c>
      <c r="AV74" s="52">
        <v>0</v>
      </c>
      <c r="AW74" s="52" t="str">
        <v/>
      </c>
      <c r="AX74" s="52">
        <v>0</v>
      </c>
      <c r="AY74" s="52" t="str">
        <v/>
      </c>
      <c r="AZ74" s="52">
        <v>0</v>
      </c>
      <c r="BA74" s="52" t="str">
        <v/>
      </c>
      <c r="BB74" s="52">
        <v>0</v>
      </c>
      <c r="BC74" s="52" t="str">
        <v/>
      </c>
      <c r="BD74" s="52">
        <v>0</v>
      </c>
      <c r="BE74" s="52" t="str">
        <v/>
      </c>
      <c r="BF74" s="52">
        <v>0</v>
      </c>
      <c r="BG74" s="52" t="str">
        <v/>
      </c>
      <c r="BH74" s="52">
        <v>0</v>
      </c>
      <c r="BI74" s="52" t="str">
        <v/>
      </c>
      <c r="BJ74" s="52">
        <v>0</v>
      </c>
      <c r="BK74" s="52" t="str">
        <v/>
      </c>
      <c r="BL74" s="52">
        <v>0</v>
      </c>
      <c r="BM74" s="52" t="str">
        <v/>
      </c>
      <c r="BN74" s="52">
        <v>0</v>
      </c>
      <c r="BO74" s="52" t="str">
        <v/>
      </c>
      <c r="BP74" s="52">
        <v>0</v>
      </c>
      <c r="BQ74" s="52" t="str">
        <v/>
      </c>
      <c r="BR74" s="52">
        <v>0</v>
      </c>
      <c r="BS74" s="52" t="str">
        <v/>
      </c>
      <c r="BT74" s="52">
        <v>0</v>
      </c>
      <c r="BU74" s="52" t="str">
        <v/>
      </c>
      <c r="BV74" s="52">
        <v>0</v>
      </c>
      <c r="BW74" s="52" t="str">
        <v/>
      </c>
      <c r="BX74" s="52">
        <v>0</v>
      </c>
      <c r="BY74" s="52" t="str">
        <v/>
      </c>
      <c r="BZ74" s="52">
        <v>0</v>
      </c>
      <c r="CA74" s="52" t="str">
        <v/>
      </c>
      <c r="CB74" s="52">
        <v>0</v>
      </c>
      <c r="CC74" s="52" t="str">
        <v/>
      </c>
      <c r="CD74" s="52">
        <v>0</v>
      </c>
      <c r="CE74" s="52" t="str">
        <v/>
      </c>
      <c r="CF74" s="52">
        <v>0</v>
      </c>
      <c r="CG74" s="52" t="str">
        <v/>
      </c>
      <c r="CH74" s="52">
        <v>0</v>
      </c>
      <c r="CI74" s="52">
        <v>0</v>
      </c>
      <c r="CJ74" s="52">
        <v>0</v>
      </c>
      <c r="CK74" s="52">
        <v>0</v>
      </c>
      <c r="CL74" s="52">
        <v>0</v>
      </c>
      <c r="CM74" s="52">
        <v>0</v>
      </c>
      <c r="CN74" s="52">
        <v>0</v>
      </c>
      <c r="CO74" s="52">
        <v>0</v>
      </c>
      <c r="CP74" s="52">
        <v>0</v>
      </c>
      <c r="CQ74" s="52">
        <v>0</v>
      </c>
      <c r="CR74" s="52">
        <v>0</v>
      </c>
      <c r="CS74" s="52">
        <v>0</v>
      </c>
      <c r="CT74" s="52">
        <v>0</v>
      </c>
      <c r="CU74" s="52">
        <v>0</v>
      </c>
      <c r="CV74" s="52">
        <v>0</v>
      </c>
      <c r="CW74" s="52">
        <v>0</v>
      </c>
      <c r="CX74" s="52">
        <v>0</v>
      </c>
      <c r="CY74" s="52">
        <v>0</v>
      </c>
      <c r="CZ74" s="52">
        <v>0</v>
      </c>
      <c r="DA74" s="52">
        <v>0</v>
      </c>
      <c r="DB74" s="52">
        <v>0</v>
      </c>
      <c r="DC74" s="52">
        <v>0</v>
      </c>
      <c r="DD74" s="52">
        <v>0</v>
      </c>
      <c r="DE74" s="52">
        <v>0</v>
      </c>
      <c r="DF74" s="52">
        <v>0</v>
      </c>
      <c r="DG74" s="52">
        <v>0</v>
      </c>
      <c r="DH74" s="52">
        <v>0</v>
      </c>
      <c r="DI74" s="52" t="str">
        <v/>
      </c>
      <c r="DJ74" s="52">
        <v>0</v>
      </c>
      <c r="DK74" s="52" t="str">
        <v/>
      </c>
      <c r="DL74" s="52">
        <v>0</v>
      </c>
      <c r="DM74" s="52" t="str">
        <v/>
      </c>
    </row>
    <row r="75" spans="1:117" x14ac:dyDescent="0.25">
      <c r="A75" s="54">
        <v>-1132.0499999999997</v>
      </c>
      <c r="B75" s="52">
        <v>0</v>
      </c>
      <c r="C75" s="52" t="str">
        <v/>
      </c>
      <c r="D75" s="52">
        <v>0</v>
      </c>
      <c r="E75" s="52" t="str">
        <v/>
      </c>
      <c r="F75" s="52">
        <v>0</v>
      </c>
      <c r="G75" s="52" t="str">
        <v/>
      </c>
      <c r="H75" s="52">
        <v>0</v>
      </c>
      <c r="I75" s="52" t="str">
        <v/>
      </c>
      <c r="J75" s="52">
        <v>0</v>
      </c>
      <c r="K75" s="52" t="str">
        <v/>
      </c>
      <c r="L75" s="52">
        <v>0</v>
      </c>
      <c r="M75" s="52" t="str">
        <v/>
      </c>
      <c r="N75" s="52">
        <v>0</v>
      </c>
      <c r="O75" s="52" t="str">
        <v/>
      </c>
      <c r="P75" s="52">
        <v>0</v>
      </c>
      <c r="Q75" s="52" t="str">
        <v/>
      </c>
      <c r="R75" s="52">
        <v>0</v>
      </c>
      <c r="S75" s="52" t="str">
        <v/>
      </c>
      <c r="T75" s="52">
        <v>0</v>
      </c>
      <c r="U75" s="52" t="str">
        <v/>
      </c>
      <c r="V75" s="52">
        <v>0</v>
      </c>
      <c r="W75" s="52" t="str">
        <v/>
      </c>
      <c r="X75" s="52">
        <v>0</v>
      </c>
      <c r="Y75" s="52" t="str">
        <v/>
      </c>
      <c r="Z75" s="52">
        <v>0</v>
      </c>
      <c r="AA75" s="52" t="str">
        <v/>
      </c>
      <c r="AB75" s="52">
        <v>0</v>
      </c>
      <c r="AC75" s="52" t="str">
        <v/>
      </c>
      <c r="AD75" s="52">
        <v>0</v>
      </c>
      <c r="AE75" s="52" t="str">
        <v/>
      </c>
      <c r="AF75" s="52">
        <v>0</v>
      </c>
      <c r="AG75" s="52" t="str">
        <v/>
      </c>
      <c r="AH75" s="52">
        <v>0</v>
      </c>
      <c r="AI75" s="52" t="str">
        <v/>
      </c>
      <c r="AJ75" s="52">
        <v>0</v>
      </c>
      <c r="AK75" s="52" t="str">
        <v/>
      </c>
      <c r="AL75" s="52">
        <v>0</v>
      </c>
      <c r="AM75" s="52" t="str">
        <v/>
      </c>
      <c r="AN75" s="52">
        <v>0</v>
      </c>
      <c r="AO75" s="52" t="str">
        <v/>
      </c>
      <c r="AP75" s="52">
        <v>0</v>
      </c>
      <c r="AQ75" s="52" t="str">
        <v/>
      </c>
      <c r="AR75" s="52">
        <v>0</v>
      </c>
      <c r="AS75" s="52" t="str">
        <v/>
      </c>
      <c r="AT75" s="52">
        <v>0</v>
      </c>
      <c r="AU75" s="52" t="str">
        <v/>
      </c>
      <c r="AV75" s="52">
        <v>0</v>
      </c>
      <c r="AW75" s="52" t="str">
        <v/>
      </c>
      <c r="AX75" s="52">
        <v>0</v>
      </c>
      <c r="AY75" s="52" t="str">
        <v/>
      </c>
      <c r="AZ75" s="52">
        <v>0</v>
      </c>
      <c r="BA75" s="52" t="str">
        <v/>
      </c>
      <c r="BB75" s="52">
        <v>0</v>
      </c>
      <c r="BC75" s="52" t="str">
        <v/>
      </c>
      <c r="BD75" s="52">
        <v>0</v>
      </c>
      <c r="BE75" s="52" t="str">
        <v/>
      </c>
      <c r="BF75" s="52">
        <v>0</v>
      </c>
      <c r="BG75" s="52" t="str">
        <v/>
      </c>
      <c r="BH75" s="52">
        <v>0</v>
      </c>
      <c r="BI75" s="52" t="str">
        <v/>
      </c>
      <c r="BJ75" s="52">
        <v>0</v>
      </c>
      <c r="BK75" s="52" t="str">
        <v/>
      </c>
      <c r="BL75" s="52">
        <v>0</v>
      </c>
      <c r="BM75" s="52" t="str">
        <v/>
      </c>
      <c r="BN75" s="52">
        <v>0</v>
      </c>
      <c r="BO75" s="52" t="str">
        <v/>
      </c>
      <c r="BP75" s="52">
        <v>0</v>
      </c>
      <c r="BQ75" s="52" t="str">
        <v/>
      </c>
      <c r="BR75" s="52">
        <v>0</v>
      </c>
      <c r="BS75" s="52" t="str">
        <v/>
      </c>
      <c r="BT75" s="52">
        <v>0</v>
      </c>
      <c r="BU75" s="52" t="str">
        <v/>
      </c>
      <c r="BV75" s="52">
        <v>0</v>
      </c>
      <c r="BW75" s="52" t="str">
        <v/>
      </c>
      <c r="BX75" s="52">
        <v>0</v>
      </c>
      <c r="BY75" s="52" t="str">
        <v/>
      </c>
      <c r="BZ75" s="52">
        <v>0</v>
      </c>
      <c r="CA75" s="52" t="str">
        <v/>
      </c>
      <c r="CB75" s="52">
        <v>0</v>
      </c>
      <c r="CC75" s="52" t="str">
        <v/>
      </c>
      <c r="CD75" s="52">
        <v>0</v>
      </c>
      <c r="CE75" s="52" t="str">
        <v/>
      </c>
      <c r="CF75" s="52">
        <v>0</v>
      </c>
      <c r="CG75" s="52" t="str">
        <v/>
      </c>
      <c r="CH75" s="52">
        <v>0</v>
      </c>
      <c r="CI75" s="52">
        <v>0</v>
      </c>
      <c r="CJ75" s="52">
        <v>0</v>
      </c>
      <c r="CK75" s="52">
        <v>0</v>
      </c>
      <c r="CL75" s="52">
        <v>0</v>
      </c>
      <c r="CM75" s="52">
        <v>0</v>
      </c>
      <c r="CN75" s="52">
        <v>0</v>
      </c>
      <c r="CO75" s="52">
        <v>0</v>
      </c>
      <c r="CP75" s="52">
        <v>0</v>
      </c>
      <c r="CQ75" s="52">
        <v>0</v>
      </c>
      <c r="CR75" s="52">
        <v>0</v>
      </c>
      <c r="CS75" s="52">
        <v>0</v>
      </c>
      <c r="CT75" s="52">
        <v>0</v>
      </c>
      <c r="CU75" s="52">
        <v>0</v>
      </c>
      <c r="CV75" s="52">
        <v>0</v>
      </c>
      <c r="CW75" s="52">
        <v>0</v>
      </c>
      <c r="CX75" s="52">
        <v>0</v>
      </c>
      <c r="CY75" s="52">
        <v>0</v>
      </c>
      <c r="CZ75" s="52">
        <v>0</v>
      </c>
      <c r="DA75" s="52">
        <v>0</v>
      </c>
      <c r="DB75" s="52">
        <v>0</v>
      </c>
      <c r="DC75" s="52">
        <v>0</v>
      </c>
      <c r="DD75" s="52">
        <v>0</v>
      </c>
      <c r="DE75" s="52">
        <v>0</v>
      </c>
      <c r="DF75" s="52">
        <v>0</v>
      </c>
      <c r="DG75" s="52">
        <v>0</v>
      </c>
      <c r="DH75" s="52">
        <v>0</v>
      </c>
      <c r="DI75" s="52" t="str">
        <v/>
      </c>
      <c r="DJ75" s="52">
        <v>0</v>
      </c>
      <c r="DK75" s="52" t="str">
        <v/>
      </c>
      <c r="DL75" s="52">
        <v>0</v>
      </c>
      <c r="DM75" s="52" t="str">
        <v/>
      </c>
    </row>
    <row r="76" spans="1:117" x14ac:dyDescent="0.25">
      <c r="A76" s="54">
        <v>-1092.8999999999996</v>
      </c>
      <c r="B76" s="52">
        <v>0</v>
      </c>
      <c r="C76" s="52" t="str">
        <v/>
      </c>
      <c r="D76" s="52">
        <v>0</v>
      </c>
      <c r="E76" s="52" t="str">
        <v/>
      </c>
      <c r="F76" s="52">
        <v>0</v>
      </c>
      <c r="G76" s="52" t="str">
        <v/>
      </c>
      <c r="H76" s="52">
        <v>0</v>
      </c>
      <c r="I76" s="52" t="str">
        <v/>
      </c>
      <c r="J76" s="52">
        <v>0</v>
      </c>
      <c r="K76" s="52" t="str">
        <v/>
      </c>
      <c r="L76" s="52">
        <v>0</v>
      </c>
      <c r="M76" s="52" t="str">
        <v/>
      </c>
      <c r="N76" s="52">
        <v>0</v>
      </c>
      <c r="O76" s="52" t="str">
        <v/>
      </c>
      <c r="P76" s="52">
        <v>0</v>
      </c>
      <c r="Q76" s="52" t="str">
        <v/>
      </c>
      <c r="R76" s="52">
        <v>0</v>
      </c>
      <c r="S76" s="52" t="str">
        <v/>
      </c>
      <c r="T76" s="52">
        <v>0</v>
      </c>
      <c r="U76" s="52" t="str">
        <v/>
      </c>
      <c r="V76" s="52">
        <v>0</v>
      </c>
      <c r="W76" s="52" t="str">
        <v/>
      </c>
      <c r="X76" s="52">
        <v>0</v>
      </c>
      <c r="Y76" s="52" t="str">
        <v/>
      </c>
      <c r="Z76" s="52">
        <v>0</v>
      </c>
      <c r="AA76" s="52" t="str">
        <v/>
      </c>
      <c r="AB76" s="52">
        <v>0</v>
      </c>
      <c r="AC76" s="52" t="str">
        <v/>
      </c>
      <c r="AD76" s="52">
        <v>0</v>
      </c>
      <c r="AE76" s="52" t="str">
        <v/>
      </c>
      <c r="AF76" s="52">
        <v>0</v>
      </c>
      <c r="AG76" s="52" t="str">
        <v/>
      </c>
      <c r="AH76" s="52">
        <v>0</v>
      </c>
      <c r="AI76" s="52" t="str">
        <v/>
      </c>
      <c r="AJ76" s="52">
        <v>0</v>
      </c>
      <c r="AK76" s="52" t="str">
        <v/>
      </c>
      <c r="AL76" s="52">
        <v>0</v>
      </c>
      <c r="AM76" s="52" t="str">
        <v/>
      </c>
      <c r="AN76" s="52">
        <v>0</v>
      </c>
      <c r="AO76" s="52" t="str">
        <v/>
      </c>
      <c r="AP76" s="52">
        <v>0</v>
      </c>
      <c r="AQ76" s="52" t="str">
        <v/>
      </c>
      <c r="AR76" s="52">
        <v>0</v>
      </c>
      <c r="AS76" s="52" t="str">
        <v/>
      </c>
      <c r="AT76" s="52">
        <v>0</v>
      </c>
      <c r="AU76" s="52" t="str">
        <v/>
      </c>
      <c r="AV76" s="52">
        <v>0</v>
      </c>
      <c r="AW76" s="52" t="str">
        <v/>
      </c>
      <c r="AX76" s="52">
        <v>0</v>
      </c>
      <c r="AY76" s="52" t="str">
        <v/>
      </c>
      <c r="AZ76" s="52">
        <v>0</v>
      </c>
      <c r="BA76" s="52" t="str">
        <v/>
      </c>
      <c r="BB76" s="52">
        <v>0</v>
      </c>
      <c r="BC76" s="52" t="str">
        <v/>
      </c>
      <c r="BD76" s="52">
        <v>0</v>
      </c>
      <c r="BE76" s="52" t="str">
        <v/>
      </c>
      <c r="BF76" s="52">
        <v>0</v>
      </c>
      <c r="BG76" s="52" t="str">
        <v/>
      </c>
      <c r="BH76" s="52">
        <v>0</v>
      </c>
      <c r="BI76" s="52" t="str">
        <v/>
      </c>
      <c r="BJ76" s="52">
        <v>0</v>
      </c>
      <c r="BK76" s="52" t="str">
        <v/>
      </c>
      <c r="BL76" s="52">
        <v>0</v>
      </c>
      <c r="BM76" s="52" t="str">
        <v/>
      </c>
      <c r="BN76" s="52">
        <v>0</v>
      </c>
      <c r="BO76" s="52" t="str">
        <v/>
      </c>
      <c r="BP76" s="52">
        <v>0</v>
      </c>
      <c r="BQ76" s="52" t="str">
        <v/>
      </c>
      <c r="BR76" s="52">
        <v>0</v>
      </c>
      <c r="BS76" s="52" t="str">
        <v/>
      </c>
      <c r="BT76" s="52">
        <v>0</v>
      </c>
      <c r="BU76" s="52" t="str">
        <v/>
      </c>
      <c r="BV76" s="52">
        <v>0</v>
      </c>
      <c r="BW76" s="52" t="str">
        <v/>
      </c>
      <c r="BX76" s="52">
        <v>0</v>
      </c>
      <c r="BY76" s="52" t="str">
        <v/>
      </c>
      <c r="BZ76" s="52">
        <v>0</v>
      </c>
      <c r="CA76" s="52" t="str">
        <v/>
      </c>
      <c r="CB76" s="52">
        <v>0</v>
      </c>
      <c r="CC76" s="52" t="str">
        <v/>
      </c>
      <c r="CD76" s="52">
        <v>0</v>
      </c>
      <c r="CE76" s="52" t="str">
        <v/>
      </c>
      <c r="CF76" s="52">
        <v>0</v>
      </c>
      <c r="CG76" s="52" t="str">
        <v/>
      </c>
      <c r="CH76" s="52">
        <v>0</v>
      </c>
      <c r="CI76" s="52">
        <v>0</v>
      </c>
      <c r="CJ76" s="52">
        <v>0</v>
      </c>
      <c r="CK76" s="52">
        <v>0</v>
      </c>
      <c r="CL76" s="52">
        <v>0</v>
      </c>
      <c r="CM76" s="52">
        <v>0</v>
      </c>
      <c r="CN76" s="52">
        <v>0</v>
      </c>
      <c r="CO76" s="52">
        <v>0</v>
      </c>
      <c r="CP76" s="52">
        <v>0</v>
      </c>
      <c r="CQ76" s="52">
        <v>0</v>
      </c>
      <c r="CR76" s="52">
        <v>0</v>
      </c>
      <c r="CS76" s="52">
        <v>0</v>
      </c>
      <c r="CT76" s="52">
        <v>0</v>
      </c>
      <c r="CU76" s="52">
        <v>0</v>
      </c>
      <c r="CV76" s="52">
        <v>0</v>
      </c>
      <c r="CW76" s="52">
        <v>0</v>
      </c>
      <c r="CX76" s="52">
        <v>0</v>
      </c>
      <c r="CY76" s="52">
        <v>0</v>
      </c>
      <c r="CZ76" s="52">
        <v>0</v>
      </c>
      <c r="DA76" s="52">
        <v>0</v>
      </c>
      <c r="DB76" s="52">
        <v>0</v>
      </c>
      <c r="DC76" s="52">
        <v>0</v>
      </c>
      <c r="DD76" s="52">
        <v>0</v>
      </c>
      <c r="DE76" s="52">
        <v>0</v>
      </c>
      <c r="DF76" s="52">
        <v>0</v>
      </c>
      <c r="DG76" s="52">
        <v>0</v>
      </c>
      <c r="DH76" s="52">
        <v>0</v>
      </c>
      <c r="DI76" s="52" t="str">
        <v/>
      </c>
      <c r="DJ76" s="52">
        <v>0</v>
      </c>
      <c r="DK76" s="52" t="str">
        <v/>
      </c>
      <c r="DL76" s="52">
        <v>0</v>
      </c>
      <c r="DM76" s="52" t="str">
        <v/>
      </c>
    </row>
    <row r="77" spans="1:117" x14ac:dyDescent="0.25">
      <c r="A77" s="54">
        <v>-1053.7499999999995</v>
      </c>
      <c r="B77" s="52">
        <v>0</v>
      </c>
      <c r="C77" s="52" t="str">
        <v/>
      </c>
      <c r="D77" s="52">
        <v>0</v>
      </c>
      <c r="E77" s="52" t="str">
        <v/>
      </c>
      <c r="F77" s="52">
        <v>0</v>
      </c>
      <c r="G77" s="52" t="str">
        <v/>
      </c>
      <c r="H77" s="52">
        <v>0</v>
      </c>
      <c r="I77" s="52" t="str">
        <v/>
      </c>
      <c r="J77" s="52">
        <v>0</v>
      </c>
      <c r="K77" s="52" t="str">
        <v/>
      </c>
      <c r="L77" s="52">
        <v>0</v>
      </c>
      <c r="M77" s="52" t="str">
        <v/>
      </c>
      <c r="N77" s="52">
        <v>0</v>
      </c>
      <c r="O77" s="52" t="str">
        <v/>
      </c>
      <c r="P77" s="52">
        <v>0</v>
      </c>
      <c r="Q77" s="52" t="str">
        <v/>
      </c>
      <c r="R77" s="52">
        <v>0</v>
      </c>
      <c r="S77" s="52" t="str">
        <v/>
      </c>
      <c r="T77" s="52">
        <v>0</v>
      </c>
      <c r="U77" s="52" t="str">
        <v/>
      </c>
      <c r="V77" s="52">
        <v>0</v>
      </c>
      <c r="W77" s="52" t="str">
        <v/>
      </c>
      <c r="X77" s="52">
        <v>0</v>
      </c>
      <c r="Y77" s="52" t="str">
        <v/>
      </c>
      <c r="Z77" s="52">
        <v>0</v>
      </c>
      <c r="AA77" s="52" t="str">
        <v/>
      </c>
      <c r="AB77" s="52">
        <v>0</v>
      </c>
      <c r="AC77" s="52" t="str">
        <v/>
      </c>
      <c r="AD77" s="52">
        <v>0</v>
      </c>
      <c r="AE77" s="52" t="str">
        <v/>
      </c>
      <c r="AF77" s="52">
        <v>0</v>
      </c>
      <c r="AG77" s="52" t="str">
        <v/>
      </c>
      <c r="AH77" s="52">
        <v>0</v>
      </c>
      <c r="AI77" s="52" t="str">
        <v/>
      </c>
      <c r="AJ77" s="52">
        <v>0</v>
      </c>
      <c r="AK77" s="52" t="str">
        <v/>
      </c>
      <c r="AL77" s="52">
        <v>0</v>
      </c>
      <c r="AM77" s="52" t="str">
        <v/>
      </c>
      <c r="AN77" s="52">
        <v>0</v>
      </c>
      <c r="AO77" s="52" t="str">
        <v/>
      </c>
      <c r="AP77" s="52">
        <v>0</v>
      </c>
      <c r="AQ77" s="52" t="str">
        <v/>
      </c>
      <c r="AR77" s="52">
        <v>0</v>
      </c>
      <c r="AS77" s="52" t="str">
        <v/>
      </c>
      <c r="AT77" s="52">
        <v>0</v>
      </c>
      <c r="AU77" s="52" t="str">
        <v/>
      </c>
      <c r="AV77" s="52">
        <v>0</v>
      </c>
      <c r="AW77" s="52" t="str">
        <v/>
      </c>
      <c r="AX77" s="52">
        <v>0</v>
      </c>
      <c r="AY77" s="52" t="str">
        <v/>
      </c>
      <c r="AZ77" s="52">
        <v>0</v>
      </c>
      <c r="BA77" s="52" t="str">
        <v/>
      </c>
      <c r="BB77" s="52">
        <v>0</v>
      </c>
      <c r="BC77" s="52" t="str">
        <v/>
      </c>
      <c r="BD77" s="52">
        <v>0</v>
      </c>
      <c r="BE77" s="52" t="str">
        <v/>
      </c>
      <c r="BF77" s="52">
        <v>0</v>
      </c>
      <c r="BG77" s="52" t="str">
        <v/>
      </c>
      <c r="BH77" s="52">
        <v>0</v>
      </c>
      <c r="BI77" s="52" t="str">
        <v/>
      </c>
      <c r="BJ77" s="52">
        <v>0</v>
      </c>
      <c r="BK77" s="52" t="str">
        <v/>
      </c>
      <c r="BL77" s="52">
        <v>0</v>
      </c>
      <c r="BM77" s="52" t="str">
        <v/>
      </c>
      <c r="BN77" s="52">
        <v>0</v>
      </c>
      <c r="BO77" s="52" t="str">
        <v/>
      </c>
      <c r="BP77" s="52">
        <v>0</v>
      </c>
      <c r="BQ77" s="52" t="str">
        <v/>
      </c>
      <c r="BR77" s="52">
        <v>0</v>
      </c>
      <c r="BS77" s="52" t="str">
        <v/>
      </c>
      <c r="BT77" s="52">
        <v>0</v>
      </c>
      <c r="BU77" s="52" t="str">
        <v/>
      </c>
      <c r="BV77" s="52">
        <v>0</v>
      </c>
      <c r="BW77" s="52" t="str">
        <v/>
      </c>
      <c r="BX77" s="52">
        <v>0</v>
      </c>
      <c r="BY77" s="52" t="str">
        <v/>
      </c>
      <c r="BZ77" s="52">
        <v>0</v>
      </c>
      <c r="CA77" s="52" t="str">
        <v/>
      </c>
      <c r="CB77" s="52">
        <v>0</v>
      </c>
      <c r="CC77" s="52" t="str">
        <v/>
      </c>
      <c r="CD77" s="52">
        <v>0</v>
      </c>
      <c r="CE77" s="52" t="str">
        <v/>
      </c>
      <c r="CF77" s="52">
        <v>0</v>
      </c>
      <c r="CG77" s="52">
        <v>0</v>
      </c>
      <c r="CH77" s="52">
        <v>0</v>
      </c>
      <c r="CI77" s="52">
        <v>0</v>
      </c>
      <c r="CJ77" s="52">
        <v>0</v>
      </c>
      <c r="CK77" s="52">
        <v>0</v>
      </c>
      <c r="CL77" s="52">
        <v>0</v>
      </c>
      <c r="CM77" s="52">
        <v>0</v>
      </c>
      <c r="CN77" s="52">
        <v>0</v>
      </c>
      <c r="CO77" s="52">
        <v>0</v>
      </c>
      <c r="CP77" s="52">
        <v>0</v>
      </c>
      <c r="CQ77" s="52">
        <v>0</v>
      </c>
      <c r="CR77" s="52">
        <v>0</v>
      </c>
      <c r="CS77" s="52">
        <v>0</v>
      </c>
      <c r="CT77" s="52">
        <v>0</v>
      </c>
      <c r="CU77" s="52">
        <v>0</v>
      </c>
      <c r="CV77" s="52">
        <v>0</v>
      </c>
      <c r="CW77" s="52">
        <v>0</v>
      </c>
      <c r="CX77" s="52">
        <v>0</v>
      </c>
      <c r="CY77" s="52">
        <v>0</v>
      </c>
      <c r="CZ77" s="52">
        <v>0</v>
      </c>
      <c r="DA77" s="52">
        <v>0</v>
      </c>
      <c r="DB77" s="52">
        <v>0</v>
      </c>
      <c r="DC77" s="52">
        <v>0</v>
      </c>
      <c r="DD77" s="52">
        <v>0</v>
      </c>
      <c r="DE77" s="52">
        <v>0</v>
      </c>
      <c r="DF77" s="52">
        <v>0</v>
      </c>
      <c r="DG77" s="52">
        <v>0</v>
      </c>
      <c r="DH77" s="52">
        <v>0</v>
      </c>
      <c r="DI77" s="52">
        <v>0</v>
      </c>
      <c r="DJ77" s="52">
        <v>0</v>
      </c>
      <c r="DK77" s="52" t="str">
        <v/>
      </c>
      <c r="DL77" s="52">
        <v>0</v>
      </c>
      <c r="DM77" s="52" t="str">
        <v/>
      </c>
    </row>
    <row r="78" spans="1:117" x14ac:dyDescent="0.25">
      <c r="A78" s="54">
        <v>-1014.5999999999996</v>
      </c>
      <c r="B78" s="52">
        <v>0</v>
      </c>
      <c r="C78" s="52" t="str">
        <v/>
      </c>
      <c r="D78" s="52">
        <v>0</v>
      </c>
      <c r="E78" s="52" t="str">
        <v/>
      </c>
      <c r="F78" s="52">
        <v>0</v>
      </c>
      <c r="G78" s="52" t="str">
        <v/>
      </c>
      <c r="H78" s="52">
        <v>0</v>
      </c>
      <c r="I78" s="52" t="str">
        <v/>
      </c>
      <c r="J78" s="52">
        <v>0</v>
      </c>
      <c r="K78" s="52" t="str">
        <v/>
      </c>
      <c r="L78" s="52">
        <v>0</v>
      </c>
      <c r="M78" s="52" t="str">
        <v/>
      </c>
      <c r="N78" s="52">
        <v>0</v>
      </c>
      <c r="O78" s="52" t="str">
        <v/>
      </c>
      <c r="P78" s="52">
        <v>0</v>
      </c>
      <c r="Q78" s="52" t="str">
        <v/>
      </c>
      <c r="R78" s="52">
        <v>0</v>
      </c>
      <c r="S78" s="52" t="str">
        <v/>
      </c>
      <c r="T78" s="52">
        <v>0</v>
      </c>
      <c r="U78" s="52" t="str">
        <v/>
      </c>
      <c r="V78" s="52">
        <v>0</v>
      </c>
      <c r="W78" s="52" t="str">
        <v/>
      </c>
      <c r="X78" s="52">
        <v>0</v>
      </c>
      <c r="Y78" s="52" t="str">
        <v/>
      </c>
      <c r="Z78" s="52">
        <v>0</v>
      </c>
      <c r="AA78" s="52" t="str">
        <v/>
      </c>
      <c r="AB78" s="52">
        <v>0</v>
      </c>
      <c r="AC78" s="52" t="str">
        <v/>
      </c>
      <c r="AD78" s="52">
        <v>0</v>
      </c>
      <c r="AE78" s="52" t="str">
        <v/>
      </c>
      <c r="AF78" s="52">
        <v>0</v>
      </c>
      <c r="AG78" s="52" t="str">
        <v/>
      </c>
      <c r="AH78" s="52">
        <v>0</v>
      </c>
      <c r="AI78" s="52" t="str">
        <v/>
      </c>
      <c r="AJ78" s="52">
        <v>0</v>
      </c>
      <c r="AK78" s="52" t="str">
        <v/>
      </c>
      <c r="AL78" s="52">
        <v>0</v>
      </c>
      <c r="AM78" s="52" t="str">
        <v/>
      </c>
      <c r="AN78" s="52">
        <v>0</v>
      </c>
      <c r="AO78" s="52" t="str">
        <v/>
      </c>
      <c r="AP78" s="52">
        <v>0</v>
      </c>
      <c r="AQ78" s="52" t="str">
        <v/>
      </c>
      <c r="AR78" s="52">
        <v>0</v>
      </c>
      <c r="AS78" s="52" t="str">
        <v/>
      </c>
      <c r="AT78" s="52">
        <v>0</v>
      </c>
      <c r="AU78" s="52" t="str">
        <v/>
      </c>
      <c r="AV78" s="52">
        <v>0</v>
      </c>
      <c r="AW78" s="52" t="str">
        <v/>
      </c>
      <c r="AX78" s="52">
        <v>0</v>
      </c>
      <c r="AY78" s="52" t="str">
        <v/>
      </c>
      <c r="AZ78" s="52">
        <v>0</v>
      </c>
      <c r="BA78" s="52" t="str">
        <v/>
      </c>
      <c r="BB78" s="52">
        <v>0</v>
      </c>
      <c r="BC78" s="52" t="str">
        <v/>
      </c>
      <c r="BD78" s="52">
        <v>0</v>
      </c>
      <c r="BE78" s="52" t="str">
        <v/>
      </c>
      <c r="BF78" s="52">
        <v>0</v>
      </c>
      <c r="BG78" s="52" t="str">
        <v/>
      </c>
      <c r="BH78" s="52">
        <v>0</v>
      </c>
      <c r="BI78" s="52" t="str">
        <v/>
      </c>
      <c r="BJ78" s="52">
        <v>0</v>
      </c>
      <c r="BK78" s="52" t="str">
        <v/>
      </c>
      <c r="BL78" s="52">
        <v>0</v>
      </c>
      <c r="BM78" s="52" t="str">
        <v/>
      </c>
      <c r="BN78" s="52">
        <v>0</v>
      </c>
      <c r="BO78" s="52" t="str">
        <v/>
      </c>
      <c r="BP78" s="52">
        <v>0</v>
      </c>
      <c r="BQ78" s="52" t="str">
        <v/>
      </c>
      <c r="BR78" s="52">
        <v>0</v>
      </c>
      <c r="BS78" s="52" t="str">
        <v/>
      </c>
      <c r="BT78" s="52">
        <v>0</v>
      </c>
      <c r="BU78" s="52" t="str">
        <v/>
      </c>
      <c r="BV78" s="52">
        <v>0</v>
      </c>
      <c r="BW78" s="52" t="str">
        <v/>
      </c>
      <c r="BX78" s="52">
        <v>0</v>
      </c>
      <c r="BY78" s="52" t="str">
        <v/>
      </c>
      <c r="BZ78" s="52">
        <v>0</v>
      </c>
      <c r="CA78" s="52" t="str">
        <v/>
      </c>
      <c r="CB78" s="52">
        <v>0</v>
      </c>
      <c r="CC78" s="52" t="str">
        <v/>
      </c>
      <c r="CD78" s="52">
        <v>0</v>
      </c>
      <c r="CE78" s="52" t="str">
        <v/>
      </c>
      <c r="CF78" s="52">
        <v>0</v>
      </c>
      <c r="CG78" s="52">
        <v>0</v>
      </c>
      <c r="CH78" s="52">
        <v>0</v>
      </c>
      <c r="CI78" s="52">
        <v>0</v>
      </c>
      <c r="CJ78" s="52">
        <v>0</v>
      </c>
      <c r="CK78" s="52">
        <v>0</v>
      </c>
      <c r="CL78" s="52">
        <v>0</v>
      </c>
      <c r="CM78" s="52">
        <v>0</v>
      </c>
      <c r="CN78" s="52">
        <v>0</v>
      </c>
      <c r="CO78" s="52">
        <v>0</v>
      </c>
      <c r="CP78" s="52">
        <v>0</v>
      </c>
      <c r="CQ78" s="52">
        <v>0</v>
      </c>
      <c r="CR78" s="52">
        <v>0</v>
      </c>
      <c r="CS78" s="52">
        <v>0</v>
      </c>
      <c r="CT78" s="52">
        <v>0</v>
      </c>
      <c r="CU78" s="52">
        <v>0</v>
      </c>
      <c r="CV78" s="52">
        <v>0</v>
      </c>
      <c r="CW78" s="52">
        <v>0</v>
      </c>
      <c r="CX78" s="52">
        <v>0</v>
      </c>
      <c r="CY78" s="52">
        <v>0</v>
      </c>
      <c r="CZ78" s="52">
        <v>0</v>
      </c>
      <c r="DA78" s="52">
        <v>0</v>
      </c>
      <c r="DB78" s="52">
        <v>0</v>
      </c>
      <c r="DC78" s="52">
        <v>0</v>
      </c>
      <c r="DD78" s="52">
        <v>0</v>
      </c>
      <c r="DE78" s="52">
        <v>0</v>
      </c>
      <c r="DF78" s="52">
        <v>0</v>
      </c>
      <c r="DG78" s="52">
        <v>0</v>
      </c>
      <c r="DH78" s="52">
        <v>0</v>
      </c>
      <c r="DI78" s="52">
        <v>0</v>
      </c>
      <c r="DJ78" s="52">
        <v>0</v>
      </c>
      <c r="DK78" s="52" t="str">
        <v/>
      </c>
      <c r="DL78" s="52">
        <v>0</v>
      </c>
      <c r="DM78" s="52" t="str">
        <v/>
      </c>
    </row>
    <row r="79" spans="1:117" x14ac:dyDescent="0.25">
      <c r="A79" s="54">
        <v>-975.44999999999959</v>
      </c>
      <c r="B79" s="52">
        <v>0</v>
      </c>
      <c r="C79" s="52" t="str">
        <v/>
      </c>
      <c r="D79" s="52">
        <v>0</v>
      </c>
      <c r="E79" s="52" t="str">
        <v/>
      </c>
      <c r="F79" s="52">
        <v>0</v>
      </c>
      <c r="G79" s="52" t="str">
        <v/>
      </c>
      <c r="H79" s="52">
        <v>0</v>
      </c>
      <c r="I79" s="52" t="str">
        <v/>
      </c>
      <c r="J79" s="52">
        <v>0</v>
      </c>
      <c r="K79" s="52" t="str">
        <v/>
      </c>
      <c r="L79" s="52">
        <v>0</v>
      </c>
      <c r="M79" s="52" t="str">
        <v/>
      </c>
      <c r="N79" s="52">
        <v>0</v>
      </c>
      <c r="O79" s="52" t="str">
        <v/>
      </c>
      <c r="P79" s="52">
        <v>0</v>
      </c>
      <c r="Q79" s="52" t="str">
        <v/>
      </c>
      <c r="R79" s="52">
        <v>0</v>
      </c>
      <c r="S79" s="52" t="str">
        <v/>
      </c>
      <c r="T79" s="52">
        <v>0</v>
      </c>
      <c r="U79" s="52" t="str">
        <v/>
      </c>
      <c r="V79" s="52">
        <v>0</v>
      </c>
      <c r="W79" s="52" t="str">
        <v/>
      </c>
      <c r="X79" s="52">
        <v>0</v>
      </c>
      <c r="Y79" s="52" t="str">
        <v/>
      </c>
      <c r="Z79" s="52">
        <v>0</v>
      </c>
      <c r="AA79" s="52" t="str">
        <v/>
      </c>
      <c r="AB79" s="52">
        <v>0</v>
      </c>
      <c r="AC79" s="52" t="str">
        <v/>
      </c>
      <c r="AD79" s="52">
        <v>0</v>
      </c>
      <c r="AE79" s="52" t="str">
        <v/>
      </c>
      <c r="AF79" s="52">
        <v>0</v>
      </c>
      <c r="AG79" s="52" t="str">
        <v/>
      </c>
      <c r="AH79" s="52">
        <v>0</v>
      </c>
      <c r="AI79" s="52" t="str">
        <v/>
      </c>
      <c r="AJ79" s="52">
        <v>0</v>
      </c>
      <c r="AK79" s="52" t="str">
        <v/>
      </c>
      <c r="AL79" s="52">
        <v>0</v>
      </c>
      <c r="AM79" s="52" t="str">
        <v/>
      </c>
      <c r="AN79" s="52">
        <v>0</v>
      </c>
      <c r="AO79" s="52" t="str">
        <v/>
      </c>
      <c r="AP79" s="52">
        <v>0</v>
      </c>
      <c r="AQ79" s="52" t="str">
        <v/>
      </c>
      <c r="AR79" s="52">
        <v>0</v>
      </c>
      <c r="AS79" s="52" t="str">
        <v/>
      </c>
      <c r="AT79" s="52">
        <v>0</v>
      </c>
      <c r="AU79" s="52" t="str">
        <v/>
      </c>
      <c r="AV79" s="52">
        <v>0</v>
      </c>
      <c r="AW79" s="52" t="str">
        <v/>
      </c>
      <c r="AX79" s="52">
        <v>0</v>
      </c>
      <c r="AY79" s="52" t="str">
        <v/>
      </c>
      <c r="AZ79" s="52">
        <v>0</v>
      </c>
      <c r="BA79" s="52" t="str">
        <v/>
      </c>
      <c r="BB79" s="52">
        <v>0</v>
      </c>
      <c r="BC79" s="52" t="str">
        <v/>
      </c>
      <c r="BD79" s="52">
        <v>0</v>
      </c>
      <c r="BE79" s="52" t="str">
        <v/>
      </c>
      <c r="BF79" s="52">
        <v>0</v>
      </c>
      <c r="BG79" s="52" t="str">
        <v/>
      </c>
      <c r="BH79" s="52">
        <v>0</v>
      </c>
      <c r="BI79" s="52" t="str">
        <v/>
      </c>
      <c r="BJ79" s="52">
        <v>0</v>
      </c>
      <c r="BK79" s="52" t="str">
        <v/>
      </c>
      <c r="BL79" s="52">
        <v>0</v>
      </c>
      <c r="BM79" s="52" t="str">
        <v/>
      </c>
      <c r="BN79" s="52">
        <v>0</v>
      </c>
      <c r="BO79" s="52" t="str">
        <v/>
      </c>
      <c r="BP79" s="52">
        <v>0</v>
      </c>
      <c r="BQ79" s="52" t="str">
        <v/>
      </c>
      <c r="BR79" s="52">
        <v>0</v>
      </c>
      <c r="BS79" s="52" t="str">
        <v/>
      </c>
      <c r="BT79" s="52">
        <v>0</v>
      </c>
      <c r="BU79" s="52" t="str">
        <v/>
      </c>
      <c r="BV79" s="52">
        <v>0</v>
      </c>
      <c r="BW79" s="52" t="str">
        <v/>
      </c>
      <c r="BX79" s="52">
        <v>0</v>
      </c>
      <c r="BY79" s="52" t="str">
        <v/>
      </c>
      <c r="BZ79" s="52">
        <v>0</v>
      </c>
      <c r="CA79" s="52" t="str">
        <v/>
      </c>
      <c r="CB79" s="52">
        <v>0</v>
      </c>
      <c r="CC79" s="52" t="str">
        <v/>
      </c>
      <c r="CD79" s="52">
        <v>0</v>
      </c>
      <c r="CE79" s="52" t="str">
        <v/>
      </c>
      <c r="CF79" s="52">
        <v>0</v>
      </c>
      <c r="CG79" s="52">
        <v>0</v>
      </c>
      <c r="CH79" s="52">
        <v>0</v>
      </c>
      <c r="CI79" s="52">
        <v>0</v>
      </c>
      <c r="CJ79" s="52">
        <v>0</v>
      </c>
      <c r="CK79" s="52">
        <v>0</v>
      </c>
      <c r="CL79" s="52">
        <v>0</v>
      </c>
      <c r="CM79" s="52">
        <v>0</v>
      </c>
      <c r="CN79" s="52">
        <v>0</v>
      </c>
      <c r="CO79" s="52">
        <v>0</v>
      </c>
      <c r="CP79" s="52">
        <v>0</v>
      </c>
      <c r="CQ79" s="52">
        <v>0</v>
      </c>
      <c r="CR79" s="52">
        <v>0</v>
      </c>
      <c r="CS79" s="52">
        <v>0</v>
      </c>
      <c r="CT79" s="52">
        <v>0</v>
      </c>
      <c r="CU79" s="52">
        <v>0</v>
      </c>
      <c r="CV79" s="52">
        <v>0</v>
      </c>
      <c r="CW79" s="52">
        <v>0</v>
      </c>
      <c r="CX79" s="52">
        <v>0</v>
      </c>
      <c r="CY79" s="52">
        <v>0</v>
      </c>
      <c r="CZ79" s="52">
        <v>0</v>
      </c>
      <c r="DA79" s="52">
        <v>0</v>
      </c>
      <c r="DB79" s="52">
        <v>0</v>
      </c>
      <c r="DC79" s="52">
        <v>0</v>
      </c>
      <c r="DD79" s="52">
        <v>0</v>
      </c>
      <c r="DE79" s="52">
        <v>0</v>
      </c>
      <c r="DF79" s="52">
        <v>0</v>
      </c>
      <c r="DG79" s="52">
        <v>0</v>
      </c>
      <c r="DH79" s="52">
        <v>0</v>
      </c>
      <c r="DI79" s="52">
        <v>0</v>
      </c>
      <c r="DJ79" s="52">
        <v>0</v>
      </c>
      <c r="DK79" s="52" t="str">
        <v/>
      </c>
      <c r="DL79" s="52">
        <v>0</v>
      </c>
      <c r="DM79" s="52" t="str">
        <v/>
      </c>
    </row>
    <row r="80" spans="1:117" x14ac:dyDescent="0.25">
      <c r="A80" s="54">
        <v>-936.29999999999961</v>
      </c>
      <c r="B80" s="52">
        <v>0</v>
      </c>
      <c r="C80" s="52" t="str">
        <v/>
      </c>
      <c r="D80" s="52">
        <v>0</v>
      </c>
      <c r="E80" s="52" t="str">
        <v/>
      </c>
      <c r="F80" s="52">
        <v>0</v>
      </c>
      <c r="G80" s="52" t="str">
        <v/>
      </c>
      <c r="H80" s="52">
        <v>0</v>
      </c>
      <c r="I80" s="52" t="str">
        <v/>
      </c>
      <c r="J80" s="52">
        <v>0</v>
      </c>
      <c r="K80" s="52" t="str">
        <v/>
      </c>
      <c r="L80" s="52">
        <v>0</v>
      </c>
      <c r="M80" s="52" t="str">
        <v/>
      </c>
      <c r="N80" s="52">
        <v>0</v>
      </c>
      <c r="O80" s="52" t="str">
        <v/>
      </c>
      <c r="P80" s="52">
        <v>0</v>
      </c>
      <c r="Q80" s="52" t="str">
        <v/>
      </c>
      <c r="R80" s="52">
        <v>0</v>
      </c>
      <c r="S80" s="52" t="str">
        <v/>
      </c>
      <c r="T80" s="52">
        <v>0</v>
      </c>
      <c r="U80" s="52" t="str">
        <v/>
      </c>
      <c r="V80" s="52">
        <v>0</v>
      </c>
      <c r="W80" s="52" t="str">
        <v/>
      </c>
      <c r="X80" s="52">
        <v>0</v>
      </c>
      <c r="Y80" s="52" t="str">
        <v/>
      </c>
      <c r="Z80" s="52">
        <v>0</v>
      </c>
      <c r="AA80" s="52" t="str">
        <v/>
      </c>
      <c r="AB80" s="52">
        <v>0</v>
      </c>
      <c r="AC80" s="52" t="str">
        <v/>
      </c>
      <c r="AD80" s="52">
        <v>0</v>
      </c>
      <c r="AE80" s="52" t="str">
        <v/>
      </c>
      <c r="AF80" s="52">
        <v>0</v>
      </c>
      <c r="AG80" s="52" t="str">
        <v/>
      </c>
      <c r="AH80" s="52">
        <v>0</v>
      </c>
      <c r="AI80" s="52" t="str">
        <v/>
      </c>
      <c r="AJ80" s="52">
        <v>0</v>
      </c>
      <c r="AK80" s="52" t="str">
        <v/>
      </c>
      <c r="AL80" s="52">
        <v>0</v>
      </c>
      <c r="AM80" s="52" t="str">
        <v/>
      </c>
      <c r="AN80" s="52">
        <v>0</v>
      </c>
      <c r="AO80" s="52" t="str">
        <v/>
      </c>
      <c r="AP80" s="52">
        <v>0</v>
      </c>
      <c r="AQ80" s="52" t="str">
        <v/>
      </c>
      <c r="AR80" s="52">
        <v>0</v>
      </c>
      <c r="AS80" s="52" t="str">
        <v/>
      </c>
      <c r="AT80" s="52">
        <v>0</v>
      </c>
      <c r="AU80" s="52" t="str">
        <v/>
      </c>
      <c r="AV80" s="52">
        <v>0</v>
      </c>
      <c r="AW80" s="52" t="str">
        <v/>
      </c>
      <c r="AX80" s="52">
        <v>0</v>
      </c>
      <c r="AY80" s="52" t="str">
        <v/>
      </c>
      <c r="AZ80" s="52">
        <v>0</v>
      </c>
      <c r="BA80" s="52" t="str">
        <v/>
      </c>
      <c r="BB80" s="52">
        <v>0</v>
      </c>
      <c r="BC80" s="52" t="str">
        <v/>
      </c>
      <c r="BD80" s="52">
        <v>0</v>
      </c>
      <c r="BE80" s="52" t="str">
        <v/>
      </c>
      <c r="BF80" s="52">
        <v>0</v>
      </c>
      <c r="BG80" s="52" t="str">
        <v/>
      </c>
      <c r="BH80" s="52">
        <v>0</v>
      </c>
      <c r="BI80" s="52" t="str">
        <v/>
      </c>
      <c r="BJ80" s="52">
        <v>0</v>
      </c>
      <c r="BK80" s="52" t="str">
        <v/>
      </c>
      <c r="BL80" s="52">
        <v>0</v>
      </c>
      <c r="BM80" s="52" t="str">
        <v/>
      </c>
      <c r="BN80" s="52">
        <v>0</v>
      </c>
      <c r="BO80" s="52" t="str">
        <v/>
      </c>
      <c r="BP80" s="52">
        <v>0</v>
      </c>
      <c r="BQ80" s="52" t="str">
        <v/>
      </c>
      <c r="BR80" s="52">
        <v>0</v>
      </c>
      <c r="BS80" s="52" t="str">
        <v/>
      </c>
      <c r="BT80" s="52">
        <v>0</v>
      </c>
      <c r="BU80" s="52" t="str">
        <v/>
      </c>
      <c r="BV80" s="52">
        <v>0</v>
      </c>
      <c r="BW80" s="52" t="str">
        <v/>
      </c>
      <c r="BX80" s="52">
        <v>0</v>
      </c>
      <c r="BY80" s="52" t="str">
        <v/>
      </c>
      <c r="BZ80" s="52">
        <v>0</v>
      </c>
      <c r="CA80" s="52" t="str">
        <v/>
      </c>
      <c r="CB80" s="52">
        <v>0</v>
      </c>
      <c r="CC80" s="52" t="str">
        <v/>
      </c>
      <c r="CD80" s="52">
        <v>0</v>
      </c>
      <c r="CE80" s="52" t="str">
        <v/>
      </c>
      <c r="CF80" s="52">
        <v>0</v>
      </c>
      <c r="CG80" s="52">
        <v>0</v>
      </c>
      <c r="CH80" s="52">
        <v>0</v>
      </c>
      <c r="CI80" s="52">
        <v>0</v>
      </c>
      <c r="CJ80" s="52">
        <v>0</v>
      </c>
      <c r="CK80" s="52">
        <v>0</v>
      </c>
      <c r="CL80" s="52">
        <v>0</v>
      </c>
      <c r="CM80" s="52">
        <v>0</v>
      </c>
      <c r="CN80" s="52">
        <v>0</v>
      </c>
      <c r="CO80" s="52">
        <v>0</v>
      </c>
      <c r="CP80" s="52">
        <v>0</v>
      </c>
      <c r="CQ80" s="52">
        <v>0</v>
      </c>
      <c r="CR80" s="52">
        <v>0</v>
      </c>
      <c r="CS80" s="52">
        <v>0</v>
      </c>
      <c r="CT80" s="52">
        <v>0</v>
      </c>
      <c r="CU80" s="52">
        <v>0</v>
      </c>
      <c r="CV80" s="52">
        <v>0</v>
      </c>
      <c r="CW80" s="52">
        <v>0</v>
      </c>
      <c r="CX80" s="52">
        <v>0</v>
      </c>
      <c r="CY80" s="52">
        <v>0</v>
      </c>
      <c r="CZ80" s="52">
        <v>0</v>
      </c>
      <c r="DA80" s="52">
        <v>0</v>
      </c>
      <c r="DB80" s="52">
        <v>0</v>
      </c>
      <c r="DC80" s="52">
        <v>0</v>
      </c>
      <c r="DD80" s="52">
        <v>0</v>
      </c>
      <c r="DE80" s="52">
        <v>0</v>
      </c>
      <c r="DF80" s="52">
        <v>0</v>
      </c>
      <c r="DG80" s="52">
        <v>0</v>
      </c>
      <c r="DH80" s="52">
        <v>0</v>
      </c>
      <c r="DI80" s="52">
        <v>0</v>
      </c>
      <c r="DJ80" s="52">
        <v>0</v>
      </c>
      <c r="DK80" s="52" t="str">
        <v/>
      </c>
      <c r="DL80" s="52">
        <v>0</v>
      </c>
      <c r="DM80" s="52" t="str">
        <v/>
      </c>
    </row>
    <row r="81" spans="1:117" x14ac:dyDescent="0.25">
      <c r="A81" s="54">
        <v>-897.14999999999964</v>
      </c>
      <c r="B81" s="52">
        <v>0</v>
      </c>
      <c r="C81" s="52" t="str">
        <v/>
      </c>
      <c r="D81" s="52">
        <v>0</v>
      </c>
      <c r="E81" s="52" t="str">
        <v/>
      </c>
      <c r="F81" s="52">
        <v>0</v>
      </c>
      <c r="G81" s="52" t="str">
        <v/>
      </c>
      <c r="H81" s="52">
        <v>0</v>
      </c>
      <c r="I81" s="52" t="str">
        <v/>
      </c>
      <c r="J81" s="52">
        <v>0</v>
      </c>
      <c r="K81" s="52" t="str">
        <v/>
      </c>
      <c r="L81" s="52">
        <v>0</v>
      </c>
      <c r="M81" s="52" t="str">
        <v/>
      </c>
      <c r="N81" s="52">
        <v>0</v>
      </c>
      <c r="O81" s="52" t="str">
        <v/>
      </c>
      <c r="P81" s="52">
        <v>0</v>
      </c>
      <c r="Q81" s="52" t="str">
        <v/>
      </c>
      <c r="R81" s="52">
        <v>0</v>
      </c>
      <c r="S81" s="52" t="str">
        <v/>
      </c>
      <c r="T81" s="52">
        <v>0</v>
      </c>
      <c r="U81" s="52" t="str">
        <v/>
      </c>
      <c r="V81" s="52">
        <v>0</v>
      </c>
      <c r="W81" s="52" t="str">
        <v/>
      </c>
      <c r="X81" s="52">
        <v>0</v>
      </c>
      <c r="Y81" s="52" t="str">
        <v/>
      </c>
      <c r="Z81" s="52">
        <v>0</v>
      </c>
      <c r="AA81" s="52" t="str">
        <v/>
      </c>
      <c r="AB81" s="52">
        <v>0</v>
      </c>
      <c r="AC81" s="52" t="str">
        <v/>
      </c>
      <c r="AD81" s="52">
        <v>0</v>
      </c>
      <c r="AE81" s="52" t="str">
        <v/>
      </c>
      <c r="AF81" s="52">
        <v>0</v>
      </c>
      <c r="AG81" s="52" t="str">
        <v/>
      </c>
      <c r="AH81" s="52">
        <v>0</v>
      </c>
      <c r="AI81" s="52" t="str">
        <v/>
      </c>
      <c r="AJ81" s="52">
        <v>0</v>
      </c>
      <c r="AK81" s="52" t="str">
        <v/>
      </c>
      <c r="AL81" s="52">
        <v>0</v>
      </c>
      <c r="AM81" s="52" t="str">
        <v/>
      </c>
      <c r="AN81" s="52">
        <v>0</v>
      </c>
      <c r="AO81" s="52" t="str">
        <v/>
      </c>
      <c r="AP81" s="52">
        <v>0</v>
      </c>
      <c r="AQ81" s="52" t="str">
        <v/>
      </c>
      <c r="AR81" s="52">
        <v>0</v>
      </c>
      <c r="AS81" s="52" t="str">
        <v/>
      </c>
      <c r="AT81" s="52">
        <v>0</v>
      </c>
      <c r="AU81" s="52" t="str">
        <v/>
      </c>
      <c r="AV81" s="52">
        <v>0</v>
      </c>
      <c r="AW81" s="52" t="str">
        <v/>
      </c>
      <c r="AX81" s="52">
        <v>0</v>
      </c>
      <c r="AY81" s="52" t="str">
        <v/>
      </c>
      <c r="AZ81" s="52">
        <v>0</v>
      </c>
      <c r="BA81" s="52" t="str">
        <v/>
      </c>
      <c r="BB81" s="52">
        <v>0</v>
      </c>
      <c r="BC81" s="52" t="str">
        <v/>
      </c>
      <c r="BD81" s="52">
        <v>0</v>
      </c>
      <c r="BE81" s="52" t="str">
        <v/>
      </c>
      <c r="BF81" s="52">
        <v>0</v>
      </c>
      <c r="BG81" s="52" t="str">
        <v/>
      </c>
      <c r="BH81" s="52">
        <v>0</v>
      </c>
      <c r="BI81" s="52" t="str">
        <v/>
      </c>
      <c r="BJ81" s="52">
        <v>0</v>
      </c>
      <c r="BK81" s="52" t="str">
        <v/>
      </c>
      <c r="BL81" s="52">
        <v>0</v>
      </c>
      <c r="BM81" s="52" t="str">
        <v/>
      </c>
      <c r="BN81" s="52">
        <v>0</v>
      </c>
      <c r="BO81" s="52" t="str">
        <v/>
      </c>
      <c r="BP81" s="52">
        <v>0</v>
      </c>
      <c r="BQ81" s="52" t="str">
        <v/>
      </c>
      <c r="BR81" s="52">
        <v>0</v>
      </c>
      <c r="BS81" s="52" t="str">
        <v/>
      </c>
      <c r="BT81" s="52">
        <v>0</v>
      </c>
      <c r="BU81" s="52" t="str">
        <v/>
      </c>
      <c r="BV81" s="52">
        <v>0</v>
      </c>
      <c r="BW81" s="52" t="str">
        <v/>
      </c>
      <c r="BX81" s="52">
        <v>0</v>
      </c>
      <c r="BY81" s="52" t="str">
        <v/>
      </c>
      <c r="BZ81" s="52">
        <v>0</v>
      </c>
      <c r="CA81" s="52" t="str">
        <v/>
      </c>
      <c r="CB81" s="52">
        <v>0</v>
      </c>
      <c r="CC81" s="52" t="str">
        <v/>
      </c>
      <c r="CD81" s="52">
        <v>0</v>
      </c>
      <c r="CE81" s="52">
        <v>0</v>
      </c>
      <c r="CF81" s="52">
        <v>0</v>
      </c>
      <c r="CG81" s="52">
        <v>0</v>
      </c>
      <c r="CH81" s="52">
        <v>0</v>
      </c>
      <c r="CI81" s="52">
        <v>0</v>
      </c>
      <c r="CJ81" s="52">
        <v>0</v>
      </c>
      <c r="CK81" s="52">
        <v>0</v>
      </c>
      <c r="CL81" s="52">
        <v>0</v>
      </c>
      <c r="CM81" s="52">
        <v>0</v>
      </c>
      <c r="CN81" s="52">
        <v>0</v>
      </c>
      <c r="CO81" s="52">
        <v>0</v>
      </c>
      <c r="CP81" s="52">
        <v>0</v>
      </c>
      <c r="CQ81" s="52">
        <v>0</v>
      </c>
      <c r="CR81" s="52">
        <v>0</v>
      </c>
      <c r="CS81" s="52">
        <v>0</v>
      </c>
      <c r="CT81" s="52">
        <v>0</v>
      </c>
      <c r="CU81" s="52">
        <v>0</v>
      </c>
      <c r="CV81" s="52">
        <v>0</v>
      </c>
      <c r="CW81" s="52">
        <v>0</v>
      </c>
      <c r="CX81" s="52">
        <v>0</v>
      </c>
      <c r="CY81" s="52">
        <v>0</v>
      </c>
      <c r="CZ81" s="52">
        <v>0</v>
      </c>
      <c r="DA81" s="52">
        <v>0</v>
      </c>
      <c r="DB81" s="52">
        <v>0</v>
      </c>
      <c r="DC81" s="52">
        <v>0</v>
      </c>
      <c r="DD81" s="52">
        <v>0</v>
      </c>
      <c r="DE81" s="52">
        <v>0</v>
      </c>
      <c r="DF81" s="52">
        <v>0</v>
      </c>
      <c r="DG81" s="52">
        <v>0</v>
      </c>
      <c r="DH81" s="52">
        <v>0</v>
      </c>
      <c r="DI81" s="52">
        <v>0</v>
      </c>
      <c r="DJ81" s="52">
        <v>0</v>
      </c>
      <c r="DK81" s="52" t="str">
        <v/>
      </c>
      <c r="DL81" s="52">
        <v>0</v>
      </c>
      <c r="DM81" s="52" t="str">
        <v/>
      </c>
    </row>
    <row r="82" spans="1:117" x14ac:dyDescent="0.25">
      <c r="A82" s="54">
        <v>-857.99999999999966</v>
      </c>
      <c r="B82" s="52">
        <v>0</v>
      </c>
      <c r="C82" s="52" t="str">
        <v/>
      </c>
      <c r="D82" s="52">
        <v>0</v>
      </c>
      <c r="E82" s="52" t="str">
        <v/>
      </c>
      <c r="F82" s="52">
        <v>0</v>
      </c>
      <c r="G82" s="52" t="str">
        <v/>
      </c>
      <c r="H82" s="52">
        <v>0</v>
      </c>
      <c r="I82" s="52" t="str">
        <v/>
      </c>
      <c r="J82" s="52">
        <v>0</v>
      </c>
      <c r="K82" s="52" t="str">
        <v/>
      </c>
      <c r="L82" s="52">
        <v>0</v>
      </c>
      <c r="M82" s="52" t="str">
        <v/>
      </c>
      <c r="N82" s="52">
        <v>0</v>
      </c>
      <c r="O82" s="52" t="str">
        <v/>
      </c>
      <c r="P82" s="52">
        <v>0</v>
      </c>
      <c r="Q82" s="52" t="str">
        <v/>
      </c>
      <c r="R82" s="52">
        <v>0</v>
      </c>
      <c r="S82" s="52" t="str">
        <v/>
      </c>
      <c r="T82" s="52">
        <v>0</v>
      </c>
      <c r="U82" s="52" t="str">
        <v/>
      </c>
      <c r="V82" s="52">
        <v>0</v>
      </c>
      <c r="W82" s="52" t="str">
        <v/>
      </c>
      <c r="X82" s="52">
        <v>0</v>
      </c>
      <c r="Y82" s="52" t="str">
        <v/>
      </c>
      <c r="Z82" s="52">
        <v>0</v>
      </c>
      <c r="AA82" s="52" t="str">
        <v/>
      </c>
      <c r="AB82" s="52">
        <v>0</v>
      </c>
      <c r="AC82" s="52" t="str">
        <v/>
      </c>
      <c r="AD82" s="52">
        <v>0</v>
      </c>
      <c r="AE82" s="52" t="str">
        <v/>
      </c>
      <c r="AF82" s="52">
        <v>0</v>
      </c>
      <c r="AG82" s="52" t="str">
        <v/>
      </c>
      <c r="AH82" s="52">
        <v>0</v>
      </c>
      <c r="AI82" s="52" t="str">
        <v/>
      </c>
      <c r="AJ82" s="52">
        <v>0</v>
      </c>
      <c r="AK82" s="52" t="str">
        <v/>
      </c>
      <c r="AL82" s="52">
        <v>0</v>
      </c>
      <c r="AM82" s="52" t="str">
        <v/>
      </c>
      <c r="AN82" s="52">
        <v>0</v>
      </c>
      <c r="AO82" s="52" t="str">
        <v/>
      </c>
      <c r="AP82" s="52">
        <v>0</v>
      </c>
      <c r="AQ82" s="52" t="str">
        <v/>
      </c>
      <c r="AR82" s="52">
        <v>0</v>
      </c>
      <c r="AS82" s="52" t="str">
        <v/>
      </c>
      <c r="AT82" s="52">
        <v>0</v>
      </c>
      <c r="AU82" s="52" t="str">
        <v/>
      </c>
      <c r="AV82" s="52">
        <v>0</v>
      </c>
      <c r="AW82" s="52" t="str">
        <v/>
      </c>
      <c r="AX82" s="52">
        <v>0</v>
      </c>
      <c r="AY82" s="52" t="str">
        <v/>
      </c>
      <c r="AZ82" s="52">
        <v>0</v>
      </c>
      <c r="BA82" s="52" t="str">
        <v/>
      </c>
      <c r="BB82" s="52">
        <v>0</v>
      </c>
      <c r="BC82" s="52" t="str">
        <v/>
      </c>
      <c r="BD82" s="52">
        <v>0</v>
      </c>
      <c r="BE82" s="52" t="str">
        <v/>
      </c>
      <c r="BF82" s="52">
        <v>0</v>
      </c>
      <c r="BG82" s="52" t="str">
        <v/>
      </c>
      <c r="BH82" s="52">
        <v>0</v>
      </c>
      <c r="BI82" s="52" t="str">
        <v/>
      </c>
      <c r="BJ82" s="52">
        <v>0</v>
      </c>
      <c r="BK82" s="52" t="str">
        <v/>
      </c>
      <c r="BL82" s="52">
        <v>0</v>
      </c>
      <c r="BM82" s="52" t="str">
        <v/>
      </c>
      <c r="BN82" s="52">
        <v>0</v>
      </c>
      <c r="BO82" s="52" t="str">
        <v/>
      </c>
      <c r="BP82" s="52">
        <v>0</v>
      </c>
      <c r="BQ82" s="52" t="str">
        <v/>
      </c>
      <c r="BR82" s="52">
        <v>0</v>
      </c>
      <c r="BS82" s="52" t="str">
        <v/>
      </c>
      <c r="BT82" s="52">
        <v>0</v>
      </c>
      <c r="BU82" s="52" t="str">
        <v/>
      </c>
      <c r="BV82" s="52">
        <v>0</v>
      </c>
      <c r="BW82" s="52" t="str">
        <v/>
      </c>
      <c r="BX82" s="52">
        <v>0</v>
      </c>
      <c r="BY82" s="52" t="str">
        <v/>
      </c>
      <c r="BZ82" s="52">
        <v>0</v>
      </c>
      <c r="CA82" s="52" t="str">
        <v/>
      </c>
      <c r="CB82" s="52">
        <v>0</v>
      </c>
      <c r="CC82" s="52" t="str">
        <v/>
      </c>
      <c r="CD82" s="52">
        <v>0</v>
      </c>
      <c r="CE82" s="52">
        <v>0</v>
      </c>
      <c r="CF82" s="52">
        <v>0</v>
      </c>
      <c r="CG82" s="52">
        <v>0</v>
      </c>
      <c r="CH82" s="52">
        <v>0</v>
      </c>
      <c r="CI82" s="52">
        <v>0</v>
      </c>
      <c r="CJ82" s="52">
        <v>0</v>
      </c>
      <c r="CK82" s="52">
        <v>0</v>
      </c>
      <c r="CL82" s="52">
        <v>0</v>
      </c>
      <c r="CM82" s="52">
        <v>0</v>
      </c>
      <c r="CN82" s="52">
        <v>0</v>
      </c>
      <c r="CO82" s="52">
        <v>0</v>
      </c>
      <c r="CP82" s="52">
        <v>0</v>
      </c>
      <c r="CQ82" s="52">
        <v>0</v>
      </c>
      <c r="CR82" s="52">
        <v>0</v>
      </c>
      <c r="CS82" s="52">
        <v>0</v>
      </c>
      <c r="CT82" s="52">
        <v>0</v>
      </c>
      <c r="CU82" s="52">
        <v>0</v>
      </c>
      <c r="CV82" s="52">
        <v>0</v>
      </c>
      <c r="CW82" s="52">
        <v>0</v>
      </c>
      <c r="CX82" s="52">
        <v>0</v>
      </c>
      <c r="CY82" s="52">
        <v>0</v>
      </c>
      <c r="CZ82" s="52">
        <v>0</v>
      </c>
      <c r="DA82" s="52">
        <v>0</v>
      </c>
      <c r="DB82" s="52">
        <v>0</v>
      </c>
      <c r="DC82" s="52">
        <v>0</v>
      </c>
      <c r="DD82" s="52">
        <v>0</v>
      </c>
      <c r="DE82" s="52">
        <v>0</v>
      </c>
      <c r="DF82" s="52">
        <v>0</v>
      </c>
      <c r="DG82" s="52">
        <v>0</v>
      </c>
      <c r="DH82" s="52">
        <v>0</v>
      </c>
      <c r="DI82" s="52">
        <v>0</v>
      </c>
      <c r="DJ82" s="52">
        <v>0</v>
      </c>
      <c r="DK82" s="52" t="str">
        <v/>
      </c>
      <c r="DL82" s="52">
        <v>0</v>
      </c>
      <c r="DM82" s="52" t="str">
        <v/>
      </c>
    </row>
    <row r="83" spans="1:117" x14ac:dyDescent="0.25">
      <c r="A83" s="54">
        <v>-818.84999999999968</v>
      </c>
      <c r="B83" s="52">
        <v>0</v>
      </c>
      <c r="C83" s="52" t="str">
        <v/>
      </c>
      <c r="D83" s="52">
        <v>0</v>
      </c>
      <c r="E83" s="52" t="str">
        <v/>
      </c>
      <c r="F83" s="52">
        <v>0</v>
      </c>
      <c r="G83" s="52" t="str">
        <v/>
      </c>
      <c r="H83" s="52">
        <v>0</v>
      </c>
      <c r="I83" s="52" t="str">
        <v/>
      </c>
      <c r="J83" s="52">
        <v>0</v>
      </c>
      <c r="K83" s="52" t="str">
        <v/>
      </c>
      <c r="L83" s="52">
        <v>0</v>
      </c>
      <c r="M83" s="52" t="str">
        <v/>
      </c>
      <c r="N83" s="52">
        <v>0</v>
      </c>
      <c r="O83" s="52" t="str">
        <v/>
      </c>
      <c r="P83" s="52">
        <v>0</v>
      </c>
      <c r="Q83" s="52" t="str">
        <v/>
      </c>
      <c r="R83" s="52">
        <v>0</v>
      </c>
      <c r="S83" s="52" t="str">
        <v/>
      </c>
      <c r="T83" s="52">
        <v>0</v>
      </c>
      <c r="U83" s="52" t="str">
        <v/>
      </c>
      <c r="V83" s="52">
        <v>0</v>
      </c>
      <c r="W83" s="52" t="str">
        <v/>
      </c>
      <c r="X83" s="52">
        <v>0</v>
      </c>
      <c r="Y83" s="52" t="str">
        <v/>
      </c>
      <c r="Z83" s="52">
        <v>0</v>
      </c>
      <c r="AA83" s="52" t="str">
        <v/>
      </c>
      <c r="AB83" s="52">
        <v>0</v>
      </c>
      <c r="AC83" s="52" t="str">
        <v/>
      </c>
      <c r="AD83" s="52">
        <v>0</v>
      </c>
      <c r="AE83" s="52" t="str">
        <v/>
      </c>
      <c r="AF83" s="52">
        <v>0</v>
      </c>
      <c r="AG83" s="52" t="str">
        <v/>
      </c>
      <c r="AH83" s="52">
        <v>0</v>
      </c>
      <c r="AI83" s="52" t="str">
        <v/>
      </c>
      <c r="AJ83" s="52">
        <v>0</v>
      </c>
      <c r="AK83" s="52" t="str">
        <v/>
      </c>
      <c r="AL83" s="52">
        <v>0</v>
      </c>
      <c r="AM83" s="52" t="str">
        <v/>
      </c>
      <c r="AN83" s="52">
        <v>0</v>
      </c>
      <c r="AO83" s="52" t="str">
        <v/>
      </c>
      <c r="AP83" s="52">
        <v>0</v>
      </c>
      <c r="AQ83" s="52" t="str">
        <v/>
      </c>
      <c r="AR83" s="52">
        <v>0</v>
      </c>
      <c r="AS83" s="52" t="str">
        <v/>
      </c>
      <c r="AT83" s="52">
        <v>0</v>
      </c>
      <c r="AU83" s="52" t="str">
        <v/>
      </c>
      <c r="AV83" s="52">
        <v>0</v>
      </c>
      <c r="AW83" s="52" t="str">
        <v/>
      </c>
      <c r="AX83" s="52">
        <v>0</v>
      </c>
      <c r="AY83" s="52" t="str">
        <v/>
      </c>
      <c r="AZ83" s="52">
        <v>0</v>
      </c>
      <c r="BA83" s="52" t="str">
        <v/>
      </c>
      <c r="BB83" s="52">
        <v>0</v>
      </c>
      <c r="BC83" s="52" t="str">
        <v/>
      </c>
      <c r="BD83" s="52">
        <v>0</v>
      </c>
      <c r="BE83" s="52" t="str">
        <v/>
      </c>
      <c r="BF83" s="52">
        <v>0</v>
      </c>
      <c r="BG83" s="52" t="str">
        <v/>
      </c>
      <c r="BH83" s="52">
        <v>0</v>
      </c>
      <c r="BI83" s="52" t="str">
        <v/>
      </c>
      <c r="BJ83" s="52">
        <v>0</v>
      </c>
      <c r="BK83" s="52" t="str">
        <v/>
      </c>
      <c r="BL83" s="52">
        <v>0</v>
      </c>
      <c r="BM83" s="52" t="str">
        <v/>
      </c>
      <c r="BN83" s="52">
        <v>0</v>
      </c>
      <c r="BO83" s="52" t="str">
        <v/>
      </c>
      <c r="BP83" s="52">
        <v>0</v>
      </c>
      <c r="BQ83" s="52" t="str">
        <v/>
      </c>
      <c r="BR83" s="52">
        <v>0</v>
      </c>
      <c r="BS83" s="52" t="str">
        <v/>
      </c>
      <c r="BT83" s="52">
        <v>0</v>
      </c>
      <c r="BU83" s="52" t="str">
        <v/>
      </c>
      <c r="BV83" s="52">
        <v>0</v>
      </c>
      <c r="BW83" s="52" t="str">
        <v/>
      </c>
      <c r="BX83" s="52">
        <v>0</v>
      </c>
      <c r="BY83" s="52" t="str">
        <v/>
      </c>
      <c r="BZ83" s="52">
        <v>0</v>
      </c>
      <c r="CA83" s="52" t="str">
        <v/>
      </c>
      <c r="CB83" s="52">
        <v>0</v>
      </c>
      <c r="CC83" s="52" t="str">
        <v/>
      </c>
      <c r="CD83" s="52">
        <v>0</v>
      </c>
      <c r="CE83" s="52">
        <v>0</v>
      </c>
      <c r="CF83" s="52">
        <v>0</v>
      </c>
      <c r="CG83" s="52">
        <v>0</v>
      </c>
      <c r="CH83" s="52">
        <v>0</v>
      </c>
      <c r="CI83" s="52">
        <v>0</v>
      </c>
      <c r="CJ83" s="52">
        <v>0</v>
      </c>
      <c r="CK83" s="52">
        <v>0</v>
      </c>
      <c r="CL83" s="52">
        <v>0</v>
      </c>
      <c r="CM83" s="52">
        <v>0</v>
      </c>
      <c r="CN83" s="52">
        <v>0</v>
      </c>
      <c r="CO83" s="52">
        <v>0</v>
      </c>
      <c r="CP83" s="52">
        <v>0</v>
      </c>
      <c r="CQ83" s="52">
        <v>0</v>
      </c>
      <c r="CR83" s="52">
        <v>0</v>
      </c>
      <c r="CS83" s="52">
        <v>0</v>
      </c>
      <c r="CT83" s="52">
        <v>0</v>
      </c>
      <c r="CU83" s="52">
        <v>0</v>
      </c>
      <c r="CV83" s="52">
        <v>0</v>
      </c>
      <c r="CW83" s="52">
        <v>0</v>
      </c>
      <c r="CX83" s="52">
        <v>0</v>
      </c>
      <c r="CY83" s="52">
        <v>0</v>
      </c>
      <c r="CZ83" s="52">
        <v>0</v>
      </c>
      <c r="DA83" s="52">
        <v>0</v>
      </c>
      <c r="DB83" s="52">
        <v>0</v>
      </c>
      <c r="DC83" s="52">
        <v>0</v>
      </c>
      <c r="DD83" s="52">
        <v>0</v>
      </c>
      <c r="DE83" s="52">
        <v>0</v>
      </c>
      <c r="DF83" s="52">
        <v>0</v>
      </c>
      <c r="DG83" s="52">
        <v>0</v>
      </c>
      <c r="DH83" s="52">
        <v>0</v>
      </c>
      <c r="DI83" s="52">
        <v>0</v>
      </c>
      <c r="DJ83" s="52">
        <v>0</v>
      </c>
      <c r="DK83" s="52" t="str">
        <v/>
      </c>
      <c r="DL83" s="52">
        <v>0</v>
      </c>
      <c r="DM83" s="52" t="str">
        <v/>
      </c>
    </row>
    <row r="84" spans="1:117" x14ac:dyDescent="0.25">
      <c r="A84" s="54">
        <v>-779.6999999999997</v>
      </c>
      <c r="B84" s="52">
        <v>0</v>
      </c>
      <c r="C84" s="52" t="str">
        <v/>
      </c>
      <c r="D84" s="52">
        <v>0</v>
      </c>
      <c r="E84" s="52" t="str">
        <v/>
      </c>
      <c r="F84" s="52">
        <v>0</v>
      </c>
      <c r="G84" s="52" t="str">
        <v/>
      </c>
      <c r="H84" s="52">
        <v>0</v>
      </c>
      <c r="I84" s="52" t="str">
        <v/>
      </c>
      <c r="J84" s="52">
        <v>0</v>
      </c>
      <c r="K84" s="52" t="str">
        <v/>
      </c>
      <c r="L84" s="52">
        <v>0</v>
      </c>
      <c r="M84" s="52" t="str">
        <v/>
      </c>
      <c r="N84" s="52">
        <v>0</v>
      </c>
      <c r="O84" s="52" t="str">
        <v/>
      </c>
      <c r="P84" s="52">
        <v>0</v>
      </c>
      <c r="Q84" s="52" t="str">
        <v/>
      </c>
      <c r="R84" s="52">
        <v>0</v>
      </c>
      <c r="S84" s="52" t="str">
        <v/>
      </c>
      <c r="T84" s="52">
        <v>0</v>
      </c>
      <c r="U84" s="52" t="str">
        <v/>
      </c>
      <c r="V84" s="52">
        <v>0</v>
      </c>
      <c r="W84" s="52" t="str">
        <v/>
      </c>
      <c r="X84" s="52">
        <v>0</v>
      </c>
      <c r="Y84" s="52" t="str">
        <v/>
      </c>
      <c r="Z84" s="52">
        <v>0</v>
      </c>
      <c r="AA84" s="52" t="str">
        <v/>
      </c>
      <c r="AB84" s="52">
        <v>0</v>
      </c>
      <c r="AC84" s="52" t="str">
        <v/>
      </c>
      <c r="AD84" s="52">
        <v>0</v>
      </c>
      <c r="AE84" s="52" t="str">
        <v/>
      </c>
      <c r="AF84" s="52">
        <v>0</v>
      </c>
      <c r="AG84" s="52" t="str">
        <v/>
      </c>
      <c r="AH84" s="52">
        <v>0</v>
      </c>
      <c r="AI84" s="52" t="str">
        <v/>
      </c>
      <c r="AJ84" s="52">
        <v>0</v>
      </c>
      <c r="AK84" s="52" t="str">
        <v/>
      </c>
      <c r="AL84" s="52">
        <v>0</v>
      </c>
      <c r="AM84" s="52" t="str">
        <v/>
      </c>
      <c r="AN84" s="52">
        <v>0</v>
      </c>
      <c r="AO84" s="52" t="str">
        <v/>
      </c>
      <c r="AP84" s="52">
        <v>0</v>
      </c>
      <c r="AQ84" s="52" t="str">
        <v/>
      </c>
      <c r="AR84" s="52">
        <v>0</v>
      </c>
      <c r="AS84" s="52" t="str">
        <v/>
      </c>
      <c r="AT84" s="52">
        <v>0</v>
      </c>
      <c r="AU84" s="52" t="str">
        <v/>
      </c>
      <c r="AV84" s="52">
        <v>0</v>
      </c>
      <c r="AW84" s="52" t="str">
        <v/>
      </c>
      <c r="AX84" s="52">
        <v>0</v>
      </c>
      <c r="AY84" s="52" t="str">
        <v/>
      </c>
      <c r="AZ84" s="52">
        <v>0</v>
      </c>
      <c r="BA84" s="52" t="str">
        <v/>
      </c>
      <c r="BB84" s="52">
        <v>0</v>
      </c>
      <c r="BC84" s="52" t="str">
        <v/>
      </c>
      <c r="BD84" s="52">
        <v>0</v>
      </c>
      <c r="BE84" s="52" t="str">
        <v/>
      </c>
      <c r="BF84" s="52">
        <v>0</v>
      </c>
      <c r="BG84" s="52" t="str">
        <v/>
      </c>
      <c r="BH84" s="52">
        <v>0</v>
      </c>
      <c r="BI84" s="52" t="str">
        <v/>
      </c>
      <c r="BJ84" s="52">
        <v>0</v>
      </c>
      <c r="BK84" s="52" t="str">
        <v/>
      </c>
      <c r="BL84" s="52">
        <v>0</v>
      </c>
      <c r="BM84" s="52" t="str">
        <v/>
      </c>
      <c r="BN84" s="52">
        <v>0</v>
      </c>
      <c r="BO84" s="52" t="str">
        <v/>
      </c>
      <c r="BP84" s="52">
        <v>0</v>
      </c>
      <c r="BQ84" s="52" t="str">
        <v/>
      </c>
      <c r="BR84" s="52">
        <v>0</v>
      </c>
      <c r="BS84" s="52" t="str">
        <v/>
      </c>
      <c r="BT84" s="52">
        <v>0</v>
      </c>
      <c r="BU84" s="52" t="str">
        <v/>
      </c>
      <c r="BV84" s="52">
        <v>0</v>
      </c>
      <c r="BW84" s="52" t="str">
        <v/>
      </c>
      <c r="BX84" s="52">
        <v>0</v>
      </c>
      <c r="BY84" s="52" t="str">
        <v/>
      </c>
      <c r="BZ84" s="52">
        <v>0</v>
      </c>
      <c r="CA84" s="52" t="str">
        <v/>
      </c>
      <c r="CB84" s="52">
        <v>0</v>
      </c>
      <c r="CC84" s="52" t="str">
        <v/>
      </c>
      <c r="CD84" s="52">
        <v>0</v>
      </c>
      <c r="CE84" s="52">
        <v>0</v>
      </c>
      <c r="CF84" s="52">
        <v>0</v>
      </c>
      <c r="CG84" s="52">
        <v>0</v>
      </c>
      <c r="CH84" s="52">
        <v>0</v>
      </c>
      <c r="CI84" s="52">
        <v>0</v>
      </c>
      <c r="CJ84" s="52">
        <v>0</v>
      </c>
      <c r="CK84" s="52">
        <v>0</v>
      </c>
      <c r="CL84" s="52">
        <v>0</v>
      </c>
      <c r="CM84" s="52">
        <v>0</v>
      </c>
      <c r="CN84" s="52">
        <v>0</v>
      </c>
      <c r="CO84" s="52">
        <v>0</v>
      </c>
      <c r="CP84" s="52">
        <v>0</v>
      </c>
      <c r="CQ84" s="52">
        <v>0</v>
      </c>
      <c r="CR84" s="52">
        <v>0</v>
      </c>
      <c r="CS84" s="52">
        <v>0</v>
      </c>
      <c r="CT84" s="52">
        <v>0</v>
      </c>
      <c r="CU84" s="52">
        <v>0</v>
      </c>
      <c r="CV84" s="52">
        <v>0</v>
      </c>
      <c r="CW84" s="52">
        <v>0</v>
      </c>
      <c r="CX84" s="52">
        <v>0</v>
      </c>
      <c r="CY84" s="52">
        <v>0</v>
      </c>
      <c r="CZ84" s="52">
        <v>0</v>
      </c>
      <c r="DA84" s="52">
        <v>0</v>
      </c>
      <c r="DB84" s="52">
        <v>0</v>
      </c>
      <c r="DC84" s="52">
        <v>0</v>
      </c>
      <c r="DD84" s="52">
        <v>0</v>
      </c>
      <c r="DE84" s="52">
        <v>0</v>
      </c>
      <c r="DF84" s="52">
        <v>0</v>
      </c>
      <c r="DG84" s="52">
        <v>0</v>
      </c>
      <c r="DH84" s="52">
        <v>0</v>
      </c>
      <c r="DI84" s="52">
        <v>0</v>
      </c>
      <c r="DJ84" s="52">
        <v>0</v>
      </c>
      <c r="DK84" s="52" t="str">
        <v/>
      </c>
      <c r="DL84" s="52">
        <v>0</v>
      </c>
      <c r="DM84" s="52" t="str">
        <v/>
      </c>
    </row>
    <row r="85" spans="1:117" x14ac:dyDescent="0.25">
      <c r="A85" s="54">
        <v>-740.54999999999973</v>
      </c>
      <c r="B85" s="52">
        <v>0</v>
      </c>
      <c r="C85" s="52" t="str">
        <v/>
      </c>
      <c r="D85" s="52">
        <v>0</v>
      </c>
      <c r="E85" s="52" t="str">
        <v/>
      </c>
      <c r="F85" s="52">
        <v>0</v>
      </c>
      <c r="G85" s="52" t="str">
        <v/>
      </c>
      <c r="H85" s="52">
        <v>0</v>
      </c>
      <c r="I85" s="52" t="str">
        <v/>
      </c>
      <c r="J85" s="52">
        <v>0</v>
      </c>
      <c r="K85" s="52" t="str">
        <v/>
      </c>
      <c r="L85" s="52">
        <v>0</v>
      </c>
      <c r="M85" s="52" t="str">
        <v/>
      </c>
      <c r="N85" s="52">
        <v>0</v>
      </c>
      <c r="O85" s="52" t="str">
        <v/>
      </c>
      <c r="P85" s="52">
        <v>0</v>
      </c>
      <c r="Q85" s="52" t="str">
        <v/>
      </c>
      <c r="R85" s="52">
        <v>0</v>
      </c>
      <c r="S85" s="52" t="str">
        <v/>
      </c>
      <c r="T85" s="52">
        <v>0</v>
      </c>
      <c r="U85" s="52" t="str">
        <v/>
      </c>
      <c r="V85" s="52">
        <v>0</v>
      </c>
      <c r="W85" s="52" t="str">
        <v/>
      </c>
      <c r="X85" s="52">
        <v>0</v>
      </c>
      <c r="Y85" s="52" t="str">
        <v/>
      </c>
      <c r="Z85" s="52">
        <v>0</v>
      </c>
      <c r="AA85" s="52" t="str">
        <v/>
      </c>
      <c r="AB85" s="52">
        <v>0</v>
      </c>
      <c r="AC85" s="52" t="str">
        <v/>
      </c>
      <c r="AD85" s="52">
        <v>0</v>
      </c>
      <c r="AE85" s="52" t="str">
        <v/>
      </c>
      <c r="AF85" s="52">
        <v>0</v>
      </c>
      <c r="AG85" s="52" t="str">
        <v/>
      </c>
      <c r="AH85" s="52">
        <v>0</v>
      </c>
      <c r="AI85" s="52" t="str">
        <v/>
      </c>
      <c r="AJ85" s="52">
        <v>0</v>
      </c>
      <c r="AK85" s="52" t="str">
        <v/>
      </c>
      <c r="AL85" s="52">
        <v>0</v>
      </c>
      <c r="AM85" s="52" t="str">
        <v/>
      </c>
      <c r="AN85" s="52">
        <v>0</v>
      </c>
      <c r="AO85" s="52" t="str">
        <v/>
      </c>
      <c r="AP85" s="52">
        <v>0</v>
      </c>
      <c r="AQ85" s="52" t="str">
        <v/>
      </c>
      <c r="AR85" s="52">
        <v>0</v>
      </c>
      <c r="AS85" s="52" t="str">
        <v/>
      </c>
      <c r="AT85" s="52">
        <v>0</v>
      </c>
      <c r="AU85" s="52" t="str">
        <v/>
      </c>
      <c r="AV85" s="52">
        <v>0</v>
      </c>
      <c r="AW85" s="52" t="str">
        <v/>
      </c>
      <c r="AX85" s="52">
        <v>0</v>
      </c>
      <c r="AY85" s="52" t="str">
        <v/>
      </c>
      <c r="AZ85" s="52">
        <v>0</v>
      </c>
      <c r="BA85" s="52" t="str">
        <v/>
      </c>
      <c r="BB85" s="52">
        <v>0</v>
      </c>
      <c r="BC85" s="52" t="str">
        <v/>
      </c>
      <c r="BD85" s="52">
        <v>0</v>
      </c>
      <c r="BE85" s="52" t="str">
        <v/>
      </c>
      <c r="BF85" s="52">
        <v>0</v>
      </c>
      <c r="BG85" s="52" t="str">
        <v/>
      </c>
      <c r="BH85" s="52">
        <v>0</v>
      </c>
      <c r="BI85" s="52" t="str">
        <v/>
      </c>
      <c r="BJ85" s="52">
        <v>0</v>
      </c>
      <c r="BK85" s="52" t="str">
        <v/>
      </c>
      <c r="BL85" s="52">
        <v>0</v>
      </c>
      <c r="BM85" s="52" t="str">
        <v/>
      </c>
      <c r="BN85" s="52">
        <v>0</v>
      </c>
      <c r="BO85" s="52" t="str">
        <v/>
      </c>
      <c r="BP85" s="52">
        <v>0</v>
      </c>
      <c r="BQ85" s="52" t="str">
        <v/>
      </c>
      <c r="BR85" s="52">
        <v>0</v>
      </c>
      <c r="BS85" s="52" t="str">
        <v/>
      </c>
      <c r="BT85" s="52">
        <v>0</v>
      </c>
      <c r="BU85" s="52" t="str">
        <v/>
      </c>
      <c r="BV85" s="52">
        <v>0</v>
      </c>
      <c r="BW85" s="52" t="str">
        <v/>
      </c>
      <c r="BX85" s="52">
        <v>0</v>
      </c>
      <c r="BY85" s="52" t="str">
        <v/>
      </c>
      <c r="BZ85" s="52">
        <v>0</v>
      </c>
      <c r="CA85" s="52" t="str">
        <v/>
      </c>
      <c r="CB85" s="52">
        <v>0</v>
      </c>
      <c r="CC85" s="52" t="str">
        <v/>
      </c>
      <c r="CD85" s="52">
        <v>0</v>
      </c>
      <c r="CE85" s="52">
        <v>0</v>
      </c>
      <c r="CF85" s="52">
        <v>0</v>
      </c>
      <c r="CG85" s="52">
        <v>0</v>
      </c>
      <c r="CH85" s="52">
        <v>0</v>
      </c>
      <c r="CI85" s="52">
        <v>0</v>
      </c>
      <c r="CJ85" s="52">
        <v>0</v>
      </c>
      <c r="CK85" s="52">
        <v>0</v>
      </c>
      <c r="CL85" s="52">
        <v>0</v>
      </c>
      <c r="CM85" s="52">
        <v>0</v>
      </c>
      <c r="CN85" s="52">
        <v>0</v>
      </c>
      <c r="CO85" s="52">
        <v>0</v>
      </c>
      <c r="CP85" s="52">
        <v>0</v>
      </c>
      <c r="CQ85" s="52">
        <v>0</v>
      </c>
      <c r="CR85" s="52">
        <v>0</v>
      </c>
      <c r="CS85" s="52">
        <v>0</v>
      </c>
      <c r="CT85" s="52">
        <v>0</v>
      </c>
      <c r="CU85" s="52">
        <v>0</v>
      </c>
      <c r="CV85" s="52">
        <v>0</v>
      </c>
      <c r="CW85" s="52">
        <v>0</v>
      </c>
      <c r="CX85" s="52">
        <v>0</v>
      </c>
      <c r="CY85" s="52">
        <v>0</v>
      </c>
      <c r="CZ85" s="52">
        <v>0</v>
      </c>
      <c r="DA85" s="52">
        <v>0</v>
      </c>
      <c r="DB85" s="52">
        <v>0</v>
      </c>
      <c r="DC85" s="52">
        <v>0</v>
      </c>
      <c r="DD85" s="52">
        <v>0</v>
      </c>
      <c r="DE85" s="52" t="str">
        <v/>
      </c>
      <c r="DF85" s="52">
        <v>0</v>
      </c>
      <c r="DG85" s="52" t="str">
        <v/>
      </c>
      <c r="DH85" s="52">
        <v>0</v>
      </c>
      <c r="DI85" s="52" t="str">
        <v/>
      </c>
      <c r="DJ85" s="52">
        <v>0</v>
      </c>
      <c r="DK85" s="52" t="str">
        <v/>
      </c>
      <c r="DL85" s="52">
        <v>0</v>
      </c>
      <c r="DM85" s="52" t="str">
        <v/>
      </c>
    </row>
    <row r="86" spans="1:117" x14ac:dyDescent="0.25">
      <c r="A86" s="54">
        <v>-701.39999999999975</v>
      </c>
      <c r="B86" s="52">
        <v>0</v>
      </c>
      <c r="C86" s="52" t="str">
        <v/>
      </c>
      <c r="D86" s="52">
        <v>0</v>
      </c>
      <c r="E86" s="52" t="str">
        <v/>
      </c>
      <c r="F86" s="52">
        <v>0</v>
      </c>
      <c r="G86" s="52" t="str">
        <v/>
      </c>
      <c r="H86" s="52">
        <v>0</v>
      </c>
      <c r="I86" s="52" t="str">
        <v/>
      </c>
      <c r="J86" s="52">
        <v>0</v>
      </c>
      <c r="K86" s="52" t="str">
        <v/>
      </c>
      <c r="L86" s="52">
        <v>0</v>
      </c>
      <c r="M86" s="52" t="str">
        <v/>
      </c>
      <c r="N86" s="52">
        <v>0</v>
      </c>
      <c r="O86" s="52" t="str">
        <v/>
      </c>
      <c r="P86" s="52">
        <v>0</v>
      </c>
      <c r="Q86" s="52" t="str">
        <v/>
      </c>
      <c r="R86" s="52">
        <v>0</v>
      </c>
      <c r="S86" s="52" t="str">
        <v/>
      </c>
      <c r="T86" s="52">
        <v>0</v>
      </c>
      <c r="U86" s="52" t="str">
        <v/>
      </c>
      <c r="V86" s="52">
        <v>0</v>
      </c>
      <c r="W86" s="52" t="str">
        <v/>
      </c>
      <c r="X86" s="52">
        <v>0</v>
      </c>
      <c r="Y86" s="52" t="str">
        <v/>
      </c>
      <c r="Z86" s="52">
        <v>0</v>
      </c>
      <c r="AA86" s="52" t="str">
        <v/>
      </c>
      <c r="AB86" s="52">
        <v>0</v>
      </c>
      <c r="AC86" s="52" t="str">
        <v/>
      </c>
      <c r="AD86" s="52">
        <v>0</v>
      </c>
      <c r="AE86" s="52" t="str">
        <v/>
      </c>
      <c r="AF86" s="52">
        <v>0</v>
      </c>
      <c r="AG86" s="52" t="str">
        <v/>
      </c>
      <c r="AH86" s="52">
        <v>0</v>
      </c>
      <c r="AI86" s="52" t="str">
        <v/>
      </c>
      <c r="AJ86" s="52">
        <v>0</v>
      </c>
      <c r="AK86" s="52" t="str">
        <v/>
      </c>
      <c r="AL86" s="52">
        <v>0</v>
      </c>
      <c r="AM86" s="52" t="str">
        <v/>
      </c>
      <c r="AN86" s="52">
        <v>0</v>
      </c>
      <c r="AO86" s="52" t="str">
        <v/>
      </c>
      <c r="AP86" s="52">
        <v>0</v>
      </c>
      <c r="AQ86" s="52" t="str">
        <v/>
      </c>
      <c r="AR86" s="52">
        <v>0</v>
      </c>
      <c r="AS86" s="52" t="str">
        <v/>
      </c>
      <c r="AT86" s="52">
        <v>0</v>
      </c>
      <c r="AU86" s="52" t="str">
        <v/>
      </c>
      <c r="AV86" s="52">
        <v>0</v>
      </c>
      <c r="AW86" s="52" t="str">
        <v/>
      </c>
      <c r="AX86" s="52">
        <v>0</v>
      </c>
      <c r="AY86" s="52" t="str">
        <v/>
      </c>
      <c r="AZ86" s="52">
        <v>0</v>
      </c>
      <c r="BA86" s="52" t="str">
        <v/>
      </c>
      <c r="BB86" s="52">
        <v>0</v>
      </c>
      <c r="BC86" s="52" t="str">
        <v/>
      </c>
      <c r="BD86" s="52">
        <v>0</v>
      </c>
      <c r="BE86" s="52" t="str">
        <v/>
      </c>
      <c r="BF86" s="52">
        <v>0</v>
      </c>
      <c r="BG86" s="52" t="str">
        <v/>
      </c>
      <c r="BH86" s="52">
        <v>0</v>
      </c>
      <c r="BI86" s="52" t="str">
        <v/>
      </c>
      <c r="BJ86" s="52">
        <v>0</v>
      </c>
      <c r="BK86" s="52" t="str">
        <v/>
      </c>
      <c r="BL86" s="52">
        <v>0</v>
      </c>
      <c r="BM86" s="52" t="str">
        <v/>
      </c>
      <c r="BN86" s="52">
        <v>0</v>
      </c>
      <c r="BO86" s="52" t="str">
        <v/>
      </c>
      <c r="BP86" s="52">
        <v>0</v>
      </c>
      <c r="BQ86" s="52" t="str">
        <v/>
      </c>
      <c r="BR86" s="52">
        <v>0</v>
      </c>
      <c r="BS86" s="52" t="str">
        <v/>
      </c>
      <c r="BT86" s="52">
        <v>0</v>
      </c>
      <c r="BU86" s="52" t="str">
        <v/>
      </c>
      <c r="BV86" s="52">
        <v>0</v>
      </c>
      <c r="BW86" s="52" t="str">
        <v/>
      </c>
      <c r="BX86" s="52">
        <v>0</v>
      </c>
      <c r="BY86" s="52" t="str">
        <v/>
      </c>
      <c r="BZ86" s="52">
        <v>0</v>
      </c>
      <c r="CA86" s="52" t="str">
        <v/>
      </c>
      <c r="CB86" s="52">
        <v>0</v>
      </c>
      <c r="CC86" s="52" t="str">
        <v/>
      </c>
      <c r="CD86" s="52">
        <v>0</v>
      </c>
      <c r="CE86" s="52">
        <v>0</v>
      </c>
      <c r="CF86" s="52">
        <v>0</v>
      </c>
      <c r="CG86" s="52">
        <v>0</v>
      </c>
      <c r="CH86" s="52">
        <v>0</v>
      </c>
      <c r="CI86" s="52">
        <v>0</v>
      </c>
      <c r="CJ86" s="52">
        <v>0</v>
      </c>
      <c r="CK86" s="52">
        <v>0</v>
      </c>
      <c r="CL86" s="52">
        <v>0</v>
      </c>
      <c r="CM86" s="52">
        <v>0</v>
      </c>
      <c r="CN86" s="52">
        <v>0</v>
      </c>
      <c r="CO86" s="52">
        <v>0</v>
      </c>
      <c r="CP86" s="52">
        <v>0</v>
      </c>
      <c r="CQ86" s="52">
        <v>0</v>
      </c>
      <c r="CR86" s="52">
        <v>0</v>
      </c>
      <c r="CS86" s="52">
        <v>0</v>
      </c>
      <c r="CT86" s="52">
        <v>0</v>
      </c>
      <c r="CU86" s="52">
        <v>0</v>
      </c>
      <c r="CV86" s="52">
        <v>0</v>
      </c>
      <c r="CW86" s="52">
        <v>0</v>
      </c>
      <c r="CX86" s="52">
        <v>0</v>
      </c>
      <c r="CY86" s="52">
        <v>0</v>
      </c>
      <c r="CZ86" s="52">
        <v>0</v>
      </c>
      <c r="DA86" s="52">
        <v>0</v>
      </c>
      <c r="DB86" s="52">
        <v>0</v>
      </c>
      <c r="DC86" s="52">
        <v>0</v>
      </c>
      <c r="DD86" s="52">
        <v>0</v>
      </c>
      <c r="DE86" s="52" t="str">
        <v/>
      </c>
      <c r="DF86" s="52">
        <v>0</v>
      </c>
      <c r="DG86" s="52" t="str">
        <v/>
      </c>
      <c r="DH86" s="52">
        <v>0</v>
      </c>
      <c r="DI86" s="52" t="str">
        <v/>
      </c>
      <c r="DJ86" s="52">
        <v>0</v>
      </c>
      <c r="DK86" s="52" t="str">
        <v/>
      </c>
      <c r="DL86" s="52">
        <v>0</v>
      </c>
      <c r="DM86" s="52" t="str">
        <v/>
      </c>
    </row>
    <row r="87" spans="1:117" x14ac:dyDescent="0.25">
      <c r="A87" s="54">
        <v>-662.24999999999977</v>
      </c>
      <c r="B87" s="52">
        <v>0</v>
      </c>
      <c r="C87" s="52" t="str">
        <v/>
      </c>
      <c r="D87" s="52">
        <v>0</v>
      </c>
      <c r="E87" s="52" t="str">
        <v/>
      </c>
      <c r="F87" s="52">
        <v>0</v>
      </c>
      <c r="G87" s="52" t="str">
        <v/>
      </c>
      <c r="H87" s="52">
        <v>0</v>
      </c>
      <c r="I87" s="52" t="str">
        <v/>
      </c>
      <c r="J87" s="52">
        <v>0</v>
      </c>
      <c r="K87" s="52" t="str">
        <v/>
      </c>
      <c r="L87" s="52">
        <v>0</v>
      </c>
      <c r="M87" s="52" t="str">
        <v/>
      </c>
      <c r="N87" s="52">
        <v>0</v>
      </c>
      <c r="O87" s="52" t="str">
        <v/>
      </c>
      <c r="P87" s="52">
        <v>0</v>
      </c>
      <c r="Q87" s="52" t="str">
        <v/>
      </c>
      <c r="R87" s="52">
        <v>0</v>
      </c>
      <c r="S87" s="52" t="str">
        <v/>
      </c>
      <c r="T87" s="52">
        <v>0</v>
      </c>
      <c r="U87" s="52" t="str">
        <v/>
      </c>
      <c r="V87" s="52">
        <v>0</v>
      </c>
      <c r="W87" s="52" t="str">
        <v/>
      </c>
      <c r="X87" s="52">
        <v>0</v>
      </c>
      <c r="Y87" s="52" t="str">
        <v/>
      </c>
      <c r="Z87" s="52">
        <v>0</v>
      </c>
      <c r="AA87" s="52" t="str">
        <v/>
      </c>
      <c r="AB87" s="52">
        <v>0</v>
      </c>
      <c r="AC87" s="52" t="str">
        <v/>
      </c>
      <c r="AD87" s="52">
        <v>0</v>
      </c>
      <c r="AE87" s="52" t="str">
        <v/>
      </c>
      <c r="AF87" s="52">
        <v>0</v>
      </c>
      <c r="AG87" s="52" t="str">
        <v/>
      </c>
      <c r="AH87" s="52">
        <v>0</v>
      </c>
      <c r="AI87" s="52" t="str">
        <v/>
      </c>
      <c r="AJ87" s="52">
        <v>0</v>
      </c>
      <c r="AK87" s="52" t="str">
        <v/>
      </c>
      <c r="AL87" s="52">
        <v>0</v>
      </c>
      <c r="AM87" s="52" t="str">
        <v/>
      </c>
      <c r="AN87" s="52">
        <v>0</v>
      </c>
      <c r="AO87" s="52" t="str">
        <v/>
      </c>
      <c r="AP87" s="52">
        <v>0</v>
      </c>
      <c r="AQ87" s="52" t="str">
        <v/>
      </c>
      <c r="AR87" s="52">
        <v>0</v>
      </c>
      <c r="AS87" s="52" t="str">
        <v/>
      </c>
      <c r="AT87" s="52">
        <v>0</v>
      </c>
      <c r="AU87" s="52" t="str">
        <v/>
      </c>
      <c r="AV87" s="52">
        <v>0</v>
      </c>
      <c r="AW87" s="52" t="str">
        <v/>
      </c>
      <c r="AX87" s="52">
        <v>0</v>
      </c>
      <c r="AY87" s="52" t="str">
        <v/>
      </c>
      <c r="AZ87" s="52">
        <v>0</v>
      </c>
      <c r="BA87" s="52" t="str">
        <v/>
      </c>
      <c r="BB87" s="52">
        <v>0</v>
      </c>
      <c r="BC87" s="52" t="str">
        <v/>
      </c>
      <c r="BD87" s="52">
        <v>0</v>
      </c>
      <c r="BE87" s="52" t="str">
        <v/>
      </c>
      <c r="BF87" s="52">
        <v>0</v>
      </c>
      <c r="BG87" s="52" t="str">
        <v/>
      </c>
      <c r="BH87" s="52">
        <v>0</v>
      </c>
      <c r="BI87" s="52" t="str">
        <v/>
      </c>
      <c r="BJ87" s="52">
        <v>0</v>
      </c>
      <c r="BK87" s="52" t="str">
        <v/>
      </c>
      <c r="BL87" s="52">
        <v>0</v>
      </c>
      <c r="BM87" s="52" t="str">
        <v/>
      </c>
      <c r="BN87" s="52">
        <v>0</v>
      </c>
      <c r="BO87" s="52" t="str">
        <v/>
      </c>
      <c r="BP87" s="52">
        <v>0</v>
      </c>
      <c r="BQ87" s="52" t="str">
        <v/>
      </c>
      <c r="BR87" s="52">
        <v>0</v>
      </c>
      <c r="BS87" s="52" t="str">
        <v/>
      </c>
      <c r="BT87" s="52">
        <v>0</v>
      </c>
      <c r="BU87" s="52" t="str">
        <v/>
      </c>
      <c r="BV87" s="52">
        <v>0</v>
      </c>
      <c r="BW87" s="52" t="str">
        <v/>
      </c>
      <c r="BX87" s="52">
        <v>0</v>
      </c>
      <c r="BY87" s="52" t="str">
        <v/>
      </c>
      <c r="BZ87" s="52">
        <v>0</v>
      </c>
      <c r="CA87" s="52" t="str">
        <v/>
      </c>
      <c r="CB87" s="52">
        <v>0</v>
      </c>
      <c r="CC87" s="52" t="str">
        <v/>
      </c>
      <c r="CD87" s="52">
        <v>0</v>
      </c>
      <c r="CE87" s="52" t="str">
        <v/>
      </c>
      <c r="CF87" s="52">
        <v>0</v>
      </c>
      <c r="CG87" s="52" t="str">
        <v/>
      </c>
      <c r="CH87" s="52">
        <v>0</v>
      </c>
      <c r="CI87" s="52" t="str">
        <v/>
      </c>
      <c r="CJ87" s="52">
        <v>0</v>
      </c>
      <c r="CK87" s="52" t="str">
        <v/>
      </c>
      <c r="CL87" s="52">
        <v>0</v>
      </c>
      <c r="CM87" s="52" t="str">
        <v/>
      </c>
      <c r="CN87" s="52">
        <v>0</v>
      </c>
      <c r="CO87" s="52" t="str">
        <v/>
      </c>
      <c r="CP87" s="52">
        <v>0</v>
      </c>
      <c r="CQ87" s="52" t="str">
        <v/>
      </c>
      <c r="CR87" s="52">
        <v>0</v>
      </c>
      <c r="CS87" s="52" t="str">
        <v/>
      </c>
      <c r="CT87" s="52">
        <v>0</v>
      </c>
      <c r="CU87" s="52" t="str">
        <v/>
      </c>
      <c r="CV87" s="52">
        <v>0</v>
      </c>
      <c r="CW87" s="52" t="str">
        <v/>
      </c>
      <c r="CX87" s="52">
        <v>0</v>
      </c>
      <c r="CY87" s="52" t="str">
        <v/>
      </c>
      <c r="CZ87" s="52">
        <v>0</v>
      </c>
      <c r="DA87" s="52" t="str">
        <v/>
      </c>
      <c r="DB87" s="52">
        <v>0</v>
      </c>
      <c r="DC87" s="52" t="str">
        <v/>
      </c>
      <c r="DD87" s="52">
        <v>0</v>
      </c>
      <c r="DE87" s="52" t="str">
        <v/>
      </c>
      <c r="DF87" s="52">
        <v>0</v>
      </c>
      <c r="DG87" s="52" t="str">
        <v/>
      </c>
      <c r="DH87" s="52">
        <v>0</v>
      </c>
      <c r="DI87" s="52" t="str">
        <v/>
      </c>
      <c r="DJ87" s="52">
        <v>0</v>
      </c>
      <c r="DK87" s="52" t="str">
        <v/>
      </c>
      <c r="DL87" s="52">
        <v>0</v>
      </c>
      <c r="DM87" s="52" t="str">
        <v/>
      </c>
    </row>
    <row r="88" spans="1:117" x14ac:dyDescent="0.25">
      <c r="A88" s="54">
        <v>-623.0999999999998</v>
      </c>
      <c r="B88" s="52">
        <v>0</v>
      </c>
      <c r="C88" s="52" t="str">
        <v/>
      </c>
      <c r="D88" s="52">
        <v>0</v>
      </c>
      <c r="E88" s="52" t="str">
        <v/>
      </c>
      <c r="F88" s="52">
        <v>0</v>
      </c>
      <c r="G88" s="52" t="str">
        <v/>
      </c>
      <c r="H88" s="52">
        <v>0</v>
      </c>
      <c r="I88" s="52" t="str">
        <v/>
      </c>
      <c r="J88" s="52">
        <v>0</v>
      </c>
      <c r="K88" s="52" t="str">
        <v/>
      </c>
      <c r="L88" s="52">
        <v>0</v>
      </c>
      <c r="M88" s="52" t="str">
        <v/>
      </c>
      <c r="N88" s="52">
        <v>0</v>
      </c>
      <c r="O88" s="52" t="str">
        <v/>
      </c>
      <c r="P88" s="52">
        <v>0</v>
      </c>
      <c r="Q88" s="52" t="str">
        <v/>
      </c>
      <c r="R88" s="52">
        <v>0</v>
      </c>
      <c r="S88" s="52" t="str">
        <v/>
      </c>
      <c r="T88" s="52">
        <v>0</v>
      </c>
      <c r="U88" s="52" t="str">
        <v/>
      </c>
      <c r="V88" s="52">
        <v>0</v>
      </c>
      <c r="W88" s="52" t="str">
        <v/>
      </c>
      <c r="X88" s="52">
        <v>0</v>
      </c>
      <c r="Y88" s="52" t="str">
        <v/>
      </c>
      <c r="Z88" s="52">
        <v>0</v>
      </c>
      <c r="AA88" s="52" t="str">
        <v/>
      </c>
      <c r="AB88" s="52">
        <v>0</v>
      </c>
      <c r="AC88" s="52" t="str">
        <v/>
      </c>
      <c r="AD88" s="52">
        <v>0</v>
      </c>
      <c r="AE88" s="52" t="str">
        <v/>
      </c>
      <c r="AF88" s="52">
        <v>0</v>
      </c>
      <c r="AG88" s="52" t="str">
        <v/>
      </c>
      <c r="AH88" s="52">
        <v>0</v>
      </c>
      <c r="AI88" s="52" t="str">
        <v/>
      </c>
      <c r="AJ88" s="52">
        <v>0</v>
      </c>
      <c r="AK88" s="52" t="str">
        <v/>
      </c>
      <c r="AL88" s="52">
        <v>0</v>
      </c>
      <c r="AM88" s="52" t="str">
        <v/>
      </c>
      <c r="AN88" s="52">
        <v>0</v>
      </c>
      <c r="AO88" s="52" t="str">
        <v/>
      </c>
      <c r="AP88" s="52">
        <v>0</v>
      </c>
      <c r="AQ88" s="52" t="str">
        <v/>
      </c>
      <c r="AR88" s="52">
        <v>0</v>
      </c>
      <c r="AS88" s="52" t="str">
        <v/>
      </c>
      <c r="AT88" s="52">
        <v>0</v>
      </c>
      <c r="AU88" s="52" t="str">
        <v/>
      </c>
      <c r="AV88" s="52">
        <v>0</v>
      </c>
      <c r="AW88" s="52" t="str">
        <v/>
      </c>
      <c r="AX88" s="52">
        <v>0</v>
      </c>
      <c r="AY88" s="52" t="str">
        <v/>
      </c>
      <c r="AZ88" s="52">
        <v>0</v>
      </c>
      <c r="BA88" s="52" t="str">
        <v/>
      </c>
      <c r="BB88" s="52">
        <v>0</v>
      </c>
      <c r="BC88" s="52" t="str">
        <v/>
      </c>
      <c r="BD88" s="52">
        <v>0</v>
      </c>
      <c r="BE88" s="52" t="str">
        <v/>
      </c>
      <c r="BF88" s="52">
        <v>0</v>
      </c>
      <c r="BG88" s="52" t="str">
        <v/>
      </c>
      <c r="BH88" s="52">
        <v>0</v>
      </c>
      <c r="BI88" s="52" t="str">
        <v/>
      </c>
      <c r="BJ88" s="52">
        <v>0</v>
      </c>
      <c r="BK88" s="52" t="str">
        <v/>
      </c>
      <c r="BL88" s="52">
        <v>0</v>
      </c>
      <c r="BM88" s="52" t="str">
        <v/>
      </c>
      <c r="BN88" s="52">
        <v>0</v>
      </c>
      <c r="BO88" s="52" t="str">
        <v/>
      </c>
      <c r="BP88" s="52">
        <v>0</v>
      </c>
      <c r="BQ88" s="52" t="str">
        <v/>
      </c>
      <c r="BR88" s="52">
        <v>0</v>
      </c>
      <c r="BS88" s="52" t="str">
        <v/>
      </c>
      <c r="BT88" s="52">
        <v>0</v>
      </c>
      <c r="BU88" s="52" t="str">
        <v/>
      </c>
      <c r="BV88" s="52">
        <v>0</v>
      </c>
      <c r="BW88" s="52" t="str">
        <v/>
      </c>
      <c r="BX88" s="52">
        <v>0</v>
      </c>
      <c r="BY88" s="52" t="str">
        <v/>
      </c>
      <c r="BZ88" s="52">
        <v>0</v>
      </c>
      <c r="CA88" s="52" t="str">
        <v/>
      </c>
      <c r="CB88" s="52">
        <v>0</v>
      </c>
      <c r="CC88" s="52" t="str">
        <v/>
      </c>
      <c r="CD88" s="52">
        <v>0</v>
      </c>
      <c r="CE88" s="52" t="str">
        <v/>
      </c>
      <c r="CF88" s="52">
        <v>0</v>
      </c>
      <c r="CG88" s="52" t="str">
        <v/>
      </c>
      <c r="CH88" s="52">
        <v>0</v>
      </c>
      <c r="CI88" s="52" t="str">
        <v/>
      </c>
      <c r="CJ88" s="52">
        <v>0</v>
      </c>
      <c r="CK88" s="52" t="str">
        <v/>
      </c>
      <c r="CL88" s="52">
        <v>0</v>
      </c>
      <c r="CM88" s="52" t="str">
        <v/>
      </c>
      <c r="CN88" s="52">
        <v>0</v>
      </c>
      <c r="CO88" s="52" t="str">
        <v/>
      </c>
      <c r="CP88" s="52">
        <v>0</v>
      </c>
      <c r="CQ88" s="52" t="str">
        <v/>
      </c>
      <c r="CR88" s="52">
        <v>0</v>
      </c>
      <c r="CS88" s="52" t="str">
        <v/>
      </c>
      <c r="CT88" s="52">
        <v>0</v>
      </c>
      <c r="CU88" s="52" t="str">
        <v/>
      </c>
      <c r="CV88" s="52">
        <v>0</v>
      </c>
      <c r="CW88" s="52" t="str">
        <v/>
      </c>
      <c r="CX88" s="52">
        <v>0</v>
      </c>
      <c r="CY88" s="52" t="str">
        <v/>
      </c>
      <c r="CZ88" s="52">
        <v>0</v>
      </c>
      <c r="DA88" s="52" t="str">
        <v/>
      </c>
      <c r="DB88" s="52">
        <v>0</v>
      </c>
      <c r="DC88" s="52" t="str">
        <v/>
      </c>
      <c r="DD88" s="52">
        <v>0</v>
      </c>
      <c r="DE88" s="52" t="str">
        <v/>
      </c>
      <c r="DF88" s="52">
        <v>0</v>
      </c>
      <c r="DG88" s="52" t="str">
        <v/>
      </c>
      <c r="DH88" s="52">
        <v>0</v>
      </c>
      <c r="DI88" s="52" t="str">
        <v/>
      </c>
      <c r="DJ88" s="52">
        <v>0</v>
      </c>
      <c r="DK88" s="52" t="str">
        <v/>
      </c>
      <c r="DL88" s="52">
        <v>0</v>
      </c>
      <c r="DM88" s="52" t="str">
        <v/>
      </c>
    </row>
    <row r="89" spans="1:117" x14ac:dyDescent="0.25">
      <c r="A89" s="54">
        <v>-583.94999999999982</v>
      </c>
      <c r="B89" s="52">
        <v>0</v>
      </c>
      <c r="C89" s="52" t="str">
        <v/>
      </c>
      <c r="D89" s="52">
        <v>0</v>
      </c>
      <c r="E89" s="52" t="str">
        <v/>
      </c>
      <c r="F89" s="52">
        <v>0</v>
      </c>
      <c r="G89" s="52" t="str">
        <v/>
      </c>
      <c r="H89" s="52">
        <v>0</v>
      </c>
      <c r="I89" s="52" t="str">
        <v/>
      </c>
      <c r="J89" s="52">
        <v>0</v>
      </c>
      <c r="K89" s="52" t="str">
        <v/>
      </c>
      <c r="L89" s="52">
        <v>0</v>
      </c>
      <c r="M89" s="52" t="str">
        <v/>
      </c>
      <c r="N89" s="52">
        <v>0</v>
      </c>
      <c r="O89" s="52" t="str">
        <v/>
      </c>
      <c r="P89" s="52">
        <v>0</v>
      </c>
      <c r="Q89" s="52" t="str">
        <v/>
      </c>
      <c r="R89" s="52">
        <v>0</v>
      </c>
      <c r="S89" s="52" t="str">
        <v/>
      </c>
      <c r="T89" s="52">
        <v>0</v>
      </c>
      <c r="U89" s="52" t="str">
        <v/>
      </c>
      <c r="V89" s="52">
        <v>0</v>
      </c>
      <c r="W89" s="52" t="str">
        <v/>
      </c>
      <c r="X89" s="52">
        <v>0</v>
      </c>
      <c r="Y89" s="52" t="str">
        <v/>
      </c>
      <c r="Z89" s="52">
        <v>0</v>
      </c>
      <c r="AA89" s="52" t="str">
        <v/>
      </c>
      <c r="AB89" s="52">
        <v>0</v>
      </c>
      <c r="AC89" s="52" t="str">
        <v/>
      </c>
      <c r="AD89" s="52">
        <v>0</v>
      </c>
      <c r="AE89" s="52" t="str">
        <v/>
      </c>
      <c r="AF89" s="52">
        <v>0</v>
      </c>
      <c r="AG89" s="52" t="str">
        <v/>
      </c>
      <c r="AH89" s="52">
        <v>0</v>
      </c>
      <c r="AI89" s="52" t="str">
        <v/>
      </c>
      <c r="AJ89" s="52">
        <v>0</v>
      </c>
      <c r="AK89" s="52" t="str">
        <v/>
      </c>
      <c r="AL89" s="52">
        <v>0</v>
      </c>
      <c r="AM89" s="52" t="str">
        <v/>
      </c>
      <c r="AN89" s="52">
        <v>0</v>
      </c>
      <c r="AO89" s="52" t="str">
        <v/>
      </c>
      <c r="AP89" s="52">
        <v>0</v>
      </c>
      <c r="AQ89" s="52" t="str">
        <v/>
      </c>
      <c r="AR89" s="52">
        <v>0</v>
      </c>
      <c r="AS89" s="52" t="str">
        <v/>
      </c>
      <c r="AT89" s="52">
        <v>0</v>
      </c>
      <c r="AU89" s="52" t="str">
        <v/>
      </c>
      <c r="AV89" s="52">
        <v>0</v>
      </c>
      <c r="AW89" s="52" t="str">
        <v/>
      </c>
      <c r="AX89" s="52">
        <v>0</v>
      </c>
      <c r="AY89" s="52" t="str">
        <v/>
      </c>
      <c r="AZ89" s="52">
        <v>0</v>
      </c>
      <c r="BA89" s="52" t="str">
        <v/>
      </c>
      <c r="BB89" s="52">
        <v>0</v>
      </c>
      <c r="BC89" s="52" t="str">
        <v/>
      </c>
      <c r="BD89" s="52">
        <v>0</v>
      </c>
      <c r="BE89" s="52" t="str">
        <v/>
      </c>
      <c r="BF89" s="52">
        <v>0</v>
      </c>
      <c r="BG89" s="52" t="str">
        <v/>
      </c>
      <c r="BH89" s="52">
        <v>0</v>
      </c>
      <c r="BI89" s="52" t="str">
        <v/>
      </c>
      <c r="BJ89" s="52">
        <v>0</v>
      </c>
      <c r="BK89" s="52" t="str">
        <v/>
      </c>
      <c r="BL89" s="52">
        <v>0</v>
      </c>
      <c r="BM89" s="52" t="str">
        <v/>
      </c>
      <c r="BN89" s="52">
        <v>0</v>
      </c>
      <c r="BO89" s="52" t="str">
        <v/>
      </c>
      <c r="BP89" s="52">
        <v>0</v>
      </c>
      <c r="BQ89" s="52" t="str">
        <v/>
      </c>
      <c r="BR89" s="52">
        <v>0</v>
      </c>
      <c r="BS89" s="52" t="str">
        <v/>
      </c>
      <c r="BT89" s="52">
        <v>0</v>
      </c>
      <c r="BU89" s="52" t="str">
        <v/>
      </c>
      <c r="BV89" s="52">
        <v>0</v>
      </c>
      <c r="BW89" s="52" t="str">
        <v/>
      </c>
      <c r="BX89" s="52">
        <v>0</v>
      </c>
      <c r="BY89" s="52" t="str">
        <v/>
      </c>
      <c r="BZ89" s="52">
        <v>0</v>
      </c>
      <c r="CA89" s="52" t="str">
        <v/>
      </c>
      <c r="CB89" s="52">
        <v>0</v>
      </c>
      <c r="CC89" s="52" t="str">
        <v/>
      </c>
      <c r="CD89" s="52">
        <v>0</v>
      </c>
      <c r="CE89" s="52" t="str">
        <v/>
      </c>
      <c r="CF89" s="52">
        <v>0</v>
      </c>
      <c r="CG89" s="52" t="str">
        <v/>
      </c>
      <c r="CH89" s="52">
        <v>0</v>
      </c>
      <c r="CI89" s="52" t="str">
        <v/>
      </c>
      <c r="CJ89" s="52">
        <v>0</v>
      </c>
      <c r="CK89" s="52" t="str">
        <v/>
      </c>
      <c r="CL89" s="52">
        <v>0</v>
      </c>
      <c r="CM89" s="52" t="str">
        <v/>
      </c>
      <c r="CN89" s="52">
        <v>0</v>
      </c>
      <c r="CO89" s="52" t="str">
        <v/>
      </c>
      <c r="CP89" s="52">
        <v>0</v>
      </c>
      <c r="CQ89" s="52" t="str">
        <v/>
      </c>
      <c r="CR89" s="52">
        <v>0</v>
      </c>
      <c r="CS89" s="52" t="str">
        <v/>
      </c>
      <c r="CT89" s="52">
        <v>0</v>
      </c>
      <c r="CU89" s="52" t="str">
        <v/>
      </c>
      <c r="CV89" s="52">
        <v>0</v>
      </c>
      <c r="CW89" s="52" t="str">
        <v/>
      </c>
      <c r="CX89" s="52">
        <v>0</v>
      </c>
      <c r="CY89" s="52" t="str">
        <v/>
      </c>
      <c r="CZ89" s="52">
        <v>0</v>
      </c>
      <c r="DA89" s="52" t="str">
        <v/>
      </c>
      <c r="DB89" s="52">
        <v>0</v>
      </c>
      <c r="DC89" s="52" t="str">
        <v/>
      </c>
      <c r="DD89" s="52">
        <v>0</v>
      </c>
      <c r="DE89" s="52" t="str">
        <v/>
      </c>
      <c r="DF89" s="52">
        <v>0</v>
      </c>
      <c r="DG89" s="52" t="str">
        <v/>
      </c>
      <c r="DH89" s="52">
        <v>0</v>
      </c>
      <c r="DI89" s="52" t="str">
        <v/>
      </c>
      <c r="DJ89" s="52">
        <v>0</v>
      </c>
      <c r="DK89" s="52" t="str">
        <v/>
      </c>
      <c r="DL89" s="52">
        <v>0</v>
      </c>
      <c r="DM89" s="52" t="str">
        <v/>
      </c>
    </row>
    <row r="90" spans="1:117" x14ac:dyDescent="0.25">
      <c r="A90" s="54">
        <v>-544.79999999999984</v>
      </c>
      <c r="B90" s="52">
        <v>0</v>
      </c>
      <c r="C90" s="52" t="str">
        <v/>
      </c>
      <c r="D90" s="52">
        <v>0</v>
      </c>
      <c r="E90" s="52" t="str">
        <v/>
      </c>
      <c r="F90" s="52">
        <v>0</v>
      </c>
      <c r="G90" s="52" t="str">
        <v/>
      </c>
      <c r="H90" s="52">
        <v>0</v>
      </c>
      <c r="I90" s="52" t="str">
        <v/>
      </c>
      <c r="J90" s="52">
        <v>0</v>
      </c>
      <c r="K90" s="52" t="str">
        <v/>
      </c>
      <c r="L90" s="52">
        <v>0</v>
      </c>
      <c r="M90" s="52" t="str">
        <v/>
      </c>
      <c r="N90" s="52">
        <v>0</v>
      </c>
      <c r="O90" s="52" t="str">
        <v/>
      </c>
      <c r="P90" s="52">
        <v>0</v>
      </c>
      <c r="Q90" s="52" t="str">
        <v/>
      </c>
      <c r="R90" s="52">
        <v>0</v>
      </c>
      <c r="S90" s="52" t="str">
        <v/>
      </c>
      <c r="T90" s="52">
        <v>0</v>
      </c>
      <c r="U90" s="52" t="str">
        <v/>
      </c>
      <c r="V90" s="52">
        <v>0</v>
      </c>
      <c r="W90" s="52" t="str">
        <v/>
      </c>
      <c r="X90" s="52">
        <v>0</v>
      </c>
      <c r="Y90" s="52" t="str">
        <v/>
      </c>
      <c r="Z90" s="52">
        <v>0</v>
      </c>
      <c r="AA90" s="52" t="str">
        <v/>
      </c>
      <c r="AB90" s="52">
        <v>0</v>
      </c>
      <c r="AC90" s="52" t="str">
        <v/>
      </c>
      <c r="AD90" s="52">
        <v>0</v>
      </c>
      <c r="AE90" s="52" t="str">
        <v/>
      </c>
      <c r="AF90" s="52">
        <v>0</v>
      </c>
      <c r="AG90" s="52" t="str">
        <v/>
      </c>
      <c r="AH90" s="52">
        <v>0</v>
      </c>
      <c r="AI90" s="52" t="str">
        <v/>
      </c>
      <c r="AJ90" s="52">
        <v>0</v>
      </c>
      <c r="AK90" s="52" t="str">
        <v/>
      </c>
      <c r="AL90" s="52">
        <v>0</v>
      </c>
      <c r="AM90" s="52" t="str">
        <v/>
      </c>
      <c r="AN90" s="52">
        <v>0</v>
      </c>
      <c r="AO90" s="52" t="str">
        <v/>
      </c>
      <c r="AP90" s="52">
        <v>0</v>
      </c>
      <c r="AQ90" s="52" t="str">
        <v/>
      </c>
      <c r="AR90" s="52">
        <v>0</v>
      </c>
      <c r="AS90" s="52" t="str">
        <v/>
      </c>
      <c r="AT90" s="52">
        <v>0</v>
      </c>
      <c r="AU90" s="52" t="str">
        <v/>
      </c>
      <c r="AV90" s="52">
        <v>0</v>
      </c>
      <c r="AW90" s="52" t="str">
        <v/>
      </c>
      <c r="AX90" s="52">
        <v>0</v>
      </c>
      <c r="AY90" s="52" t="str">
        <v/>
      </c>
      <c r="AZ90" s="52">
        <v>0</v>
      </c>
      <c r="BA90" s="52" t="str">
        <v/>
      </c>
      <c r="BB90" s="52">
        <v>0</v>
      </c>
      <c r="BC90" s="52" t="str">
        <v/>
      </c>
      <c r="BD90" s="52">
        <v>0</v>
      </c>
      <c r="BE90" s="52" t="str">
        <v/>
      </c>
      <c r="BF90" s="52">
        <v>0</v>
      </c>
      <c r="BG90" s="52" t="str">
        <v/>
      </c>
      <c r="BH90" s="52">
        <v>0</v>
      </c>
      <c r="BI90" s="52" t="str">
        <v/>
      </c>
      <c r="BJ90" s="52">
        <v>0</v>
      </c>
      <c r="BK90" s="52" t="str">
        <v/>
      </c>
      <c r="BL90" s="52">
        <v>0</v>
      </c>
      <c r="BM90" s="52" t="str">
        <v/>
      </c>
      <c r="BN90" s="52">
        <v>0</v>
      </c>
      <c r="BO90" s="52" t="str">
        <v/>
      </c>
      <c r="BP90" s="52">
        <v>0</v>
      </c>
      <c r="BQ90" s="52" t="str">
        <v/>
      </c>
      <c r="BR90" s="52">
        <v>0</v>
      </c>
      <c r="BS90" s="52" t="str">
        <v/>
      </c>
      <c r="BT90" s="52">
        <v>0</v>
      </c>
      <c r="BU90" s="52" t="str">
        <v/>
      </c>
      <c r="BV90" s="52">
        <v>0</v>
      </c>
      <c r="BW90" s="52" t="str">
        <v/>
      </c>
      <c r="BX90" s="52">
        <v>0</v>
      </c>
      <c r="BY90" s="52" t="str">
        <v/>
      </c>
      <c r="BZ90" s="52">
        <v>0</v>
      </c>
      <c r="CA90" s="52" t="str">
        <v/>
      </c>
      <c r="CB90" s="52">
        <v>0</v>
      </c>
      <c r="CC90" s="52" t="str">
        <v/>
      </c>
      <c r="CD90" s="52">
        <v>0</v>
      </c>
      <c r="CE90" s="52" t="str">
        <v/>
      </c>
      <c r="CF90" s="52">
        <v>0</v>
      </c>
      <c r="CG90" s="52" t="str">
        <v/>
      </c>
      <c r="CH90" s="52">
        <v>0</v>
      </c>
      <c r="CI90" s="52" t="str">
        <v/>
      </c>
      <c r="CJ90" s="52">
        <v>0</v>
      </c>
      <c r="CK90" s="52" t="str">
        <v/>
      </c>
      <c r="CL90" s="52">
        <v>0</v>
      </c>
      <c r="CM90" s="52" t="str">
        <v/>
      </c>
      <c r="CN90" s="52">
        <v>0</v>
      </c>
      <c r="CO90" s="52" t="str">
        <v/>
      </c>
      <c r="CP90" s="52">
        <v>0</v>
      </c>
      <c r="CQ90" s="52" t="str">
        <v/>
      </c>
      <c r="CR90" s="52">
        <v>0</v>
      </c>
      <c r="CS90" s="52" t="str">
        <v/>
      </c>
      <c r="CT90" s="52">
        <v>0</v>
      </c>
      <c r="CU90" s="52" t="str">
        <v/>
      </c>
      <c r="CV90" s="52">
        <v>0</v>
      </c>
      <c r="CW90" s="52" t="str">
        <v/>
      </c>
      <c r="CX90" s="52">
        <v>0</v>
      </c>
      <c r="CY90" s="52" t="str">
        <v/>
      </c>
      <c r="CZ90" s="52">
        <v>0</v>
      </c>
      <c r="DA90" s="52" t="str">
        <v/>
      </c>
      <c r="DB90" s="52">
        <v>0</v>
      </c>
      <c r="DC90" s="52" t="str">
        <v/>
      </c>
      <c r="DD90" s="52">
        <v>0</v>
      </c>
      <c r="DE90" s="52" t="str">
        <v/>
      </c>
      <c r="DF90" s="52">
        <v>0</v>
      </c>
      <c r="DG90" s="52" t="str">
        <v/>
      </c>
      <c r="DH90" s="52">
        <v>0</v>
      </c>
      <c r="DI90" s="52" t="str">
        <v/>
      </c>
      <c r="DJ90" s="52">
        <v>0</v>
      </c>
      <c r="DK90" s="52" t="str">
        <v/>
      </c>
      <c r="DL90" s="52">
        <v>0</v>
      </c>
      <c r="DM90" s="52" t="str">
        <v/>
      </c>
    </row>
    <row r="91" spans="1:117" x14ac:dyDescent="0.25">
      <c r="A91" s="54">
        <v>-505.64999999999986</v>
      </c>
      <c r="B91" s="52">
        <v>0</v>
      </c>
      <c r="C91" s="52" t="str">
        <v/>
      </c>
      <c r="D91" s="52">
        <v>0</v>
      </c>
      <c r="E91" s="52" t="str">
        <v/>
      </c>
      <c r="F91" s="52">
        <v>0</v>
      </c>
      <c r="G91" s="52" t="str">
        <v/>
      </c>
      <c r="H91" s="52">
        <v>0</v>
      </c>
      <c r="I91" s="52" t="str">
        <v/>
      </c>
      <c r="J91" s="52">
        <v>0</v>
      </c>
      <c r="K91" s="52" t="str">
        <v/>
      </c>
      <c r="L91" s="52">
        <v>0</v>
      </c>
      <c r="M91" s="52" t="str">
        <v/>
      </c>
      <c r="N91" s="52">
        <v>0</v>
      </c>
      <c r="O91" s="52" t="str">
        <v/>
      </c>
      <c r="P91" s="52">
        <v>0</v>
      </c>
      <c r="Q91" s="52" t="str">
        <v/>
      </c>
      <c r="R91" s="52">
        <v>0</v>
      </c>
      <c r="S91" s="52" t="str">
        <v/>
      </c>
      <c r="T91" s="52">
        <v>0</v>
      </c>
      <c r="U91" s="52" t="str">
        <v/>
      </c>
      <c r="V91" s="52">
        <v>0</v>
      </c>
      <c r="W91" s="52" t="str">
        <v/>
      </c>
      <c r="X91" s="52">
        <v>0</v>
      </c>
      <c r="Y91" s="52" t="str">
        <v/>
      </c>
      <c r="Z91" s="52">
        <v>0</v>
      </c>
      <c r="AA91" s="52" t="str">
        <v/>
      </c>
      <c r="AB91" s="52">
        <v>0</v>
      </c>
      <c r="AC91" s="52" t="str">
        <v/>
      </c>
      <c r="AD91" s="52">
        <v>0</v>
      </c>
      <c r="AE91" s="52" t="str">
        <v/>
      </c>
      <c r="AF91" s="52">
        <v>0</v>
      </c>
      <c r="AG91" s="52" t="str">
        <v/>
      </c>
      <c r="AH91" s="52">
        <v>0</v>
      </c>
      <c r="AI91" s="52" t="str">
        <v/>
      </c>
      <c r="AJ91" s="52">
        <v>0</v>
      </c>
      <c r="AK91" s="52" t="str">
        <v/>
      </c>
      <c r="AL91" s="52">
        <v>0</v>
      </c>
      <c r="AM91" s="52" t="str">
        <v/>
      </c>
      <c r="AN91" s="52">
        <v>0</v>
      </c>
      <c r="AO91" s="52" t="str">
        <v/>
      </c>
      <c r="AP91" s="52">
        <v>0</v>
      </c>
      <c r="AQ91" s="52" t="str">
        <v/>
      </c>
      <c r="AR91" s="52">
        <v>0</v>
      </c>
      <c r="AS91" s="52" t="str">
        <v/>
      </c>
      <c r="AT91" s="52">
        <v>0</v>
      </c>
      <c r="AU91" s="52" t="str">
        <v/>
      </c>
      <c r="AV91" s="52">
        <v>0</v>
      </c>
      <c r="AW91" s="52" t="str">
        <v/>
      </c>
      <c r="AX91" s="52">
        <v>0</v>
      </c>
      <c r="AY91" s="52" t="str">
        <v/>
      </c>
      <c r="AZ91" s="52">
        <v>0</v>
      </c>
      <c r="BA91" s="52" t="str">
        <v/>
      </c>
      <c r="BB91" s="52">
        <v>0</v>
      </c>
      <c r="BC91" s="52" t="str">
        <v/>
      </c>
      <c r="BD91" s="52">
        <v>0</v>
      </c>
      <c r="BE91" s="52" t="str">
        <v/>
      </c>
      <c r="BF91" s="52">
        <v>0</v>
      </c>
      <c r="BG91" s="52" t="str">
        <v/>
      </c>
      <c r="BH91" s="52">
        <v>0</v>
      </c>
      <c r="BI91" s="52" t="str">
        <v/>
      </c>
      <c r="BJ91" s="52">
        <v>0</v>
      </c>
      <c r="BK91" s="52" t="str">
        <v/>
      </c>
      <c r="BL91" s="52">
        <v>0</v>
      </c>
      <c r="BM91" s="52" t="str">
        <v/>
      </c>
      <c r="BN91" s="52">
        <v>0</v>
      </c>
      <c r="BO91" s="52" t="str">
        <v/>
      </c>
      <c r="BP91" s="52">
        <v>0</v>
      </c>
      <c r="BQ91" s="52" t="str">
        <v/>
      </c>
      <c r="BR91" s="52">
        <v>0</v>
      </c>
      <c r="BS91" s="52" t="str">
        <v/>
      </c>
      <c r="BT91" s="52">
        <v>0</v>
      </c>
      <c r="BU91" s="52" t="str">
        <v/>
      </c>
      <c r="BV91" s="52">
        <v>0</v>
      </c>
      <c r="BW91" s="52" t="str">
        <v/>
      </c>
      <c r="BX91" s="52">
        <v>0</v>
      </c>
      <c r="BY91" s="52" t="str">
        <v/>
      </c>
      <c r="BZ91" s="52">
        <v>0</v>
      </c>
      <c r="CA91" s="52" t="str">
        <v/>
      </c>
      <c r="CB91" s="52">
        <v>0</v>
      </c>
      <c r="CC91" s="52" t="str">
        <v/>
      </c>
      <c r="CD91" s="52">
        <v>0</v>
      </c>
      <c r="CE91" s="52" t="str">
        <v/>
      </c>
      <c r="CF91" s="52">
        <v>0</v>
      </c>
      <c r="CG91" s="52" t="str">
        <v/>
      </c>
      <c r="CH91" s="52">
        <v>0</v>
      </c>
      <c r="CI91" s="52" t="str">
        <v/>
      </c>
      <c r="CJ91" s="52">
        <v>0</v>
      </c>
      <c r="CK91" s="52" t="str">
        <v/>
      </c>
      <c r="CL91" s="52">
        <v>0</v>
      </c>
      <c r="CM91" s="52" t="str">
        <v/>
      </c>
      <c r="CN91" s="52">
        <v>0</v>
      </c>
      <c r="CO91" s="52" t="str">
        <v/>
      </c>
      <c r="CP91" s="52">
        <v>0</v>
      </c>
      <c r="CQ91" s="52" t="str">
        <v/>
      </c>
      <c r="CR91" s="52">
        <v>0</v>
      </c>
      <c r="CS91" s="52" t="str">
        <v/>
      </c>
      <c r="CT91" s="52">
        <v>0</v>
      </c>
      <c r="CU91" s="52" t="str">
        <v/>
      </c>
      <c r="CV91" s="52">
        <v>0</v>
      </c>
      <c r="CW91" s="52" t="str">
        <v/>
      </c>
      <c r="CX91" s="52">
        <v>0</v>
      </c>
      <c r="CY91" s="52" t="str">
        <v/>
      </c>
      <c r="CZ91" s="52">
        <v>0</v>
      </c>
      <c r="DA91" s="52" t="str">
        <v/>
      </c>
      <c r="DB91" s="52">
        <v>0</v>
      </c>
      <c r="DC91" s="52" t="str">
        <v/>
      </c>
      <c r="DD91" s="52">
        <v>0</v>
      </c>
      <c r="DE91" s="52" t="str">
        <v/>
      </c>
      <c r="DF91" s="52">
        <v>0</v>
      </c>
      <c r="DG91" s="52" t="str">
        <v/>
      </c>
      <c r="DH91" s="52">
        <v>0</v>
      </c>
      <c r="DI91" s="52" t="str">
        <v/>
      </c>
      <c r="DJ91" s="52">
        <v>0</v>
      </c>
      <c r="DK91" s="52" t="str">
        <v/>
      </c>
      <c r="DL91" s="52">
        <v>0</v>
      </c>
      <c r="DM91" s="52" t="str">
        <v/>
      </c>
    </row>
    <row r="92" spans="1:117" x14ac:dyDescent="0.25">
      <c r="A92" s="54">
        <v>-466.49999999999989</v>
      </c>
      <c r="B92" s="52">
        <v>0</v>
      </c>
      <c r="C92" s="52" t="str">
        <v/>
      </c>
      <c r="D92" s="52">
        <v>0</v>
      </c>
      <c r="E92" s="52" t="str">
        <v/>
      </c>
      <c r="F92" s="52">
        <v>0</v>
      </c>
      <c r="G92" s="52" t="str">
        <v/>
      </c>
      <c r="H92" s="52">
        <v>0</v>
      </c>
      <c r="I92" s="52" t="str">
        <v/>
      </c>
      <c r="J92" s="52">
        <v>0</v>
      </c>
      <c r="K92" s="52" t="str">
        <v/>
      </c>
      <c r="L92" s="52">
        <v>0</v>
      </c>
      <c r="M92" s="52" t="str">
        <v/>
      </c>
      <c r="N92" s="52">
        <v>0</v>
      </c>
      <c r="O92" s="52" t="str">
        <v/>
      </c>
      <c r="P92" s="52">
        <v>0</v>
      </c>
      <c r="Q92" s="52" t="str">
        <v/>
      </c>
      <c r="R92" s="52">
        <v>0</v>
      </c>
      <c r="S92" s="52" t="str">
        <v/>
      </c>
      <c r="T92" s="52">
        <v>0</v>
      </c>
      <c r="U92" s="52" t="str">
        <v/>
      </c>
      <c r="V92" s="52">
        <v>0</v>
      </c>
      <c r="W92" s="52" t="str">
        <v/>
      </c>
      <c r="X92" s="52">
        <v>0</v>
      </c>
      <c r="Y92" s="52" t="str">
        <v/>
      </c>
      <c r="Z92" s="52">
        <v>0</v>
      </c>
      <c r="AA92" s="52" t="str">
        <v/>
      </c>
      <c r="AB92" s="52">
        <v>0</v>
      </c>
      <c r="AC92" s="52" t="str">
        <v/>
      </c>
      <c r="AD92" s="52">
        <v>0</v>
      </c>
      <c r="AE92" s="52" t="str">
        <v/>
      </c>
      <c r="AF92" s="52">
        <v>0</v>
      </c>
      <c r="AG92" s="52" t="str">
        <v/>
      </c>
      <c r="AH92" s="52">
        <v>0</v>
      </c>
      <c r="AI92" s="52" t="str">
        <v/>
      </c>
      <c r="AJ92" s="52">
        <v>0</v>
      </c>
      <c r="AK92" s="52" t="str">
        <v/>
      </c>
      <c r="AL92" s="52">
        <v>0</v>
      </c>
      <c r="AM92" s="52" t="str">
        <v/>
      </c>
      <c r="AN92" s="52">
        <v>0</v>
      </c>
      <c r="AO92" s="52" t="str">
        <v/>
      </c>
      <c r="AP92" s="52">
        <v>0</v>
      </c>
      <c r="AQ92" s="52" t="str">
        <v/>
      </c>
      <c r="AR92" s="52">
        <v>0</v>
      </c>
      <c r="AS92" s="52" t="str">
        <v/>
      </c>
      <c r="AT92" s="52">
        <v>0</v>
      </c>
      <c r="AU92" s="52" t="str">
        <v/>
      </c>
      <c r="AV92" s="52">
        <v>0</v>
      </c>
      <c r="AW92" s="52" t="str">
        <v/>
      </c>
      <c r="AX92" s="52">
        <v>0</v>
      </c>
      <c r="AY92" s="52" t="str">
        <v/>
      </c>
      <c r="AZ92" s="52">
        <v>0</v>
      </c>
      <c r="BA92" s="52" t="str">
        <v/>
      </c>
      <c r="BB92" s="52">
        <v>0</v>
      </c>
      <c r="BC92" s="52" t="str">
        <v/>
      </c>
      <c r="BD92" s="52">
        <v>0</v>
      </c>
      <c r="BE92" s="52" t="str">
        <v/>
      </c>
      <c r="BF92" s="52">
        <v>0</v>
      </c>
      <c r="BG92" s="52" t="str">
        <v/>
      </c>
      <c r="BH92" s="52">
        <v>0</v>
      </c>
      <c r="BI92" s="52" t="str">
        <v/>
      </c>
      <c r="BJ92" s="52">
        <v>0</v>
      </c>
      <c r="BK92" s="52" t="str">
        <v/>
      </c>
      <c r="BL92" s="52">
        <v>0</v>
      </c>
      <c r="BM92" s="52" t="str">
        <v/>
      </c>
      <c r="BN92" s="52">
        <v>0</v>
      </c>
      <c r="BO92" s="52" t="str">
        <v/>
      </c>
      <c r="BP92" s="52">
        <v>0</v>
      </c>
      <c r="BQ92" s="52" t="str">
        <v/>
      </c>
      <c r="BR92" s="52">
        <v>0</v>
      </c>
      <c r="BS92" s="52" t="str">
        <v/>
      </c>
      <c r="BT92" s="52">
        <v>0</v>
      </c>
      <c r="BU92" s="52" t="str">
        <v/>
      </c>
      <c r="BV92" s="52">
        <v>0</v>
      </c>
      <c r="BW92" s="52" t="str">
        <v/>
      </c>
      <c r="BX92" s="52">
        <v>0</v>
      </c>
      <c r="BY92" s="52" t="str">
        <v/>
      </c>
      <c r="BZ92" s="52">
        <v>0</v>
      </c>
      <c r="CA92" s="52" t="str">
        <v/>
      </c>
      <c r="CB92" s="52">
        <v>0</v>
      </c>
      <c r="CC92" s="52" t="str">
        <v/>
      </c>
      <c r="CD92" s="52">
        <v>0</v>
      </c>
      <c r="CE92" s="52" t="str">
        <v/>
      </c>
      <c r="CF92" s="52">
        <v>0</v>
      </c>
      <c r="CG92" s="52" t="str">
        <v/>
      </c>
      <c r="CH92" s="52">
        <v>0</v>
      </c>
      <c r="CI92" s="52" t="str">
        <v/>
      </c>
      <c r="CJ92" s="52">
        <v>0</v>
      </c>
      <c r="CK92" s="52" t="str">
        <v/>
      </c>
      <c r="CL92" s="52">
        <v>0</v>
      </c>
      <c r="CM92" s="52" t="str">
        <v/>
      </c>
      <c r="CN92" s="52">
        <v>0</v>
      </c>
      <c r="CO92" s="52" t="str">
        <v/>
      </c>
      <c r="CP92" s="52">
        <v>0</v>
      </c>
      <c r="CQ92" s="52" t="str">
        <v/>
      </c>
      <c r="CR92" s="52">
        <v>0</v>
      </c>
      <c r="CS92" s="52" t="str">
        <v/>
      </c>
      <c r="CT92" s="52">
        <v>0</v>
      </c>
      <c r="CU92" s="52" t="str">
        <v/>
      </c>
      <c r="CV92" s="52">
        <v>0</v>
      </c>
      <c r="CW92" s="52" t="str">
        <v/>
      </c>
      <c r="CX92" s="52">
        <v>0</v>
      </c>
      <c r="CY92" s="52" t="str">
        <v/>
      </c>
      <c r="CZ92" s="52">
        <v>0</v>
      </c>
      <c r="DA92" s="52" t="str">
        <v/>
      </c>
      <c r="DB92" s="52">
        <v>0</v>
      </c>
      <c r="DC92" s="52" t="str">
        <v/>
      </c>
      <c r="DD92" s="52">
        <v>0</v>
      </c>
      <c r="DE92" s="52" t="str">
        <v/>
      </c>
      <c r="DF92" s="52">
        <v>0</v>
      </c>
      <c r="DG92" s="52" t="str">
        <v/>
      </c>
      <c r="DH92" s="52">
        <v>0</v>
      </c>
      <c r="DI92" s="52" t="str">
        <v/>
      </c>
      <c r="DJ92" s="52">
        <v>0</v>
      </c>
      <c r="DK92" s="52" t="str">
        <v/>
      </c>
      <c r="DL92" s="52">
        <v>0</v>
      </c>
      <c r="DM92" s="52" t="str">
        <v/>
      </c>
    </row>
    <row r="93" spans="1:117" x14ac:dyDescent="0.25">
      <c r="A93" s="54">
        <v>-427.34999999999991</v>
      </c>
      <c r="B93" s="52">
        <v>0</v>
      </c>
      <c r="C93" s="52" t="str">
        <v/>
      </c>
      <c r="D93" s="52">
        <v>0</v>
      </c>
      <c r="E93" s="52" t="str">
        <v/>
      </c>
      <c r="F93" s="52">
        <v>0</v>
      </c>
      <c r="G93" s="52" t="str">
        <v/>
      </c>
      <c r="H93" s="52">
        <v>0</v>
      </c>
      <c r="I93" s="52" t="str">
        <v/>
      </c>
      <c r="J93" s="52">
        <v>0</v>
      </c>
      <c r="K93" s="52" t="str">
        <v/>
      </c>
      <c r="L93" s="52">
        <v>0</v>
      </c>
      <c r="M93" s="52" t="str">
        <v/>
      </c>
      <c r="N93" s="52">
        <v>0</v>
      </c>
      <c r="O93" s="52" t="str">
        <v/>
      </c>
      <c r="P93" s="52">
        <v>0</v>
      </c>
      <c r="Q93" s="52" t="str">
        <v/>
      </c>
      <c r="R93" s="52">
        <v>0</v>
      </c>
      <c r="S93" s="52" t="str">
        <v/>
      </c>
      <c r="T93" s="52">
        <v>0</v>
      </c>
      <c r="U93" s="52" t="str">
        <v/>
      </c>
      <c r="V93" s="52">
        <v>0</v>
      </c>
      <c r="W93" s="52" t="str">
        <v/>
      </c>
      <c r="X93" s="52">
        <v>0</v>
      </c>
      <c r="Y93" s="52" t="str">
        <v/>
      </c>
      <c r="Z93" s="52">
        <v>0</v>
      </c>
      <c r="AA93" s="52" t="str">
        <v/>
      </c>
      <c r="AB93" s="52">
        <v>0</v>
      </c>
      <c r="AC93" s="52" t="str">
        <v/>
      </c>
      <c r="AD93" s="52">
        <v>0</v>
      </c>
      <c r="AE93" s="52" t="str">
        <v/>
      </c>
      <c r="AF93" s="52">
        <v>0</v>
      </c>
      <c r="AG93" s="52" t="str">
        <v/>
      </c>
      <c r="AH93" s="52">
        <v>0</v>
      </c>
      <c r="AI93" s="52" t="str">
        <v/>
      </c>
      <c r="AJ93" s="52">
        <v>0</v>
      </c>
      <c r="AK93" s="52" t="str">
        <v/>
      </c>
      <c r="AL93" s="52">
        <v>0</v>
      </c>
      <c r="AM93" s="52" t="str">
        <v/>
      </c>
      <c r="AN93" s="52">
        <v>0</v>
      </c>
      <c r="AO93" s="52" t="str">
        <v/>
      </c>
      <c r="AP93" s="52">
        <v>0</v>
      </c>
      <c r="AQ93" s="52" t="str">
        <v/>
      </c>
      <c r="AR93" s="52">
        <v>0</v>
      </c>
      <c r="AS93" s="52" t="str">
        <v/>
      </c>
      <c r="AT93" s="52">
        <v>0</v>
      </c>
      <c r="AU93" s="52" t="str">
        <v/>
      </c>
      <c r="AV93" s="52">
        <v>0</v>
      </c>
      <c r="AW93" s="52" t="str">
        <v/>
      </c>
      <c r="AX93" s="52">
        <v>0</v>
      </c>
      <c r="AY93" s="52" t="str">
        <v/>
      </c>
      <c r="AZ93" s="52">
        <v>0</v>
      </c>
      <c r="BA93" s="52" t="str">
        <v/>
      </c>
      <c r="BB93" s="52">
        <v>0</v>
      </c>
      <c r="BC93" s="52" t="str">
        <v/>
      </c>
      <c r="BD93" s="52">
        <v>0</v>
      </c>
      <c r="BE93" s="52" t="str">
        <v/>
      </c>
      <c r="BF93" s="52">
        <v>0</v>
      </c>
      <c r="BG93" s="52" t="str">
        <v/>
      </c>
      <c r="BH93" s="52">
        <v>0</v>
      </c>
      <c r="BI93" s="52" t="str">
        <v/>
      </c>
      <c r="BJ93" s="52">
        <v>0</v>
      </c>
      <c r="BK93" s="52" t="str">
        <v/>
      </c>
      <c r="BL93" s="52">
        <v>0</v>
      </c>
      <c r="BM93" s="52" t="str">
        <v/>
      </c>
      <c r="BN93" s="52">
        <v>0</v>
      </c>
      <c r="BO93" s="52" t="str">
        <v/>
      </c>
      <c r="BP93" s="52">
        <v>0</v>
      </c>
      <c r="BQ93" s="52" t="str">
        <v/>
      </c>
      <c r="BR93" s="52">
        <v>0</v>
      </c>
      <c r="BS93" s="52" t="str">
        <v/>
      </c>
      <c r="BT93" s="52">
        <v>0</v>
      </c>
      <c r="BU93" s="52" t="str">
        <v/>
      </c>
      <c r="BV93" s="52">
        <v>0</v>
      </c>
      <c r="BW93" s="52" t="str">
        <v/>
      </c>
      <c r="BX93" s="52">
        <v>0</v>
      </c>
      <c r="BY93" s="52" t="str">
        <v/>
      </c>
      <c r="BZ93" s="52">
        <v>0</v>
      </c>
      <c r="CA93" s="52" t="str">
        <v/>
      </c>
      <c r="CB93" s="52">
        <v>0</v>
      </c>
      <c r="CC93" s="52" t="str">
        <v/>
      </c>
      <c r="CD93" s="52">
        <v>0</v>
      </c>
      <c r="CE93" s="52" t="str">
        <v/>
      </c>
      <c r="CF93" s="52">
        <v>0</v>
      </c>
      <c r="CG93" s="52" t="str">
        <v/>
      </c>
      <c r="CH93" s="52">
        <v>0</v>
      </c>
      <c r="CI93" s="52" t="str">
        <v/>
      </c>
      <c r="CJ93" s="52">
        <v>0</v>
      </c>
      <c r="CK93" s="52" t="str">
        <v/>
      </c>
      <c r="CL93" s="52">
        <v>0</v>
      </c>
      <c r="CM93" s="52" t="str">
        <v/>
      </c>
      <c r="CN93" s="52">
        <v>0</v>
      </c>
      <c r="CO93" s="52" t="str">
        <v/>
      </c>
      <c r="CP93" s="52">
        <v>0</v>
      </c>
      <c r="CQ93" s="52" t="str">
        <v/>
      </c>
      <c r="CR93" s="52">
        <v>0</v>
      </c>
      <c r="CS93" s="52" t="str">
        <v/>
      </c>
      <c r="CT93" s="52">
        <v>0</v>
      </c>
      <c r="CU93" s="52" t="str">
        <v/>
      </c>
      <c r="CV93" s="52">
        <v>0</v>
      </c>
      <c r="CW93" s="52" t="str">
        <v/>
      </c>
      <c r="CX93" s="52">
        <v>0</v>
      </c>
      <c r="CY93" s="52" t="str">
        <v/>
      </c>
      <c r="CZ93" s="52">
        <v>0</v>
      </c>
      <c r="DA93" s="52" t="str">
        <v/>
      </c>
      <c r="DB93" s="52">
        <v>0</v>
      </c>
      <c r="DC93" s="52" t="str">
        <v/>
      </c>
      <c r="DD93" s="52">
        <v>0</v>
      </c>
      <c r="DE93" s="52" t="str">
        <v/>
      </c>
      <c r="DF93" s="52">
        <v>0</v>
      </c>
      <c r="DG93" s="52" t="str">
        <v/>
      </c>
      <c r="DH93" s="52">
        <v>0</v>
      </c>
      <c r="DI93" s="52" t="str">
        <v/>
      </c>
      <c r="DJ93" s="52">
        <v>0</v>
      </c>
      <c r="DK93" s="52" t="str">
        <v/>
      </c>
      <c r="DL93" s="52">
        <v>0</v>
      </c>
      <c r="DM93" s="52" t="str">
        <v/>
      </c>
    </row>
    <row r="94" spans="1:117" x14ac:dyDescent="0.25">
      <c r="A94" s="54">
        <v>-388.19999999999993</v>
      </c>
      <c r="B94" s="52">
        <v>0</v>
      </c>
      <c r="C94" s="52" t="str">
        <v/>
      </c>
      <c r="D94" s="52">
        <v>0</v>
      </c>
      <c r="E94" s="52" t="str">
        <v/>
      </c>
      <c r="F94" s="52">
        <v>0</v>
      </c>
      <c r="G94" s="52" t="str">
        <v/>
      </c>
      <c r="H94" s="52">
        <v>0</v>
      </c>
      <c r="I94" s="52" t="str">
        <v/>
      </c>
      <c r="J94" s="52">
        <v>0</v>
      </c>
      <c r="K94" s="52" t="str">
        <v/>
      </c>
      <c r="L94" s="52">
        <v>0</v>
      </c>
      <c r="M94" s="52" t="str">
        <v/>
      </c>
      <c r="N94" s="52">
        <v>0</v>
      </c>
      <c r="O94" s="52" t="str">
        <v/>
      </c>
      <c r="P94" s="52">
        <v>0</v>
      </c>
      <c r="Q94" s="52" t="str">
        <v/>
      </c>
      <c r="R94" s="52">
        <v>0</v>
      </c>
      <c r="S94" s="52" t="str">
        <v/>
      </c>
      <c r="T94" s="52">
        <v>0</v>
      </c>
      <c r="U94" s="52" t="str">
        <v/>
      </c>
      <c r="V94" s="52">
        <v>0</v>
      </c>
      <c r="W94" s="52" t="str">
        <v/>
      </c>
      <c r="X94" s="52">
        <v>0</v>
      </c>
      <c r="Y94" s="52" t="str">
        <v/>
      </c>
      <c r="Z94" s="52">
        <v>0</v>
      </c>
      <c r="AA94" s="52" t="str">
        <v/>
      </c>
      <c r="AB94" s="52">
        <v>0</v>
      </c>
      <c r="AC94" s="52" t="str">
        <v/>
      </c>
      <c r="AD94" s="52">
        <v>0</v>
      </c>
      <c r="AE94" s="52" t="str">
        <v/>
      </c>
      <c r="AF94" s="52">
        <v>0</v>
      </c>
      <c r="AG94" s="52" t="str">
        <v/>
      </c>
      <c r="AH94" s="52">
        <v>0</v>
      </c>
      <c r="AI94" s="52" t="str">
        <v/>
      </c>
      <c r="AJ94" s="52">
        <v>0</v>
      </c>
      <c r="AK94" s="52" t="str">
        <v/>
      </c>
      <c r="AL94" s="52">
        <v>0</v>
      </c>
      <c r="AM94" s="52" t="str">
        <v/>
      </c>
      <c r="AN94" s="52">
        <v>0</v>
      </c>
      <c r="AO94" s="52" t="str">
        <v/>
      </c>
      <c r="AP94" s="52">
        <v>0</v>
      </c>
      <c r="AQ94" s="52" t="str">
        <v/>
      </c>
      <c r="AR94" s="52">
        <v>0</v>
      </c>
      <c r="AS94" s="52" t="str">
        <v/>
      </c>
      <c r="AT94" s="52">
        <v>0</v>
      </c>
      <c r="AU94" s="52" t="str">
        <v/>
      </c>
      <c r="AV94" s="52">
        <v>0</v>
      </c>
      <c r="AW94" s="52" t="str">
        <v/>
      </c>
      <c r="AX94" s="52">
        <v>0</v>
      </c>
      <c r="AY94" s="52" t="str">
        <v/>
      </c>
      <c r="AZ94" s="52">
        <v>0</v>
      </c>
      <c r="BA94" s="52" t="str">
        <v/>
      </c>
      <c r="BB94" s="52">
        <v>0</v>
      </c>
      <c r="BC94" s="52" t="str">
        <v/>
      </c>
      <c r="BD94" s="52">
        <v>0</v>
      </c>
      <c r="BE94" s="52" t="str">
        <v/>
      </c>
      <c r="BF94" s="52">
        <v>0</v>
      </c>
      <c r="BG94" s="52" t="str">
        <v/>
      </c>
      <c r="BH94" s="52">
        <v>0</v>
      </c>
      <c r="BI94" s="52" t="str">
        <v/>
      </c>
      <c r="BJ94" s="52">
        <v>0</v>
      </c>
      <c r="BK94" s="52" t="str">
        <v/>
      </c>
      <c r="BL94" s="52">
        <v>0</v>
      </c>
      <c r="BM94" s="52" t="str">
        <v/>
      </c>
      <c r="BN94" s="52">
        <v>0</v>
      </c>
      <c r="BO94" s="52" t="str">
        <v/>
      </c>
      <c r="BP94" s="52">
        <v>0</v>
      </c>
      <c r="BQ94" s="52" t="str">
        <v/>
      </c>
      <c r="BR94" s="52">
        <v>0</v>
      </c>
      <c r="BS94" s="52" t="str">
        <v/>
      </c>
      <c r="BT94" s="52">
        <v>0</v>
      </c>
      <c r="BU94" s="52" t="str">
        <v/>
      </c>
      <c r="BV94" s="52">
        <v>0</v>
      </c>
      <c r="BW94" s="52" t="str">
        <v/>
      </c>
      <c r="BX94" s="52">
        <v>0</v>
      </c>
      <c r="BY94" s="52" t="str">
        <v/>
      </c>
      <c r="BZ94" s="52">
        <v>0</v>
      </c>
      <c r="CA94" s="52" t="str">
        <v/>
      </c>
      <c r="CB94" s="52">
        <v>0</v>
      </c>
      <c r="CC94" s="52" t="str">
        <v/>
      </c>
      <c r="CD94" s="52">
        <v>0</v>
      </c>
      <c r="CE94" s="52" t="str">
        <v/>
      </c>
      <c r="CF94" s="52">
        <v>0</v>
      </c>
      <c r="CG94" s="52" t="str">
        <v/>
      </c>
      <c r="CH94" s="52">
        <v>0</v>
      </c>
      <c r="CI94" s="52" t="str">
        <v/>
      </c>
      <c r="CJ94" s="52">
        <v>0</v>
      </c>
      <c r="CK94" s="52" t="str">
        <v/>
      </c>
      <c r="CL94" s="52">
        <v>0</v>
      </c>
      <c r="CM94" s="52" t="str">
        <v/>
      </c>
      <c r="CN94" s="52">
        <v>0</v>
      </c>
      <c r="CO94" s="52" t="str">
        <v/>
      </c>
      <c r="CP94" s="52">
        <v>0</v>
      </c>
      <c r="CQ94" s="52" t="str">
        <v/>
      </c>
      <c r="CR94" s="52">
        <v>0</v>
      </c>
      <c r="CS94" s="52" t="str">
        <v/>
      </c>
      <c r="CT94" s="52">
        <v>0</v>
      </c>
      <c r="CU94" s="52" t="str">
        <v/>
      </c>
      <c r="CV94" s="52">
        <v>0</v>
      </c>
      <c r="CW94" s="52" t="str">
        <v/>
      </c>
      <c r="CX94" s="52">
        <v>0</v>
      </c>
      <c r="CY94" s="52" t="str">
        <v/>
      </c>
      <c r="CZ94" s="52">
        <v>0</v>
      </c>
      <c r="DA94" s="52" t="str">
        <v/>
      </c>
      <c r="DB94" s="52">
        <v>0</v>
      </c>
      <c r="DC94" s="52" t="str">
        <v/>
      </c>
      <c r="DD94" s="52">
        <v>0</v>
      </c>
      <c r="DE94" s="52" t="str">
        <v/>
      </c>
      <c r="DF94" s="52">
        <v>0</v>
      </c>
      <c r="DG94" s="52" t="str">
        <v/>
      </c>
      <c r="DH94" s="52">
        <v>0</v>
      </c>
      <c r="DI94" s="52" t="str">
        <v/>
      </c>
      <c r="DJ94" s="52">
        <v>0</v>
      </c>
      <c r="DK94" s="52" t="str">
        <v/>
      </c>
      <c r="DL94" s="52">
        <v>0</v>
      </c>
      <c r="DM94" s="52" t="str">
        <v/>
      </c>
    </row>
    <row r="95" spans="1:117" x14ac:dyDescent="0.25">
      <c r="A95" s="54">
        <v>-349.04999999999995</v>
      </c>
      <c r="B95" s="52">
        <v>0</v>
      </c>
      <c r="C95" s="52" t="str">
        <v/>
      </c>
      <c r="D95" s="52">
        <v>0</v>
      </c>
      <c r="E95" s="52" t="str">
        <v/>
      </c>
      <c r="F95" s="52">
        <v>0</v>
      </c>
      <c r="G95" s="52" t="str">
        <v/>
      </c>
      <c r="H95" s="52">
        <v>0</v>
      </c>
      <c r="I95" s="52" t="str">
        <v/>
      </c>
      <c r="J95" s="52">
        <v>0</v>
      </c>
      <c r="K95" s="52" t="str">
        <v/>
      </c>
      <c r="L95" s="52">
        <v>0</v>
      </c>
      <c r="M95" s="52" t="str">
        <v/>
      </c>
      <c r="N95" s="52">
        <v>0</v>
      </c>
      <c r="O95" s="52" t="str">
        <v/>
      </c>
      <c r="P95" s="52">
        <v>0</v>
      </c>
      <c r="Q95" s="52" t="str">
        <v/>
      </c>
      <c r="R95" s="52">
        <v>0</v>
      </c>
      <c r="S95" s="52" t="str">
        <v/>
      </c>
      <c r="T95" s="52">
        <v>0</v>
      </c>
      <c r="U95" s="52" t="str">
        <v/>
      </c>
      <c r="V95" s="52">
        <v>0</v>
      </c>
      <c r="W95" s="52" t="str">
        <v/>
      </c>
      <c r="X95" s="52">
        <v>0</v>
      </c>
      <c r="Y95" s="52" t="str">
        <v/>
      </c>
      <c r="Z95" s="52">
        <v>0</v>
      </c>
      <c r="AA95" s="52" t="str">
        <v/>
      </c>
      <c r="AB95" s="52">
        <v>0</v>
      </c>
      <c r="AC95" s="52" t="str">
        <v/>
      </c>
      <c r="AD95" s="52">
        <v>0</v>
      </c>
      <c r="AE95" s="52" t="str">
        <v/>
      </c>
      <c r="AF95" s="52">
        <v>0</v>
      </c>
      <c r="AG95" s="52" t="str">
        <v/>
      </c>
      <c r="AH95" s="52">
        <v>0</v>
      </c>
      <c r="AI95" s="52" t="str">
        <v/>
      </c>
      <c r="AJ95" s="52">
        <v>0</v>
      </c>
      <c r="AK95" s="52" t="str">
        <v/>
      </c>
      <c r="AL95" s="52">
        <v>0</v>
      </c>
      <c r="AM95" s="52" t="str">
        <v/>
      </c>
      <c r="AN95" s="52">
        <v>0</v>
      </c>
      <c r="AO95" s="52" t="str">
        <v/>
      </c>
      <c r="AP95" s="52">
        <v>0</v>
      </c>
      <c r="AQ95" s="52" t="str">
        <v/>
      </c>
      <c r="AR95" s="52">
        <v>0</v>
      </c>
      <c r="AS95" s="52" t="str">
        <v/>
      </c>
      <c r="AT95" s="52">
        <v>0</v>
      </c>
      <c r="AU95" s="52" t="str">
        <v/>
      </c>
      <c r="AV95" s="52">
        <v>0</v>
      </c>
      <c r="AW95" s="52" t="str">
        <v/>
      </c>
      <c r="AX95" s="52">
        <v>0</v>
      </c>
      <c r="AY95" s="52" t="str">
        <v/>
      </c>
      <c r="AZ95" s="52">
        <v>0</v>
      </c>
      <c r="BA95" s="52" t="str">
        <v/>
      </c>
      <c r="BB95" s="52">
        <v>0</v>
      </c>
      <c r="BC95" s="52" t="str">
        <v/>
      </c>
      <c r="BD95" s="52">
        <v>0</v>
      </c>
      <c r="BE95" s="52" t="str">
        <v/>
      </c>
      <c r="BF95" s="52">
        <v>0</v>
      </c>
      <c r="BG95" s="52" t="str">
        <v/>
      </c>
      <c r="BH95" s="52">
        <v>0</v>
      </c>
      <c r="BI95" s="52" t="str">
        <v/>
      </c>
      <c r="BJ95" s="52">
        <v>0</v>
      </c>
      <c r="BK95" s="52" t="str">
        <v/>
      </c>
      <c r="BL95" s="52">
        <v>0</v>
      </c>
      <c r="BM95" s="52" t="str">
        <v/>
      </c>
      <c r="BN95" s="52">
        <v>0</v>
      </c>
      <c r="BO95" s="52" t="str">
        <v/>
      </c>
      <c r="BP95" s="52">
        <v>0</v>
      </c>
      <c r="BQ95" s="52" t="str">
        <v/>
      </c>
      <c r="BR95" s="52">
        <v>0</v>
      </c>
      <c r="BS95" s="52" t="str">
        <v/>
      </c>
      <c r="BT95" s="52">
        <v>0</v>
      </c>
      <c r="BU95" s="52" t="str">
        <v/>
      </c>
      <c r="BV95" s="52">
        <v>0</v>
      </c>
      <c r="BW95" s="52" t="str">
        <v/>
      </c>
      <c r="BX95" s="52">
        <v>0</v>
      </c>
      <c r="BY95" s="52" t="str">
        <v/>
      </c>
      <c r="BZ95" s="52">
        <v>0</v>
      </c>
      <c r="CA95" s="52" t="str">
        <v/>
      </c>
      <c r="CB95" s="52">
        <v>0</v>
      </c>
      <c r="CC95" s="52" t="str">
        <v/>
      </c>
      <c r="CD95" s="52">
        <v>0</v>
      </c>
      <c r="CE95" s="52" t="str">
        <v/>
      </c>
      <c r="CF95" s="52">
        <v>0</v>
      </c>
      <c r="CG95" s="52" t="str">
        <v/>
      </c>
      <c r="CH95" s="52">
        <v>0</v>
      </c>
      <c r="CI95" s="52" t="str">
        <v/>
      </c>
      <c r="CJ95" s="52">
        <v>0</v>
      </c>
      <c r="CK95" s="52" t="str">
        <v/>
      </c>
      <c r="CL95" s="52">
        <v>0</v>
      </c>
      <c r="CM95" s="52" t="str">
        <v/>
      </c>
      <c r="CN95" s="52">
        <v>0</v>
      </c>
      <c r="CO95" s="52" t="str">
        <v/>
      </c>
      <c r="CP95" s="52">
        <v>0</v>
      </c>
      <c r="CQ95" s="52" t="str">
        <v/>
      </c>
      <c r="CR95" s="52">
        <v>0</v>
      </c>
      <c r="CS95" s="52" t="str">
        <v/>
      </c>
      <c r="CT95" s="52">
        <v>0</v>
      </c>
      <c r="CU95" s="52" t="str">
        <v/>
      </c>
      <c r="CV95" s="52">
        <v>0</v>
      </c>
      <c r="CW95" s="52" t="str">
        <v/>
      </c>
      <c r="CX95" s="52">
        <v>0</v>
      </c>
      <c r="CY95" s="52" t="str">
        <v/>
      </c>
      <c r="CZ95" s="52">
        <v>0</v>
      </c>
      <c r="DA95" s="52" t="str">
        <v/>
      </c>
      <c r="DB95" s="52">
        <v>0</v>
      </c>
      <c r="DC95" s="52" t="str">
        <v/>
      </c>
      <c r="DD95" s="52">
        <v>0</v>
      </c>
      <c r="DE95" s="52" t="str">
        <v/>
      </c>
      <c r="DF95" s="52">
        <v>0</v>
      </c>
      <c r="DG95" s="52" t="str">
        <v/>
      </c>
      <c r="DH95" s="52">
        <v>0</v>
      </c>
      <c r="DI95" s="52" t="str">
        <v/>
      </c>
      <c r="DJ95" s="52">
        <v>0</v>
      </c>
      <c r="DK95" s="52" t="str">
        <v/>
      </c>
      <c r="DL95" s="52">
        <v>0</v>
      </c>
      <c r="DM95" s="52" t="str">
        <v/>
      </c>
    </row>
    <row r="96" spans="1:117" x14ac:dyDescent="0.25">
      <c r="A96" s="54">
        <v>-309.89999999999998</v>
      </c>
      <c r="B96" s="52">
        <v>0</v>
      </c>
      <c r="C96" s="52" t="str">
        <v/>
      </c>
      <c r="D96" s="52">
        <v>0</v>
      </c>
      <c r="E96" s="52" t="str">
        <v/>
      </c>
      <c r="F96" s="52">
        <v>0</v>
      </c>
      <c r="G96" s="52" t="str">
        <v/>
      </c>
      <c r="H96" s="52">
        <v>0</v>
      </c>
      <c r="I96" s="52" t="str">
        <v/>
      </c>
      <c r="J96" s="52">
        <v>0</v>
      </c>
      <c r="K96" s="52" t="str">
        <v/>
      </c>
      <c r="L96" s="52">
        <v>0</v>
      </c>
      <c r="M96" s="52" t="str">
        <v/>
      </c>
      <c r="N96" s="52">
        <v>0</v>
      </c>
      <c r="O96" s="52" t="str">
        <v/>
      </c>
      <c r="P96" s="52">
        <v>0</v>
      </c>
      <c r="Q96" s="52" t="str">
        <v/>
      </c>
      <c r="R96" s="52">
        <v>0</v>
      </c>
      <c r="S96" s="52" t="str">
        <v/>
      </c>
      <c r="T96" s="52">
        <v>0</v>
      </c>
      <c r="U96" s="52" t="str">
        <v/>
      </c>
      <c r="V96" s="52">
        <v>0</v>
      </c>
      <c r="W96" s="52" t="str">
        <v/>
      </c>
      <c r="X96" s="52">
        <v>0</v>
      </c>
      <c r="Y96" s="52" t="str">
        <v/>
      </c>
      <c r="Z96" s="52">
        <v>0</v>
      </c>
      <c r="AA96" s="52" t="str">
        <v/>
      </c>
      <c r="AB96" s="52">
        <v>0</v>
      </c>
      <c r="AC96" s="52" t="str">
        <v/>
      </c>
      <c r="AD96" s="52">
        <v>0</v>
      </c>
      <c r="AE96" s="52" t="str">
        <v/>
      </c>
      <c r="AF96" s="52">
        <v>0</v>
      </c>
      <c r="AG96" s="52" t="str">
        <v/>
      </c>
      <c r="AH96" s="52">
        <v>0</v>
      </c>
      <c r="AI96" s="52" t="str">
        <v/>
      </c>
      <c r="AJ96" s="52">
        <v>0</v>
      </c>
      <c r="AK96" s="52" t="str">
        <v/>
      </c>
      <c r="AL96" s="52">
        <v>0</v>
      </c>
      <c r="AM96" s="52" t="str">
        <v/>
      </c>
      <c r="AN96" s="52">
        <v>0</v>
      </c>
      <c r="AO96" s="52" t="str">
        <v/>
      </c>
      <c r="AP96" s="52">
        <v>0</v>
      </c>
      <c r="AQ96" s="52" t="str">
        <v/>
      </c>
      <c r="AR96" s="52">
        <v>0</v>
      </c>
      <c r="AS96" s="52" t="str">
        <v/>
      </c>
      <c r="AT96" s="52">
        <v>0</v>
      </c>
      <c r="AU96" s="52" t="str">
        <v/>
      </c>
      <c r="AV96" s="52">
        <v>0</v>
      </c>
      <c r="AW96" s="52" t="str">
        <v/>
      </c>
      <c r="AX96" s="52">
        <v>0</v>
      </c>
      <c r="AY96" s="52" t="str">
        <v/>
      </c>
      <c r="AZ96" s="52">
        <v>0</v>
      </c>
      <c r="BA96" s="52" t="str">
        <v/>
      </c>
      <c r="BB96" s="52">
        <v>0</v>
      </c>
      <c r="BC96" s="52" t="str">
        <v/>
      </c>
      <c r="BD96" s="52">
        <v>0</v>
      </c>
      <c r="BE96" s="52" t="str">
        <v/>
      </c>
      <c r="BF96" s="52">
        <v>0</v>
      </c>
      <c r="BG96" s="52" t="str">
        <v/>
      </c>
      <c r="BH96" s="52">
        <v>0</v>
      </c>
      <c r="BI96" s="52" t="str">
        <v/>
      </c>
      <c r="BJ96" s="52">
        <v>0</v>
      </c>
      <c r="BK96" s="52" t="str">
        <v/>
      </c>
      <c r="BL96" s="52">
        <v>0</v>
      </c>
      <c r="BM96" s="52" t="str">
        <v/>
      </c>
      <c r="BN96" s="52">
        <v>0</v>
      </c>
      <c r="BO96" s="52" t="str">
        <v/>
      </c>
      <c r="BP96" s="52">
        <v>0</v>
      </c>
      <c r="BQ96" s="52" t="str">
        <v/>
      </c>
      <c r="BR96" s="52">
        <v>0</v>
      </c>
      <c r="BS96" s="52" t="str">
        <v/>
      </c>
      <c r="BT96" s="52">
        <v>0</v>
      </c>
      <c r="BU96" s="52" t="str">
        <v/>
      </c>
      <c r="BV96" s="52">
        <v>0</v>
      </c>
      <c r="BW96" s="52" t="str">
        <v/>
      </c>
      <c r="BX96" s="52">
        <v>0</v>
      </c>
      <c r="BY96" s="52" t="str">
        <v/>
      </c>
      <c r="BZ96" s="52">
        <v>0</v>
      </c>
      <c r="CA96" s="52" t="str">
        <v/>
      </c>
      <c r="CB96" s="52">
        <v>0</v>
      </c>
      <c r="CC96" s="52" t="str">
        <v/>
      </c>
      <c r="CD96" s="52">
        <v>0</v>
      </c>
      <c r="CE96" s="52" t="str">
        <v/>
      </c>
      <c r="CF96" s="52">
        <v>0</v>
      </c>
      <c r="CG96" s="52" t="str">
        <v/>
      </c>
      <c r="CH96" s="52">
        <v>0</v>
      </c>
      <c r="CI96" s="52" t="str">
        <v/>
      </c>
      <c r="CJ96" s="52">
        <v>0</v>
      </c>
      <c r="CK96" s="52" t="str">
        <v/>
      </c>
      <c r="CL96" s="52">
        <v>0</v>
      </c>
      <c r="CM96" s="52" t="str">
        <v/>
      </c>
      <c r="CN96" s="52">
        <v>0</v>
      </c>
      <c r="CO96" s="52" t="str">
        <v/>
      </c>
      <c r="CP96" s="52">
        <v>0</v>
      </c>
      <c r="CQ96" s="52" t="str">
        <v/>
      </c>
      <c r="CR96" s="52">
        <v>0</v>
      </c>
      <c r="CS96" s="52" t="str">
        <v/>
      </c>
      <c r="CT96" s="52">
        <v>0</v>
      </c>
      <c r="CU96" s="52" t="str">
        <v/>
      </c>
      <c r="CV96" s="52">
        <v>0</v>
      </c>
      <c r="CW96" s="52" t="str">
        <v/>
      </c>
      <c r="CX96" s="52">
        <v>0</v>
      </c>
      <c r="CY96" s="52" t="str">
        <v/>
      </c>
      <c r="CZ96" s="52">
        <v>0</v>
      </c>
      <c r="DA96" s="52" t="str">
        <v/>
      </c>
      <c r="DB96" s="52">
        <v>0</v>
      </c>
      <c r="DC96" s="52" t="str">
        <v/>
      </c>
      <c r="DD96" s="52">
        <v>0</v>
      </c>
      <c r="DE96" s="52" t="str">
        <v/>
      </c>
      <c r="DF96" s="52">
        <v>0</v>
      </c>
      <c r="DG96" s="52" t="str">
        <v/>
      </c>
      <c r="DH96" s="52">
        <v>0</v>
      </c>
      <c r="DI96" s="52" t="str">
        <v/>
      </c>
      <c r="DJ96" s="52">
        <v>0</v>
      </c>
      <c r="DK96" s="52" t="str">
        <v/>
      </c>
      <c r="DL96" s="52">
        <v>0</v>
      </c>
      <c r="DM96" s="52" t="str">
        <v/>
      </c>
    </row>
    <row r="97" spans="1:117" x14ac:dyDescent="0.25">
      <c r="A97" s="54">
        <v>-270.75</v>
      </c>
      <c r="B97" s="52">
        <v>0</v>
      </c>
      <c r="C97" s="52" t="str">
        <v/>
      </c>
      <c r="D97" s="52">
        <v>0</v>
      </c>
      <c r="E97" s="52" t="str">
        <v/>
      </c>
      <c r="F97" s="52">
        <v>0</v>
      </c>
      <c r="G97" s="52" t="str">
        <v/>
      </c>
      <c r="H97" s="52">
        <v>0</v>
      </c>
      <c r="I97" s="52" t="str">
        <v/>
      </c>
      <c r="J97" s="52">
        <v>0</v>
      </c>
      <c r="K97" s="52" t="str">
        <v/>
      </c>
      <c r="L97" s="52">
        <v>0</v>
      </c>
      <c r="M97" s="52" t="str">
        <v/>
      </c>
      <c r="N97" s="52">
        <v>0</v>
      </c>
      <c r="O97" s="52" t="str">
        <v/>
      </c>
      <c r="P97" s="52">
        <v>0</v>
      </c>
      <c r="Q97" s="52" t="str">
        <v/>
      </c>
      <c r="R97" s="52">
        <v>0</v>
      </c>
      <c r="S97" s="52" t="str">
        <v/>
      </c>
      <c r="T97" s="52">
        <v>0</v>
      </c>
      <c r="U97" s="52" t="str">
        <v/>
      </c>
      <c r="V97" s="52">
        <v>0</v>
      </c>
      <c r="W97" s="52" t="str">
        <v/>
      </c>
      <c r="X97" s="52">
        <v>0</v>
      </c>
      <c r="Y97" s="52" t="str">
        <v/>
      </c>
      <c r="Z97" s="52">
        <v>0</v>
      </c>
      <c r="AA97" s="52" t="str">
        <v/>
      </c>
      <c r="AB97" s="52">
        <v>0</v>
      </c>
      <c r="AC97" s="52" t="str">
        <v/>
      </c>
      <c r="AD97" s="52">
        <v>0</v>
      </c>
      <c r="AE97" s="52" t="str">
        <v/>
      </c>
      <c r="AF97" s="52">
        <v>0</v>
      </c>
      <c r="AG97" s="52" t="str">
        <v/>
      </c>
      <c r="AH97" s="52">
        <v>0</v>
      </c>
      <c r="AI97" s="52" t="str">
        <v/>
      </c>
      <c r="AJ97" s="52">
        <v>0</v>
      </c>
      <c r="AK97" s="52" t="str">
        <v/>
      </c>
      <c r="AL97" s="52">
        <v>0</v>
      </c>
      <c r="AM97" s="52" t="str">
        <v/>
      </c>
      <c r="AN97" s="52">
        <v>0</v>
      </c>
      <c r="AO97" s="52" t="str">
        <v/>
      </c>
      <c r="AP97" s="52">
        <v>0</v>
      </c>
      <c r="AQ97" s="52" t="str">
        <v/>
      </c>
      <c r="AR97" s="52">
        <v>0</v>
      </c>
      <c r="AS97" s="52" t="str">
        <v/>
      </c>
      <c r="AT97" s="52">
        <v>0</v>
      </c>
      <c r="AU97" s="52" t="str">
        <v/>
      </c>
      <c r="AV97" s="52">
        <v>0</v>
      </c>
      <c r="AW97" s="52" t="str">
        <v/>
      </c>
      <c r="AX97" s="52">
        <v>0</v>
      </c>
      <c r="AY97" s="52" t="str">
        <v/>
      </c>
      <c r="AZ97" s="52">
        <v>0</v>
      </c>
      <c r="BA97" s="52" t="str">
        <v/>
      </c>
      <c r="BB97" s="52">
        <v>0</v>
      </c>
      <c r="BC97" s="52" t="str">
        <v/>
      </c>
      <c r="BD97" s="52">
        <v>0</v>
      </c>
      <c r="BE97" s="52" t="str">
        <v/>
      </c>
      <c r="BF97" s="52">
        <v>0</v>
      </c>
      <c r="BG97" s="52" t="str">
        <v/>
      </c>
      <c r="BH97" s="52">
        <v>0</v>
      </c>
      <c r="BI97" s="52" t="str">
        <v/>
      </c>
      <c r="BJ97" s="52">
        <v>0</v>
      </c>
      <c r="BK97" s="52" t="str">
        <v/>
      </c>
      <c r="BL97" s="52">
        <v>0</v>
      </c>
      <c r="BM97" s="52" t="str">
        <v/>
      </c>
      <c r="BN97" s="52">
        <v>0</v>
      </c>
      <c r="BO97" s="52" t="str">
        <v/>
      </c>
      <c r="BP97" s="52">
        <v>0</v>
      </c>
      <c r="BQ97" s="52" t="str">
        <v/>
      </c>
      <c r="BR97" s="52">
        <v>0</v>
      </c>
      <c r="BS97" s="52" t="str">
        <v/>
      </c>
      <c r="BT97" s="52">
        <v>0</v>
      </c>
      <c r="BU97" s="52" t="str">
        <v/>
      </c>
      <c r="BV97" s="52">
        <v>0</v>
      </c>
      <c r="BW97" s="52" t="str">
        <v/>
      </c>
      <c r="BX97" s="52">
        <v>0</v>
      </c>
      <c r="BY97" s="52" t="str">
        <v/>
      </c>
      <c r="BZ97" s="52">
        <v>0</v>
      </c>
      <c r="CA97" s="52" t="str">
        <v/>
      </c>
      <c r="CB97" s="52">
        <v>0</v>
      </c>
      <c r="CC97" s="52" t="str">
        <v/>
      </c>
      <c r="CD97" s="52">
        <v>0</v>
      </c>
      <c r="CE97" s="52" t="str">
        <v/>
      </c>
      <c r="CF97" s="52">
        <v>0</v>
      </c>
      <c r="CG97" s="52" t="str">
        <v/>
      </c>
      <c r="CH97" s="52">
        <v>0</v>
      </c>
      <c r="CI97" s="52" t="str">
        <v/>
      </c>
      <c r="CJ97" s="52">
        <v>0</v>
      </c>
      <c r="CK97" s="52" t="str">
        <v/>
      </c>
      <c r="CL97" s="52">
        <v>0</v>
      </c>
      <c r="CM97" s="52" t="str">
        <v/>
      </c>
      <c r="CN97" s="52">
        <v>0</v>
      </c>
      <c r="CO97" s="52" t="str">
        <v/>
      </c>
      <c r="CP97" s="52">
        <v>0</v>
      </c>
      <c r="CQ97" s="52" t="str">
        <v/>
      </c>
      <c r="CR97" s="52">
        <v>0</v>
      </c>
      <c r="CS97" s="52" t="str">
        <v/>
      </c>
      <c r="CT97" s="52">
        <v>0</v>
      </c>
      <c r="CU97" s="52" t="str">
        <v/>
      </c>
      <c r="CV97" s="52">
        <v>0</v>
      </c>
      <c r="CW97" s="52" t="str">
        <v/>
      </c>
      <c r="CX97" s="52">
        <v>0</v>
      </c>
      <c r="CY97" s="52" t="str">
        <v/>
      </c>
      <c r="CZ97" s="52">
        <v>0</v>
      </c>
      <c r="DA97" s="52" t="str">
        <v/>
      </c>
      <c r="DB97" s="52">
        <v>0</v>
      </c>
      <c r="DC97" s="52" t="str">
        <v/>
      </c>
      <c r="DD97" s="52">
        <v>0</v>
      </c>
      <c r="DE97" s="52" t="str">
        <v/>
      </c>
      <c r="DF97" s="52">
        <v>0</v>
      </c>
      <c r="DG97" s="52" t="str">
        <v/>
      </c>
      <c r="DH97" s="52">
        <v>0</v>
      </c>
      <c r="DI97" s="52" t="str">
        <v/>
      </c>
      <c r="DJ97" s="52">
        <v>0</v>
      </c>
      <c r="DK97" s="52" t="str">
        <v/>
      </c>
      <c r="DL97" s="52">
        <v>0</v>
      </c>
      <c r="DM97" s="52" t="str">
        <v/>
      </c>
    </row>
    <row r="98" spans="1:117" x14ac:dyDescent="0.25">
      <c r="A98" s="54">
        <v>-231.60000000000002</v>
      </c>
      <c r="B98" s="52">
        <v>0</v>
      </c>
      <c r="C98" s="52" t="str">
        <v/>
      </c>
      <c r="D98" s="52">
        <v>0</v>
      </c>
      <c r="E98" s="52" t="str">
        <v/>
      </c>
      <c r="F98" s="52">
        <v>0</v>
      </c>
      <c r="G98" s="52" t="str">
        <v/>
      </c>
      <c r="H98" s="52">
        <v>0</v>
      </c>
      <c r="I98" s="52" t="str">
        <v/>
      </c>
      <c r="J98" s="52">
        <v>0</v>
      </c>
      <c r="K98" s="52" t="str">
        <v/>
      </c>
      <c r="L98" s="52">
        <v>0</v>
      </c>
      <c r="M98" s="52" t="str">
        <v/>
      </c>
      <c r="N98" s="52">
        <v>0</v>
      </c>
      <c r="O98" s="52" t="str">
        <v/>
      </c>
      <c r="P98" s="52">
        <v>0</v>
      </c>
      <c r="Q98" s="52" t="str">
        <v/>
      </c>
      <c r="R98" s="52">
        <v>0</v>
      </c>
      <c r="S98" s="52" t="str">
        <v/>
      </c>
      <c r="T98" s="52">
        <v>0</v>
      </c>
      <c r="U98" s="52" t="str">
        <v/>
      </c>
      <c r="V98" s="52">
        <v>0</v>
      </c>
      <c r="W98" s="52" t="str">
        <v/>
      </c>
      <c r="X98" s="52">
        <v>0</v>
      </c>
      <c r="Y98" s="52" t="str">
        <v/>
      </c>
      <c r="Z98" s="52">
        <v>0</v>
      </c>
      <c r="AA98" s="52" t="str">
        <v/>
      </c>
      <c r="AB98" s="52">
        <v>0</v>
      </c>
      <c r="AC98" s="52" t="str">
        <v/>
      </c>
      <c r="AD98" s="52">
        <v>0</v>
      </c>
      <c r="AE98" s="52" t="str">
        <v/>
      </c>
      <c r="AF98" s="52">
        <v>0</v>
      </c>
      <c r="AG98" s="52" t="str">
        <v/>
      </c>
      <c r="AH98" s="52">
        <v>0</v>
      </c>
      <c r="AI98" s="52" t="str">
        <v/>
      </c>
      <c r="AJ98" s="52">
        <v>0</v>
      </c>
      <c r="AK98" s="52" t="str">
        <v/>
      </c>
      <c r="AL98" s="52">
        <v>0</v>
      </c>
      <c r="AM98" s="52" t="str">
        <v/>
      </c>
      <c r="AN98" s="52">
        <v>0</v>
      </c>
      <c r="AO98" s="52" t="str">
        <v/>
      </c>
      <c r="AP98" s="52">
        <v>0</v>
      </c>
      <c r="AQ98" s="52" t="str">
        <v/>
      </c>
      <c r="AR98" s="52">
        <v>0</v>
      </c>
      <c r="AS98" s="52" t="str">
        <v/>
      </c>
      <c r="AT98" s="52">
        <v>0</v>
      </c>
      <c r="AU98" s="52" t="str">
        <v/>
      </c>
      <c r="AV98" s="52">
        <v>0</v>
      </c>
      <c r="AW98" s="52" t="str">
        <v/>
      </c>
      <c r="AX98" s="52">
        <v>0</v>
      </c>
      <c r="AY98" s="52" t="str">
        <v/>
      </c>
      <c r="AZ98" s="52">
        <v>0</v>
      </c>
      <c r="BA98" s="52" t="str">
        <v/>
      </c>
      <c r="BB98" s="52">
        <v>0</v>
      </c>
      <c r="BC98" s="52" t="str">
        <v/>
      </c>
      <c r="BD98" s="52">
        <v>0</v>
      </c>
      <c r="BE98" s="52" t="str">
        <v/>
      </c>
      <c r="BF98" s="52">
        <v>0</v>
      </c>
      <c r="BG98" s="52" t="str">
        <v/>
      </c>
      <c r="BH98" s="52">
        <v>0</v>
      </c>
      <c r="BI98" s="52" t="str">
        <v/>
      </c>
      <c r="BJ98" s="52">
        <v>0</v>
      </c>
      <c r="BK98" s="52" t="str">
        <v/>
      </c>
      <c r="BL98" s="52">
        <v>0</v>
      </c>
      <c r="BM98" s="52" t="str">
        <v/>
      </c>
      <c r="BN98" s="52">
        <v>0</v>
      </c>
      <c r="BO98" s="52" t="str">
        <v/>
      </c>
      <c r="BP98" s="52">
        <v>0</v>
      </c>
      <c r="BQ98" s="52" t="str">
        <v/>
      </c>
      <c r="BR98" s="52">
        <v>0</v>
      </c>
      <c r="BS98" s="52" t="str">
        <v/>
      </c>
      <c r="BT98" s="52">
        <v>0</v>
      </c>
      <c r="BU98" s="52" t="str">
        <v/>
      </c>
      <c r="BV98" s="52">
        <v>0</v>
      </c>
      <c r="BW98" s="52" t="str">
        <v/>
      </c>
      <c r="BX98" s="52">
        <v>0</v>
      </c>
      <c r="BY98" s="52" t="str">
        <v/>
      </c>
      <c r="BZ98" s="52">
        <v>0</v>
      </c>
      <c r="CA98" s="52" t="str">
        <v/>
      </c>
      <c r="CB98" s="52">
        <v>0</v>
      </c>
      <c r="CC98" s="52" t="str">
        <v/>
      </c>
      <c r="CD98" s="52">
        <v>0</v>
      </c>
      <c r="CE98" s="52" t="str">
        <v/>
      </c>
      <c r="CF98" s="52">
        <v>0</v>
      </c>
      <c r="CG98" s="52" t="str">
        <v/>
      </c>
      <c r="CH98" s="52">
        <v>0</v>
      </c>
      <c r="CI98" s="52" t="str">
        <v/>
      </c>
      <c r="CJ98" s="52">
        <v>0</v>
      </c>
      <c r="CK98" s="52" t="str">
        <v/>
      </c>
      <c r="CL98" s="52">
        <v>0</v>
      </c>
      <c r="CM98" s="52" t="str">
        <v/>
      </c>
      <c r="CN98" s="52">
        <v>0</v>
      </c>
      <c r="CO98" s="52" t="str">
        <v/>
      </c>
      <c r="CP98" s="52">
        <v>0</v>
      </c>
      <c r="CQ98" s="52" t="str">
        <v/>
      </c>
      <c r="CR98" s="52">
        <v>0</v>
      </c>
      <c r="CS98" s="52" t="str">
        <v/>
      </c>
      <c r="CT98" s="52">
        <v>0</v>
      </c>
      <c r="CU98" s="52" t="str">
        <v/>
      </c>
      <c r="CV98" s="52">
        <v>0</v>
      </c>
      <c r="CW98" s="52" t="str">
        <v/>
      </c>
      <c r="CX98" s="52">
        <v>0</v>
      </c>
      <c r="CY98" s="52" t="str">
        <v/>
      </c>
      <c r="CZ98" s="52">
        <v>0</v>
      </c>
      <c r="DA98" s="52" t="str">
        <v/>
      </c>
      <c r="DB98" s="52">
        <v>0</v>
      </c>
      <c r="DC98" s="52" t="str">
        <v/>
      </c>
      <c r="DD98" s="52">
        <v>0</v>
      </c>
      <c r="DE98" s="52" t="str">
        <v/>
      </c>
      <c r="DF98" s="52">
        <v>0</v>
      </c>
      <c r="DG98" s="52" t="str">
        <v/>
      </c>
      <c r="DH98" s="52">
        <v>0</v>
      </c>
      <c r="DI98" s="52" t="str">
        <v/>
      </c>
      <c r="DJ98" s="52">
        <v>0</v>
      </c>
      <c r="DK98" s="52" t="str">
        <v/>
      </c>
      <c r="DL98" s="52">
        <v>0</v>
      </c>
      <c r="DM98" s="52" t="str">
        <v/>
      </c>
    </row>
    <row r="99" spans="1:117" x14ac:dyDescent="0.25">
      <c r="A99" s="54">
        <v>-192.45000000000002</v>
      </c>
      <c r="B99" s="52">
        <v>0</v>
      </c>
      <c r="C99" s="52" t="str">
        <v/>
      </c>
      <c r="D99" s="52">
        <v>0</v>
      </c>
      <c r="E99" s="52" t="str">
        <v/>
      </c>
      <c r="F99" s="52">
        <v>0</v>
      </c>
      <c r="G99" s="52" t="str">
        <v/>
      </c>
      <c r="H99" s="52">
        <v>0</v>
      </c>
      <c r="I99" s="52" t="str">
        <v/>
      </c>
      <c r="J99" s="52">
        <v>0</v>
      </c>
      <c r="K99" s="52" t="str">
        <v/>
      </c>
      <c r="L99" s="52">
        <v>0</v>
      </c>
      <c r="M99" s="52" t="str">
        <v/>
      </c>
      <c r="N99" s="52">
        <v>0</v>
      </c>
      <c r="O99" s="52" t="str">
        <v/>
      </c>
      <c r="P99" s="52">
        <v>0</v>
      </c>
      <c r="Q99" s="52" t="str">
        <v/>
      </c>
      <c r="R99" s="52">
        <v>0</v>
      </c>
      <c r="S99" s="52" t="str">
        <v/>
      </c>
      <c r="T99" s="52">
        <v>0</v>
      </c>
      <c r="U99" s="52" t="str">
        <v/>
      </c>
      <c r="V99" s="52">
        <v>0</v>
      </c>
      <c r="W99" s="52" t="str">
        <v/>
      </c>
      <c r="X99" s="52">
        <v>0</v>
      </c>
      <c r="Y99" s="52" t="str">
        <v/>
      </c>
      <c r="Z99" s="52">
        <v>0</v>
      </c>
      <c r="AA99" s="52" t="str">
        <v/>
      </c>
      <c r="AB99" s="52">
        <v>0</v>
      </c>
      <c r="AC99" s="52" t="str">
        <v/>
      </c>
      <c r="AD99" s="52">
        <v>0</v>
      </c>
      <c r="AE99" s="52" t="str">
        <v/>
      </c>
      <c r="AF99" s="52">
        <v>0</v>
      </c>
      <c r="AG99" s="52" t="str">
        <v/>
      </c>
      <c r="AH99" s="52">
        <v>0</v>
      </c>
      <c r="AI99" s="52" t="str">
        <v/>
      </c>
      <c r="AJ99" s="52">
        <v>0</v>
      </c>
      <c r="AK99" s="52" t="str">
        <v/>
      </c>
      <c r="AL99" s="52">
        <v>0</v>
      </c>
      <c r="AM99" s="52" t="str">
        <v/>
      </c>
      <c r="AN99" s="52">
        <v>0</v>
      </c>
      <c r="AO99" s="52" t="str">
        <v/>
      </c>
      <c r="AP99" s="52">
        <v>0</v>
      </c>
      <c r="AQ99" s="52" t="str">
        <v/>
      </c>
      <c r="AR99" s="52">
        <v>0</v>
      </c>
      <c r="AS99" s="52" t="str">
        <v/>
      </c>
      <c r="AT99" s="52">
        <v>0</v>
      </c>
      <c r="AU99" s="52" t="str">
        <v/>
      </c>
      <c r="AV99" s="52">
        <v>0</v>
      </c>
      <c r="AW99" s="52" t="str">
        <v/>
      </c>
      <c r="AX99" s="52">
        <v>0</v>
      </c>
      <c r="AY99" s="52" t="str">
        <v/>
      </c>
      <c r="AZ99" s="52">
        <v>0</v>
      </c>
      <c r="BA99" s="52" t="str">
        <v/>
      </c>
      <c r="BB99" s="52">
        <v>0</v>
      </c>
      <c r="BC99" s="52" t="str">
        <v/>
      </c>
      <c r="BD99" s="52">
        <v>0</v>
      </c>
      <c r="BE99" s="52" t="str">
        <v/>
      </c>
      <c r="BF99" s="52">
        <v>0</v>
      </c>
      <c r="BG99" s="52" t="str">
        <v/>
      </c>
      <c r="BH99" s="52">
        <v>0</v>
      </c>
      <c r="BI99" s="52" t="str">
        <v/>
      </c>
      <c r="BJ99" s="52">
        <v>0</v>
      </c>
      <c r="BK99" s="52" t="str">
        <v/>
      </c>
      <c r="BL99" s="52">
        <v>0</v>
      </c>
      <c r="BM99" s="52" t="str">
        <v/>
      </c>
      <c r="BN99" s="52">
        <v>0</v>
      </c>
      <c r="BO99" s="52" t="str">
        <v/>
      </c>
      <c r="BP99" s="52">
        <v>0</v>
      </c>
      <c r="BQ99" s="52" t="str">
        <v/>
      </c>
      <c r="BR99" s="52">
        <v>0</v>
      </c>
      <c r="BS99" s="52" t="str">
        <v/>
      </c>
      <c r="BT99" s="52">
        <v>0</v>
      </c>
      <c r="BU99" s="52" t="str">
        <v/>
      </c>
      <c r="BV99" s="52">
        <v>0</v>
      </c>
      <c r="BW99" s="52" t="str">
        <v/>
      </c>
      <c r="BX99" s="52">
        <v>0</v>
      </c>
      <c r="BY99" s="52" t="str">
        <v/>
      </c>
      <c r="BZ99" s="52">
        <v>0</v>
      </c>
      <c r="CA99" s="52" t="str">
        <v/>
      </c>
      <c r="CB99" s="52">
        <v>0</v>
      </c>
      <c r="CC99" s="52" t="str">
        <v/>
      </c>
      <c r="CD99" s="52">
        <v>0</v>
      </c>
      <c r="CE99" s="52" t="str">
        <v/>
      </c>
      <c r="CF99" s="52">
        <v>0</v>
      </c>
      <c r="CG99" s="52" t="str">
        <v/>
      </c>
      <c r="CH99" s="52">
        <v>0</v>
      </c>
      <c r="CI99" s="52" t="str">
        <v/>
      </c>
      <c r="CJ99" s="52">
        <v>0</v>
      </c>
      <c r="CK99" s="52" t="str">
        <v/>
      </c>
      <c r="CL99" s="52">
        <v>0</v>
      </c>
      <c r="CM99" s="52" t="str">
        <v/>
      </c>
      <c r="CN99" s="52">
        <v>0</v>
      </c>
      <c r="CO99" s="52" t="str">
        <v/>
      </c>
      <c r="CP99" s="52">
        <v>0</v>
      </c>
      <c r="CQ99" s="52" t="str">
        <v/>
      </c>
      <c r="CR99" s="52">
        <v>0</v>
      </c>
      <c r="CS99" s="52" t="str">
        <v/>
      </c>
      <c r="CT99" s="52">
        <v>0</v>
      </c>
      <c r="CU99" s="52" t="str">
        <v/>
      </c>
      <c r="CV99" s="52">
        <v>0</v>
      </c>
      <c r="CW99" s="52" t="str">
        <v/>
      </c>
      <c r="CX99" s="52">
        <v>0</v>
      </c>
      <c r="CY99" s="52" t="str">
        <v/>
      </c>
      <c r="CZ99" s="52">
        <v>0</v>
      </c>
      <c r="DA99" s="52" t="str">
        <v/>
      </c>
      <c r="DB99" s="52">
        <v>0</v>
      </c>
      <c r="DC99" s="52" t="str">
        <v/>
      </c>
      <c r="DD99" s="52">
        <v>0</v>
      </c>
      <c r="DE99" s="52" t="str">
        <v/>
      </c>
      <c r="DF99" s="52">
        <v>0</v>
      </c>
      <c r="DG99" s="52" t="str">
        <v/>
      </c>
      <c r="DH99" s="52">
        <v>0</v>
      </c>
      <c r="DI99" s="52" t="str">
        <v/>
      </c>
      <c r="DJ99" s="52">
        <v>0</v>
      </c>
      <c r="DK99" s="52" t="str">
        <v/>
      </c>
      <c r="DL99" s="52">
        <v>0</v>
      </c>
      <c r="DM99" s="52" t="str">
        <v/>
      </c>
    </row>
    <row r="100" spans="1:117" x14ac:dyDescent="0.25">
      <c r="A100" s="54">
        <v>-153.30000000000001</v>
      </c>
      <c r="B100" s="52">
        <v>0</v>
      </c>
      <c r="C100" s="52" t="str">
        <v/>
      </c>
      <c r="D100" s="52">
        <v>0</v>
      </c>
      <c r="E100" s="52" t="str">
        <v/>
      </c>
      <c r="F100" s="52">
        <v>0</v>
      </c>
      <c r="G100" s="52" t="str">
        <v/>
      </c>
      <c r="H100" s="52">
        <v>0</v>
      </c>
      <c r="I100" s="52" t="str">
        <v/>
      </c>
      <c r="J100" s="52">
        <v>0</v>
      </c>
      <c r="K100" s="52" t="str">
        <v/>
      </c>
      <c r="L100" s="52">
        <v>0</v>
      </c>
      <c r="M100" s="52" t="str">
        <v/>
      </c>
      <c r="N100" s="52">
        <v>0</v>
      </c>
      <c r="O100" s="52" t="str">
        <v/>
      </c>
      <c r="P100" s="52">
        <v>0</v>
      </c>
      <c r="Q100" s="52" t="str">
        <v/>
      </c>
      <c r="R100" s="52">
        <v>0</v>
      </c>
      <c r="S100" s="52" t="str">
        <v/>
      </c>
      <c r="T100" s="52">
        <v>0</v>
      </c>
      <c r="U100" s="52" t="str">
        <v/>
      </c>
      <c r="V100" s="52">
        <v>0</v>
      </c>
      <c r="W100" s="52" t="str">
        <v/>
      </c>
      <c r="X100" s="52">
        <v>0</v>
      </c>
      <c r="Y100" s="52" t="str">
        <v/>
      </c>
      <c r="Z100" s="52">
        <v>0</v>
      </c>
      <c r="AA100" s="52" t="str">
        <v/>
      </c>
      <c r="AB100" s="52">
        <v>0</v>
      </c>
      <c r="AC100" s="52" t="str">
        <v/>
      </c>
      <c r="AD100" s="52">
        <v>0</v>
      </c>
      <c r="AE100" s="52" t="str">
        <v/>
      </c>
      <c r="AF100" s="52">
        <v>0</v>
      </c>
      <c r="AG100" s="52" t="str">
        <v/>
      </c>
      <c r="AH100" s="52">
        <v>0</v>
      </c>
      <c r="AI100" s="52" t="str">
        <v/>
      </c>
      <c r="AJ100" s="52">
        <v>0</v>
      </c>
      <c r="AK100" s="52" t="str">
        <v/>
      </c>
      <c r="AL100" s="52">
        <v>0</v>
      </c>
      <c r="AM100" s="52" t="str">
        <v/>
      </c>
      <c r="AN100" s="52">
        <v>0</v>
      </c>
      <c r="AO100" s="52" t="str">
        <v/>
      </c>
      <c r="AP100" s="52">
        <v>0</v>
      </c>
      <c r="AQ100" s="52" t="str">
        <v/>
      </c>
      <c r="AR100" s="52">
        <v>0</v>
      </c>
      <c r="AS100" s="52" t="str">
        <v/>
      </c>
      <c r="AT100" s="52">
        <v>0</v>
      </c>
      <c r="AU100" s="52" t="str">
        <v/>
      </c>
      <c r="AV100" s="52">
        <v>0</v>
      </c>
      <c r="AW100" s="52" t="str">
        <v/>
      </c>
      <c r="AX100" s="52">
        <v>0</v>
      </c>
      <c r="AY100" s="52" t="str">
        <v/>
      </c>
      <c r="AZ100" s="52">
        <v>0</v>
      </c>
      <c r="BA100" s="52" t="str">
        <v/>
      </c>
      <c r="BB100" s="52">
        <v>0</v>
      </c>
      <c r="BC100" s="52" t="str">
        <v/>
      </c>
      <c r="BD100" s="52">
        <v>0</v>
      </c>
      <c r="BE100" s="52" t="str">
        <v/>
      </c>
      <c r="BF100" s="52">
        <v>0</v>
      </c>
      <c r="BG100" s="52" t="str">
        <v/>
      </c>
      <c r="BH100" s="52">
        <v>0</v>
      </c>
      <c r="BI100" s="52" t="str">
        <v/>
      </c>
      <c r="BJ100" s="52">
        <v>0</v>
      </c>
      <c r="BK100" s="52" t="str">
        <v/>
      </c>
      <c r="BL100" s="52">
        <v>0</v>
      </c>
      <c r="BM100" s="52" t="str">
        <v/>
      </c>
      <c r="BN100" s="52">
        <v>0</v>
      </c>
      <c r="BO100" s="52" t="str">
        <v/>
      </c>
      <c r="BP100" s="52">
        <v>0</v>
      </c>
      <c r="BQ100" s="52" t="str">
        <v/>
      </c>
      <c r="BR100" s="52">
        <v>0</v>
      </c>
      <c r="BS100" s="52" t="str">
        <v/>
      </c>
      <c r="BT100" s="52">
        <v>0</v>
      </c>
      <c r="BU100" s="52" t="str">
        <v/>
      </c>
      <c r="BV100" s="52">
        <v>0</v>
      </c>
      <c r="BW100" s="52" t="str">
        <v/>
      </c>
      <c r="BX100" s="52">
        <v>0</v>
      </c>
      <c r="BY100" s="52" t="str">
        <v/>
      </c>
      <c r="BZ100" s="52">
        <v>0</v>
      </c>
      <c r="CA100" s="52" t="str">
        <v/>
      </c>
      <c r="CB100" s="52">
        <v>0</v>
      </c>
      <c r="CC100" s="52" t="str">
        <v/>
      </c>
      <c r="CD100" s="52">
        <v>0</v>
      </c>
      <c r="CE100" s="52" t="str">
        <v/>
      </c>
      <c r="CF100" s="52">
        <v>0</v>
      </c>
      <c r="CG100" s="52" t="str">
        <v/>
      </c>
      <c r="CH100" s="52">
        <v>0</v>
      </c>
      <c r="CI100" s="52" t="str">
        <v/>
      </c>
      <c r="CJ100" s="52">
        <v>0</v>
      </c>
      <c r="CK100" s="52" t="str">
        <v/>
      </c>
      <c r="CL100" s="52">
        <v>0</v>
      </c>
      <c r="CM100" s="52" t="str">
        <v/>
      </c>
      <c r="CN100" s="52">
        <v>0</v>
      </c>
      <c r="CO100" s="52" t="str">
        <v/>
      </c>
      <c r="CP100" s="52">
        <v>0</v>
      </c>
      <c r="CQ100" s="52" t="str">
        <v/>
      </c>
      <c r="CR100" s="52">
        <v>0</v>
      </c>
      <c r="CS100" s="52" t="str">
        <v/>
      </c>
      <c r="CT100" s="52">
        <v>0</v>
      </c>
      <c r="CU100" s="52" t="str">
        <v/>
      </c>
      <c r="CV100" s="52">
        <v>0</v>
      </c>
      <c r="CW100" s="52" t="str">
        <v/>
      </c>
      <c r="CX100" s="52">
        <v>0</v>
      </c>
      <c r="CY100" s="52" t="str">
        <v/>
      </c>
      <c r="CZ100" s="52">
        <v>0</v>
      </c>
      <c r="DA100" s="52" t="str">
        <v/>
      </c>
      <c r="DB100" s="52">
        <v>0</v>
      </c>
      <c r="DC100" s="52" t="str">
        <v/>
      </c>
      <c r="DD100" s="52">
        <v>0</v>
      </c>
      <c r="DE100" s="52" t="str">
        <v/>
      </c>
      <c r="DF100" s="52">
        <v>0</v>
      </c>
      <c r="DG100" s="52" t="str">
        <v/>
      </c>
      <c r="DH100" s="52">
        <v>0</v>
      </c>
      <c r="DI100" s="52" t="str">
        <v/>
      </c>
      <c r="DJ100" s="52">
        <v>0</v>
      </c>
      <c r="DK100" s="52" t="str">
        <v/>
      </c>
      <c r="DL100" s="52">
        <v>0</v>
      </c>
      <c r="DM100" s="52" t="str">
        <v/>
      </c>
    </row>
    <row r="101" spans="1:117" x14ac:dyDescent="0.25">
      <c r="A101" s="54">
        <v>-114.15</v>
      </c>
      <c r="B101" s="52">
        <v>0</v>
      </c>
      <c r="C101" s="52" t="str">
        <v/>
      </c>
      <c r="D101" s="52">
        <v>0</v>
      </c>
      <c r="E101" s="52" t="str">
        <v/>
      </c>
      <c r="F101" s="52">
        <v>0</v>
      </c>
      <c r="G101" s="52" t="str">
        <v/>
      </c>
      <c r="H101" s="52">
        <v>0</v>
      </c>
      <c r="I101" s="52" t="str">
        <v/>
      </c>
      <c r="J101" s="52">
        <v>0</v>
      </c>
      <c r="K101" s="52" t="str">
        <v/>
      </c>
      <c r="L101" s="52">
        <v>0</v>
      </c>
      <c r="M101" s="52" t="str">
        <v/>
      </c>
      <c r="N101" s="52">
        <v>0</v>
      </c>
      <c r="O101" s="52" t="str">
        <v/>
      </c>
      <c r="P101" s="52">
        <v>0</v>
      </c>
      <c r="Q101" s="52" t="str">
        <v/>
      </c>
      <c r="R101" s="52">
        <v>0</v>
      </c>
      <c r="S101" s="52" t="str">
        <v/>
      </c>
      <c r="T101" s="52">
        <v>0</v>
      </c>
      <c r="U101" s="52" t="str">
        <v/>
      </c>
      <c r="V101" s="52">
        <v>0</v>
      </c>
      <c r="W101" s="52" t="str">
        <v/>
      </c>
      <c r="X101" s="52">
        <v>0</v>
      </c>
      <c r="Y101" s="52" t="str">
        <v/>
      </c>
      <c r="Z101" s="52">
        <v>0</v>
      </c>
      <c r="AA101" s="52" t="str">
        <v/>
      </c>
      <c r="AB101" s="52">
        <v>0</v>
      </c>
      <c r="AC101" s="52" t="str">
        <v/>
      </c>
      <c r="AD101" s="52">
        <v>0</v>
      </c>
      <c r="AE101" s="52" t="str">
        <v/>
      </c>
      <c r="AF101" s="52">
        <v>0</v>
      </c>
      <c r="AG101" s="52" t="str">
        <v/>
      </c>
      <c r="AH101" s="52">
        <v>0</v>
      </c>
      <c r="AI101" s="52" t="str">
        <v/>
      </c>
      <c r="AJ101" s="52">
        <v>0</v>
      </c>
      <c r="AK101" s="52" t="str">
        <v/>
      </c>
      <c r="AL101" s="52">
        <v>0</v>
      </c>
      <c r="AM101" s="52" t="str">
        <v/>
      </c>
      <c r="AN101" s="52">
        <v>0</v>
      </c>
      <c r="AO101" s="52" t="str">
        <v/>
      </c>
      <c r="AP101" s="52">
        <v>0</v>
      </c>
      <c r="AQ101" s="52" t="str">
        <v/>
      </c>
      <c r="AR101" s="52">
        <v>0</v>
      </c>
      <c r="AS101" s="52" t="str">
        <v/>
      </c>
      <c r="AT101" s="52">
        <v>0</v>
      </c>
      <c r="AU101" s="52" t="str">
        <v/>
      </c>
      <c r="AV101" s="52">
        <v>0</v>
      </c>
      <c r="AW101" s="52" t="str">
        <v/>
      </c>
      <c r="AX101" s="52">
        <v>0</v>
      </c>
      <c r="AY101" s="52" t="str">
        <v/>
      </c>
      <c r="AZ101" s="52">
        <v>0</v>
      </c>
      <c r="BA101" s="52" t="str">
        <v/>
      </c>
      <c r="BB101" s="52">
        <v>0</v>
      </c>
      <c r="BC101" s="52" t="str">
        <v/>
      </c>
      <c r="BD101" s="52">
        <v>0</v>
      </c>
      <c r="BE101" s="52" t="str">
        <v/>
      </c>
      <c r="BF101" s="52">
        <v>0</v>
      </c>
      <c r="BG101" s="52" t="str">
        <v/>
      </c>
      <c r="BH101" s="52">
        <v>0</v>
      </c>
      <c r="BI101" s="52" t="str">
        <v/>
      </c>
      <c r="BJ101" s="52">
        <v>0</v>
      </c>
      <c r="BK101" s="52" t="str">
        <v/>
      </c>
      <c r="BL101" s="52">
        <v>0</v>
      </c>
      <c r="BM101" s="52" t="str">
        <v/>
      </c>
      <c r="BN101" s="52">
        <v>0</v>
      </c>
      <c r="BO101" s="52" t="str">
        <v/>
      </c>
      <c r="BP101" s="52">
        <v>0</v>
      </c>
      <c r="BQ101" s="52" t="str">
        <v/>
      </c>
      <c r="BR101" s="52">
        <v>0</v>
      </c>
      <c r="BS101" s="52" t="str">
        <v/>
      </c>
      <c r="BT101" s="52">
        <v>0</v>
      </c>
      <c r="BU101" s="52" t="str">
        <v/>
      </c>
      <c r="BV101" s="52">
        <v>0</v>
      </c>
      <c r="BW101" s="52" t="str">
        <v/>
      </c>
      <c r="BX101" s="52">
        <v>0</v>
      </c>
      <c r="BY101" s="52" t="str">
        <v/>
      </c>
      <c r="BZ101" s="52">
        <v>0</v>
      </c>
      <c r="CA101" s="52" t="str">
        <v/>
      </c>
      <c r="CB101" s="52">
        <v>0</v>
      </c>
      <c r="CC101" s="52" t="str">
        <v/>
      </c>
      <c r="CD101" s="52">
        <v>0</v>
      </c>
      <c r="CE101" s="52" t="str">
        <v/>
      </c>
      <c r="CF101" s="52">
        <v>0</v>
      </c>
      <c r="CG101" s="52" t="str">
        <v/>
      </c>
      <c r="CH101" s="52">
        <v>0</v>
      </c>
      <c r="CI101" s="52" t="str">
        <v/>
      </c>
      <c r="CJ101" s="52">
        <v>0</v>
      </c>
      <c r="CK101" s="52" t="str">
        <v/>
      </c>
      <c r="CL101" s="52">
        <v>0</v>
      </c>
      <c r="CM101" s="52" t="str">
        <v/>
      </c>
      <c r="CN101" s="52">
        <v>0</v>
      </c>
      <c r="CO101" s="52" t="str">
        <v/>
      </c>
      <c r="CP101" s="52">
        <v>0</v>
      </c>
      <c r="CQ101" s="52" t="str">
        <v/>
      </c>
      <c r="CR101" s="52">
        <v>0</v>
      </c>
      <c r="CS101" s="52" t="str">
        <v/>
      </c>
      <c r="CT101" s="52">
        <v>0</v>
      </c>
      <c r="CU101" s="52" t="str">
        <v/>
      </c>
      <c r="CV101" s="52">
        <v>0</v>
      </c>
      <c r="CW101" s="52" t="str">
        <v/>
      </c>
      <c r="CX101" s="52">
        <v>0</v>
      </c>
      <c r="CY101" s="52" t="str">
        <v/>
      </c>
      <c r="CZ101" s="52">
        <v>0</v>
      </c>
      <c r="DA101" s="52" t="str">
        <v/>
      </c>
      <c r="DB101" s="52">
        <v>0</v>
      </c>
      <c r="DC101" s="52" t="str">
        <v/>
      </c>
      <c r="DD101" s="52">
        <v>0</v>
      </c>
      <c r="DE101" s="52" t="str">
        <v/>
      </c>
      <c r="DF101" s="52">
        <v>0</v>
      </c>
      <c r="DG101" s="52" t="str">
        <v/>
      </c>
      <c r="DH101" s="52">
        <v>0</v>
      </c>
      <c r="DI101" s="52" t="str">
        <v/>
      </c>
      <c r="DJ101" s="52">
        <v>0</v>
      </c>
      <c r="DK101" s="52" t="str">
        <v/>
      </c>
      <c r="DL101" s="52">
        <v>0</v>
      </c>
      <c r="DM101" s="52" t="str">
        <v/>
      </c>
    </row>
    <row r="102" spans="1:117" x14ac:dyDescent="0.25">
      <c r="A102" s="54">
        <v>-75</v>
      </c>
      <c r="B102" s="52">
        <v>0</v>
      </c>
      <c r="C102" s="52" t="str">
        <v/>
      </c>
      <c r="D102" s="52">
        <v>0</v>
      </c>
      <c r="E102" s="52" t="str">
        <v/>
      </c>
      <c r="F102" s="52">
        <v>0</v>
      </c>
      <c r="G102" s="52" t="str">
        <v/>
      </c>
      <c r="H102" s="52">
        <v>0</v>
      </c>
      <c r="I102" s="52" t="str">
        <v/>
      </c>
      <c r="J102" s="52">
        <v>0</v>
      </c>
      <c r="K102" s="52" t="str">
        <v/>
      </c>
      <c r="L102" s="52">
        <v>0</v>
      </c>
      <c r="M102" s="52" t="str">
        <v/>
      </c>
      <c r="N102" s="52">
        <v>0</v>
      </c>
      <c r="O102" s="52" t="str">
        <v/>
      </c>
      <c r="P102" s="52">
        <v>0</v>
      </c>
      <c r="Q102" s="52" t="str">
        <v/>
      </c>
      <c r="R102" s="52">
        <v>0</v>
      </c>
      <c r="S102" s="52" t="str">
        <v/>
      </c>
      <c r="T102" s="52">
        <v>0</v>
      </c>
      <c r="U102" s="52" t="str">
        <v/>
      </c>
      <c r="V102" s="52">
        <v>0</v>
      </c>
      <c r="W102" s="52" t="str">
        <v/>
      </c>
      <c r="X102" s="52">
        <v>0</v>
      </c>
      <c r="Y102" s="52" t="str">
        <v/>
      </c>
      <c r="Z102" s="52">
        <v>0</v>
      </c>
      <c r="AA102" s="52" t="str">
        <v/>
      </c>
      <c r="AB102" s="52">
        <v>0</v>
      </c>
      <c r="AC102" s="52" t="str">
        <v/>
      </c>
      <c r="AD102" s="52">
        <v>0</v>
      </c>
      <c r="AE102" s="52" t="str">
        <v/>
      </c>
      <c r="AF102" s="52">
        <v>0</v>
      </c>
      <c r="AG102" s="52" t="str">
        <v/>
      </c>
      <c r="AH102" s="52">
        <v>0</v>
      </c>
      <c r="AI102" s="52" t="str">
        <v/>
      </c>
      <c r="AJ102" s="52">
        <v>0</v>
      </c>
      <c r="AK102" s="52" t="str">
        <v/>
      </c>
      <c r="AL102" s="52">
        <v>0</v>
      </c>
      <c r="AM102" s="52" t="str">
        <v/>
      </c>
      <c r="AN102" s="52">
        <v>0</v>
      </c>
      <c r="AO102" s="52" t="str">
        <v/>
      </c>
      <c r="AP102" s="52">
        <v>0</v>
      </c>
      <c r="AQ102" s="52" t="str">
        <v/>
      </c>
      <c r="AR102" s="52">
        <v>0</v>
      </c>
      <c r="AS102" s="52" t="str">
        <v/>
      </c>
      <c r="AT102" s="52">
        <v>0</v>
      </c>
      <c r="AU102" s="52" t="str">
        <v/>
      </c>
      <c r="AV102" s="52">
        <v>0</v>
      </c>
      <c r="AW102" s="52" t="str">
        <v/>
      </c>
      <c r="AX102" s="52">
        <v>0</v>
      </c>
      <c r="AY102" s="52" t="str">
        <v/>
      </c>
      <c r="AZ102" s="52">
        <v>0</v>
      </c>
      <c r="BA102" s="52" t="str">
        <v/>
      </c>
      <c r="BB102" s="52">
        <v>0</v>
      </c>
      <c r="BC102" s="52" t="str">
        <v/>
      </c>
      <c r="BD102" s="52">
        <v>0</v>
      </c>
      <c r="BE102" s="52" t="str">
        <v/>
      </c>
      <c r="BF102" s="52">
        <v>0</v>
      </c>
      <c r="BG102" s="52" t="str">
        <v/>
      </c>
      <c r="BH102" s="52">
        <v>0</v>
      </c>
      <c r="BI102" s="52" t="str">
        <v/>
      </c>
      <c r="BJ102" s="52">
        <v>0</v>
      </c>
      <c r="BK102" s="52" t="str">
        <v/>
      </c>
      <c r="BL102" s="52">
        <v>0</v>
      </c>
      <c r="BM102" s="52" t="str">
        <v/>
      </c>
      <c r="BN102" s="52">
        <v>0</v>
      </c>
      <c r="BO102" s="52" t="str">
        <v/>
      </c>
      <c r="BP102" s="52">
        <v>0</v>
      </c>
      <c r="BQ102" s="52" t="str">
        <v/>
      </c>
      <c r="BR102" s="52">
        <v>0</v>
      </c>
      <c r="BS102" s="52" t="str">
        <v/>
      </c>
      <c r="BT102" s="52">
        <v>0</v>
      </c>
      <c r="BU102" s="52" t="str">
        <v/>
      </c>
      <c r="BV102" s="52">
        <v>0</v>
      </c>
      <c r="BW102" s="52" t="str">
        <v/>
      </c>
      <c r="BX102" s="52">
        <v>0</v>
      </c>
      <c r="BY102" s="52" t="str">
        <v/>
      </c>
      <c r="BZ102" s="52">
        <v>0</v>
      </c>
      <c r="CA102" s="52" t="str">
        <v/>
      </c>
      <c r="CB102" s="52">
        <v>0</v>
      </c>
      <c r="CC102" s="52" t="str">
        <v/>
      </c>
      <c r="CD102" s="52">
        <v>0</v>
      </c>
      <c r="CE102" s="52" t="str">
        <v/>
      </c>
      <c r="CF102" s="52">
        <v>0</v>
      </c>
      <c r="CG102" s="52" t="str">
        <v/>
      </c>
      <c r="CH102" s="52">
        <v>0</v>
      </c>
      <c r="CI102" s="52" t="str">
        <v/>
      </c>
      <c r="CJ102" s="52">
        <v>0</v>
      </c>
      <c r="CK102" s="52" t="str">
        <v/>
      </c>
      <c r="CL102" s="52">
        <v>0</v>
      </c>
      <c r="CM102" s="52" t="str">
        <v/>
      </c>
      <c r="CN102" s="52">
        <v>0</v>
      </c>
      <c r="CO102" s="52" t="str">
        <v/>
      </c>
      <c r="CP102" s="52">
        <v>0</v>
      </c>
      <c r="CQ102" s="52" t="str">
        <v/>
      </c>
      <c r="CR102" s="52">
        <v>0</v>
      </c>
      <c r="CS102" s="52" t="str">
        <v/>
      </c>
      <c r="CT102" s="52">
        <v>0</v>
      </c>
      <c r="CU102" s="52" t="str">
        <v/>
      </c>
      <c r="CV102" s="52">
        <v>0</v>
      </c>
      <c r="CW102" s="52" t="str">
        <v/>
      </c>
      <c r="CX102" s="52">
        <v>0</v>
      </c>
      <c r="CY102" s="52" t="str">
        <v/>
      </c>
      <c r="CZ102" s="52">
        <v>0</v>
      </c>
      <c r="DA102" s="52" t="str">
        <v/>
      </c>
      <c r="DB102" s="52">
        <v>0</v>
      </c>
      <c r="DC102" s="52" t="str">
        <v/>
      </c>
      <c r="DD102" s="52">
        <v>0</v>
      </c>
      <c r="DE102" s="52" t="str">
        <v/>
      </c>
      <c r="DF102" s="52">
        <v>0</v>
      </c>
      <c r="DG102" s="52" t="str">
        <v/>
      </c>
      <c r="DH102" s="52">
        <v>0</v>
      </c>
      <c r="DI102" s="52" t="str">
        <v/>
      </c>
      <c r="DJ102" s="52">
        <v>0</v>
      </c>
      <c r="DK102" s="52" t="str">
        <v/>
      </c>
      <c r="DL102" s="52">
        <v>0</v>
      </c>
      <c r="DM102" s="52" t="str">
        <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T4152"/>
  <sheetViews>
    <sheetView tabSelected="1" topLeftCell="A4123" workbookViewId="0">
      <selection activeCell="K4127" sqref="K4127"/>
    </sheetView>
  </sheetViews>
  <sheetFormatPr defaultRowHeight="15" x14ac:dyDescent="0.25"/>
  <cols>
    <col min="6" max="6" width="9.42578125" customWidth="1"/>
    <col min="11" max="11" width="33.140625" bestFit="1" customWidth="1"/>
    <col min="12" max="12" width="38.5703125" bestFit="1" customWidth="1"/>
    <col min="13" max="13" width="33.5703125" bestFit="1" customWidth="1"/>
    <col min="15" max="15" width="40.28515625" bestFit="1" customWidth="1"/>
    <col min="16" max="16" width="13.140625" bestFit="1" customWidth="1"/>
    <col min="17" max="19" width="13.140625" style="20" customWidth="1"/>
  </cols>
  <sheetData>
    <row r="1" spans="1:20" x14ac:dyDescent="0.25">
      <c r="A1" t="s">
        <v>2865</v>
      </c>
    </row>
    <row r="2" spans="1:20" x14ac:dyDescent="0.25">
      <c r="A2" t="s">
        <v>558</v>
      </c>
    </row>
    <row r="4" spans="1:20" x14ac:dyDescent="0.25">
      <c r="B4" t="s">
        <v>2077</v>
      </c>
    </row>
    <row r="5" spans="1:20" x14ac:dyDescent="0.25">
      <c r="B5" t="s">
        <v>2078</v>
      </c>
    </row>
    <row r="7" spans="1:20" x14ac:dyDescent="0.25">
      <c r="B7" t="s">
        <v>822</v>
      </c>
    </row>
    <row r="8" spans="1:20" x14ac:dyDescent="0.25">
      <c r="B8" t="s">
        <v>2353</v>
      </c>
    </row>
    <row r="9" spans="1:20" s="20" customFormat="1" x14ac:dyDescent="0.25">
      <c r="A9"/>
      <c r="B9" t="s">
        <v>822</v>
      </c>
      <c r="C9"/>
      <c r="D9"/>
    </row>
    <row r="11" spans="1:20" x14ac:dyDescent="0.25">
      <c r="B11" t="s">
        <v>810</v>
      </c>
      <c r="O11" s="20"/>
    </row>
    <row r="12" spans="1:20" x14ac:dyDescent="0.25">
      <c r="B12" t="s">
        <v>558</v>
      </c>
      <c r="K12" s="20"/>
      <c r="L12" s="20"/>
      <c r="M12" s="20"/>
      <c r="N12" s="20"/>
      <c r="O12" s="20"/>
      <c r="P12" s="20"/>
      <c r="T12" s="20"/>
    </row>
    <row r="13" spans="1:20" x14ac:dyDescent="0.25">
      <c r="C13" t="s">
        <v>2083</v>
      </c>
      <c r="K13" s="20"/>
      <c r="L13" s="20"/>
      <c r="M13" s="20"/>
      <c r="N13" s="20"/>
      <c r="O13" s="20"/>
      <c r="P13" s="20"/>
      <c r="T13" s="20"/>
    </row>
    <row r="14" spans="1:20" x14ac:dyDescent="0.25">
      <c r="C14" t="s">
        <v>2084</v>
      </c>
      <c r="K14" s="20"/>
      <c r="L14" s="20"/>
      <c r="M14" s="20"/>
      <c r="N14" s="20"/>
      <c r="O14" s="20"/>
      <c r="P14" s="20"/>
      <c r="T14" s="20"/>
    </row>
    <row r="15" spans="1:20" x14ac:dyDescent="0.25">
      <c r="E15" s="20"/>
      <c r="K15" s="20"/>
      <c r="L15" s="20"/>
      <c r="M15" s="20"/>
      <c r="N15" s="20"/>
      <c r="O15" s="20"/>
      <c r="P15" s="20"/>
      <c r="T15" s="20"/>
    </row>
    <row r="16" spans="1:20" x14ac:dyDescent="0.25">
      <c r="C16" t="s">
        <v>1442</v>
      </c>
      <c r="E16" s="20"/>
      <c r="K16" s="20"/>
      <c r="L16" s="20"/>
      <c r="M16" s="20"/>
      <c r="N16" s="20"/>
      <c r="O16" s="20"/>
      <c r="P16" s="20"/>
      <c r="T16" s="20"/>
    </row>
    <row r="17" spans="1:20" x14ac:dyDescent="0.25">
      <c r="C17" t="s">
        <v>1443</v>
      </c>
      <c r="E17" s="20"/>
      <c r="K17" s="20"/>
      <c r="L17" s="20"/>
      <c r="M17" s="20"/>
      <c r="N17" s="20"/>
      <c r="O17" s="20"/>
      <c r="P17" s="20"/>
      <c r="T17" s="20"/>
    </row>
    <row r="18" spans="1:20" s="20" customFormat="1" x14ac:dyDescent="0.25">
      <c r="A18"/>
      <c r="B18"/>
      <c r="C18"/>
      <c r="D18"/>
    </row>
    <row r="19" spans="1:20" s="20" customFormat="1" x14ac:dyDescent="0.25">
      <c r="A19"/>
      <c r="B19"/>
      <c r="C19" t="s">
        <v>1444</v>
      </c>
      <c r="D19"/>
    </row>
    <row r="20" spans="1:20" s="20" customFormat="1" x14ac:dyDescent="0.25">
      <c r="A20"/>
      <c r="B20"/>
      <c r="C20" t="s">
        <v>1445</v>
      </c>
      <c r="D20"/>
    </row>
    <row r="21" spans="1:20" s="20" customFormat="1" x14ac:dyDescent="0.25">
      <c r="A21"/>
      <c r="B21"/>
      <c r="C21"/>
      <c r="D21"/>
    </row>
    <row r="22" spans="1:20" s="20" customFormat="1" x14ac:dyDescent="0.25">
      <c r="A22"/>
      <c r="B22"/>
      <c r="C22" t="s">
        <v>1362</v>
      </c>
      <c r="D22"/>
    </row>
    <row r="23" spans="1:20" s="20" customFormat="1" x14ac:dyDescent="0.25">
      <c r="A23"/>
      <c r="B23"/>
      <c r="C23" t="s">
        <v>1362</v>
      </c>
      <c r="D23"/>
    </row>
    <row r="24" spans="1:20" x14ac:dyDescent="0.25">
      <c r="C24" t="s">
        <v>1362</v>
      </c>
      <c r="E24" s="20"/>
      <c r="F24" s="20"/>
      <c r="G24" s="20"/>
      <c r="H24" s="20"/>
      <c r="I24" s="20"/>
      <c r="K24" s="20"/>
      <c r="L24" s="20"/>
      <c r="M24" s="20"/>
      <c r="N24" s="20"/>
      <c r="O24" s="20"/>
      <c r="P24" s="20"/>
      <c r="T24" s="20"/>
    </row>
    <row r="25" spans="1:20" x14ac:dyDescent="0.25">
      <c r="C25" t="s">
        <v>823</v>
      </c>
      <c r="F25" s="20"/>
      <c r="G25" s="20"/>
      <c r="H25" s="20"/>
      <c r="I25" s="20"/>
      <c r="K25" s="20"/>
      <c r="L25" s="20"/>
      <c r="M25" s="20"/>
      <c r="N25" s="20"/>
      <c r="O25" s="20"/>
      <c r="P25" s="20"/>
      <c r="T25" s="20"/>
    </row>
    <row r="26" spans="1:20" s="20" customFormat="1" x14ac:dyDescent="0.25">
      <c r="A26"/>
      <c r="B26"/>
      <c r="C26" t="s">
        <v>558</v>
      </c>
      <c r="D26"/>
    </row>
    <row r="27" spans="1:20" s="20" customFormat="1" x14ac:dyDescent="0.25">
      <c r="A27"/>
      <c r="B27"/>
      <c r="C27"/>
      <c r="D27" t="s">
        <v>2308</v>
      </c>
    </row>
    <row r="28" spans="1:20" s="20" customFormat="1" x14ac:dyDescent="0.25">
      <c r="A28"/>
      <c r="B28"/>
      <c r="C28"/>
      <c r="D28" t="s">
        <v>851</v>
      </c>
    </row>
    <row r="29" spans="1:20" s="20" customFormat="1" x14ac:dyDescent="0.25">
      <c r="A29"/>
      <c r="B29"/>
      <c r="C29"/>
      <c r="D29" t="s">
        <v>852</v>
      </c>
    </row>
    <row r="30" spans="1:20" s="20" customFormat="1" x14ac:dyDescent="0.25">
      <c r="A30"/>
      <c r="B30"/>
      <c r="C30" t="s">
        <v>559</v>
      </c>
      <c r="D30"/>
    </row>
    <row r="31" spans="1:20" s="20" customFormat="1" x14ac:dyDescent="0.25">
      <c r="A31"/>
      <c r="B31" t="s">
        <v>559</v>
      </c>
      <c r="C31"/>
      <c r="D31"/>
    </row>
    <row r="32" spans="1:20" s="20" customFormat="1" x14ac:dyDescent="0.25">
      <c r="A32"/>
      <c r="B32" t="s">
        <v>1531</v>
      </c>
      <c r="C32"/>
      <c r="D32"/>
    </row>
    <row r="33" spans="1:20" s="20" customFormat="1" x14ac:dyDescent="0.25">
      <c r="A33"/>
      <c r="B33" t="s">
        <v>558</v>
      </c>
      <c r="C33"/>
      <c r="D33"/>
    </row>
    <row r="34" spans="1:20" s="20" customFormat="1" x14ac:dyDescent="0.25">
      <c r="A34"/>
      <c r="B34"/>
      <c r="C34" t="s">
        <v>2079</v>
      </c>
      <c r="D34"/>
    </row>
    <row r="35" spans="1:20" s="20" customFormat="1" x14ac:dyDescent="0.25">
      <c r="A35"/>
      <c r="B35"/>
      <c r="C35" t="s">
        <v>2080</v>
      </c>
      <c r="D35"/>
    </row>
    <row r="36" spans="1:20" s="20" customFormat="1" x14ac:dyDescent="0.25">
      <c r="A36"/>
      <c r="B36"/>
      <c r="C36"/>
      <c r="D36"/>
    </row>
    <row r="37" spans="1:20" s="20" customFormat="1" x14ac:dyDescent="0.25">
      <c r="A37"/>
      <c r="B37"/>
      <c r="C37" t="s">
        <v>1478</v>
      </c>
      <c r="D37"/>
    </row>
    <row r="38" spans="1:20" s="20" customFormat="1" x14ac:dyDescent="0.25">
      <c r="A38"/>
      <c r="B38"/>
      <c r="C38" t="s">
        <v>1479</v>
      </c>
      <c r="D38"/>
    </row>
    <row r="39" spans="1:20" s="20" customFormat="1" x14ac:dyDescent="0.25">
      <c r="A39"/>
      <c r="B39"/>
      <c r="C39"/>
      <c r="D39"/>
    </row>
    <row r="40" spans="1:20" s="20" customFormat="1" x14ac:dyDescent="0.25">
      <c r="A40"/>
      <c r="B40"/>
      <c r="C40" t="s">
        <v>1532</v>
      </c>
      <c r="D40"/>
    </row>
    <row r="41" spans="1:20" x14ac:dyDescent="0.25">
      <c r="C41" t="s">
        <v>1533</v>
      </c>
      <c r="E41" s="20"/>
      <c r="F41" s="20"/>
      <c r="G41" s="20"/>
      <c r="H41" s="20"/>
      <c r="I41" s="20"/>
      <c r="K41" s="20"/>
      <c r="L41" s="20"/>
      <c r="M41" s="20"/>
      <c r="N41" s="20"/>
      <c r="O41" s="20"/>
      <c r="P41" s="20"/>
      <c r="T41" s="20"/>
    </row>
    <row r="42" spans="1:20" x14ac:dyDescent="0.25">
      <c r="E42" s="20"/>
      <c r="F42" s="20"/>
      <c r="G42" s="20"/>
      <c r="H42" s="20"/>
      <c r="I42" s="20"/>
      <c r="K42" s="20"/>
      <c r="L42" s="20"/>
      <c r="M42" s="20"/>
      <c r="N42" s="20"/>
      <c r="O42" s="20"/>
      <c r="P42" s="20"/>
      <c r="T42" s="20"/>
    </row>
    <row r="43" spans="1:20" x14ac:dyDescent="0.25">
      <c r="C43" t="s">
        <v>1362</v>
      </c>
      <c r="E43" s="20"/>
      <c r="F43" s="20"/>
      <c r="G43" s="20"/>
      <c r="H43" s="20"/>
      <c r="I43" s="20"/>
      <c r="K43" s="20"/>
      <c r="L43" s="20"/>
      <c r="M43" s="20"/>
      <c r="N43" s="20"/>
      <c r="O43" s="20"/>
      <c r="P43" s="20"/>
      <c r="T43" s="20"/>
    </row>
    <row r="44" spans="1:20" x14ac:dyDescent="0.25">
      <c r="C44" t="s">
        <v>1362</v>
      </c>
      <c r="E44" s="20"/>
      <c r="F44" s="20"/>
      <c r="G44" s="20"/>
      <c r="H44" s="20"/>
      <c r="I44" s="20"/>
      <c r="K44" s="20"/>
      <c r="L44" s="20"/>
      <c r="M44" s="20"/>
      <c r="N44" s="20"/>
      <c r="O44" s="20"/>
      <c r="P44" s="20"/>
      <c r="T44" s="20"/>
    </row>
    <row r="45" spans="1:20" x14ac:dyDescent="0.25">
      <c r="C45" t="s">
        <v>1362</v>
      </c>
      <c r="E45" s="20"/>
      <c r="F45" s="20"/>
      <c r="G45" s="20"/>
      <c r="H45" s="20"/>
      <c r="I45" s="20"/>
      <c r="K45" s="20"/>
      <c r="L45" s="20"/>
      <c r="M45" s="20"/>
      <c r="N45" s="20"/>
      <c r="O45" s="20"/>
      <c r="P45" s="20"/>
      <c r="T45" s="20"/>
    </row>
    <row r="46" spans="1:20" x14ac:dyDescent="0.25">
      <c r="C46" t="s">
        <v>823</v>
      </c>
      <c r="E46" s="20"/>
      <c r="F46" s="20"/>
      <c r="G46" s="20"/>
      <c r="H46" s="20"/>
      <c r="I46" s="20"/>
      <c r="K46" s="20"/>
      <c r="L46" s="20"/>
      <c r="M46" s="20"/>
      <c r="N46" s="20"/>
      <c r="O46" s="20"/>
      <c r="P46" s="20"/>
      <c r="T46" s="20"/>
    </row>
    <row r="47" spans="1:20" x14ac:dyDescent="0.25">
      <c r="C47" t="s">
        <v>558</v>
      </c>
      <c r="E47" s="20"/>
      <c r="F47" s="20"/>
      <c r="G47" s="20"/>
      <c r="H47" s="20"/>
      <c r="I47" s="20"/>
      <c r="K47" s="20"/>
      <c r="L47" s="20"/>
      <c r="M47" s="20"/>
      <c r="N47" s="20"/>
      <c r="O47" s="20"/>
      <c r="P47" s="20"/>
      <c r="T47" s="20"/>
    </row>
    <row r="48" spans="1:20" x14ac:dyDescent="0.25">
      <c r="D48" t="s">
        <v>2310</v>
      </c>
      <c r="E48" s="20"/>
      <c r="F48" s="20"/>
      <c r="G48" s="20"/>
      <c r="H48" s="20"/>
      <c r="I48" s="20"/>
      <c r="K48" s="20"/>
      <c r="L48" s="20"/>
      <c r="M48" s="20"/>
      <c r="N48" s="20"/>
      <c r="O48" s="20"/>
      <c r="P48" s="20"/>
      <c r="T48" s="20"/>
    </row>
    <row r="49" spans="1:20" x14ac:dyDescent="0.25">
      <c r="D49" t="s">
        <v>851</v>
      </c>
      <c r="E49" s="20"/>
      <c r="F49" s="20"/>
      <c r="G49" s="20"/>
      <c r="H49" s="20"/>
      <c r="I49" s="20"/>
      <c r="K49" s="20"/>
      <c r="L49" s="20"/>
      <c r="M49" s="20"/>
      <c r="N49" s="20"/>
      <c r="O49" s="20"/>
      <c r="P49" s="20"/>
      <c r="T49" s="20"/>
    </row>
    <row r="50" spans="1:20" x14ac:dyDescent="0.25">
      <c r="D50" t="s">
        <v>852</v>
      </c>
      <c r="E50" s="20"/>
      <c r="F50" s="20"/>
      <c r="G50" s="20"/>
      <c r="H50" s="20"/>
      <c r="I50" s="20"/>
      <c r="K50" s="20"/>
      <c r="L50" s="20"/>
      <c r="M50" s="20"/>
      <c r="N50" s="20"/>
      <c r="O50" s="20"/>
      <c r="P50" s="20"/>
      <c r="T50" s="20"/>
    </row>
    <row r="51" spans="1:20" s="20" customFormat="1" x14ac:dyDescent="0.25">
      <c r="A51"/>
      <c r="B51"/>
      <c r="C51" t="s">
        <v>559</v>
      </c>
      <c r="D51"/>
    </row>
    <row r="52" spans="1:20" x14ac:dyDescent="0.25">
      <c r="B52" t="s">
        <v>559</v>
      </c>
      <c r="E52" s="20"/>
      <c r="F52" s="20"/>
      <c r="G52" s="20"/>
      <c r="H52" s="20"/>
      <c r="I52" s="20"/>
      <c r="K52" s="20"/>
      <c r="L52" s="20"/>
      <c r="M52" s="20"/>
      <c r="N52" s="20"/>
      <c r="O52" s="20"/>
      <c r="P52" s="20"/>
      <c r="T52" s="20"/>
    </row>
    <row r="53" spans="1:20" x14ac:dyDescent="0.25">
      <c r="B53" t="s">
        <v>1662</v>
      </c>
      <c r="E53" s="20"/>
      <c r="F53" s="20"/>
      <c r="G53" s="20"/>
      <c r="H53" s="20"/>
      <c r="I53" s="20"/>
      <c r="K53" s="20"/>
      <c r="L53" s="20"/>
      <c r="M53" s="20"/>
      <c r="N53" s="20"/>
      <c r="O53" s="20"/>
      <c r="P53" s="20"/>
      <c r="T53" s="20"/>
    </row>
    <row r="54" spans="1:20" x14ac:dyDescent="0.25">
      <c r="B54" t="s">
        <v>558</v>
      </c>
      <c r="E54" s="20"/>
      <c r="F54" s="20"/>
      <c r="G54" s="20"/>
      <c r="H54" s="20"/>
      <c r="I54" s="20"/>
      <c r="K54" s="20"/>
      <c r="L54" s="20"/>
      <c r="M54" s="20"/>
      <c r="N54" s="20"/>
      <c r="O54" s="20"/>
      <c r="P54" s="20"/>
      <c r="T54" s="20"/>
    </row>
    <row r="55" spans="1:20" s="20" customFormat="1" x14ac:dyDescent="0.25">
      <c r="A55"/>
      <c r="B55"/>
      <c r="C55" t="s">
        <v>2081</v>
      </c>
      <c r="D55"/>
    </row>
    <row r="56" spans="1:20" x14ac:dyDescent="0.25">
      <c r="C56" t="s">
        <v>2082</v>
      </c>
      <c r="E56" s="20"/>
      <c r="F56" s="20"/>
      <c r="G56" s="20"/>
      <c r="H56" s="20"/>
      <c r="I56" s="20"/>
      <c r="K56" s="20"/>
      <c r="L56" s="20"/>
      <c r="M56" s="20"/>
      <c r="N56" s="20"/>
      <c r="O56" s="20"/>
      <c r="P56" s="20"/>
      <c r="T56" s="20"/>
    </row>
    <row r="57" spans="1:20" x14ac:dyDescent="0.25">
      <c r="E57" s="20"/>
      <c r="F57" s="20"/>
      <c r="G57" s="20"/>
      <c r="H57" s="20"/>
      <c r="I57" s="20"/>
      <c r="K57" s="20"/>
      <c r="L57" s="20"/>
      <c r="M57" s="20"/>
      <c r="N57" s="20"/>
      <c r="O57" s="20"/>
      <c r="P57" s="20"/>
      <c r="T57" s="20"/>
    </row>
    <row r="58" spans="1:20" x14ac:dyDescent="0.25">
      <c r="C58" t="s">
        <v>1550</v>
      </c>
      <c r="E58" s="20"/>
      <c r="F58" s="20"/>
      <c r="G58" s="20"/>
      <c r="H58" s="20"/>
      <c r="I58" s="20"/>
      <c r="K58" s="20"/>
      <c r="L58" s="20"/>
      <c r="M58" s="20"/>
      <c r="N58" s="20"/>
      <c r="O58" s="20"/>
      <c r="P58" s="20"/>
      <c r="T58" s="20"/>
    </row>
    <row r="59" spans="1:20" x14ac:dyDescent="0.25">
      <c r="C59" t="s">
        <v>1551</v>
      </c>
      <c r="E59" s="20"/>
      <c r="F59" s="20"/>
      <c r="G59" s="20"/>
      <c r="H59" s="20"/>
      <c r="I59" s="20"/>
      <c r="K59" s="20"/>
      <c r="L59" s="20"/>
      <c r="M59" s="20"/>
      <c r="N59" s="20"/>
      <c r="O59" s="20"/>
      <c r="P59" s="20"/>
      <c r="T59" s="20"/>
    </row>
    <row r="60" spans="1:20" x14ac:dyDescent="0.25">
      <c r="E60" s="20"/>
      <c r="F60" s="20"/>
      <c r="G60" s="20"/>
      <c r="H60" s="20"/>
      <c r="I60" s="20"/>
      <c r="K60" s="20"/>
      <c r="L60" s="20"/>
      <c r="M60" s="20"/>
      <c r="N60" s="20"/>
      <c r="O60" s="20"/>
      <c r="P60" s="20"/>
      <c r="T60" s="20"/>
    </row>
    <row r="61" spans="1:20" s="20" customFormat="1" x14ac:dyDescent="0.25">
      <c r="A61"/>
      <c r="B61"/>
      <c r="C61" t="s">
        <v>1663</v>
      </c>
      <c r="D61"/>
    </row>
    <row r="62" spans="1:20" x14ac:dyDescent="0.25">
      <c r="C62" t="s">
        <v>1664</v>
      </c>
      <c r="E62" s="20"/>
      <c r="F62" s="20"/>
      <c r="G62" s="20"/>
      <c r="H62" s="20"/>
      <c r="I62" s="20"/>
      <c r="K62" s="20"/>
      <c r="L62" s="20"/>
      <c r="M62" s="20"/>
      <c r="N62" s="20"/>
      <c r="O62" s="20"/>
      <c r="P62" s="20"/>
      <c r="T62" s="20"/>
    </row>
    <row r="63" spans="1:20" x14ac:dyDescent="0.25">
      <c r="E63" s="20"/>
      <c r="F63" s="20"/>
      <c r="G63" s="20"/>
      <c r="H63" s="20"/>
      <c r="I63" s="20"/>
      <c r="K63" s="20"/>
      <c r="L63" s="20"/>
      <c r="M63" s="20"/>
      <c r="N63" s="20"/>
      <c r="O63" s="20"/>
      <c r="P63" s="20"/>
      <c r="T63" s="20"/>
    </row>
    <row r="64" spans="1:20" x14ac:dyDescent="0.25">
      <c r="C64" t="s">
        <v>1665</v>
      </c>
      <c r="E64" s="20"/>
      <c r="F64" s="20"/>
      <c r="G64" s="20"/>
      <c r="H64" s="20"/>
      <c r="I64" s="20"/>
      <c r="K64" s="20"/>
      <c r="L64" s="20"/>
      <c r="M64" s="20"/>
      <c r="N64" s="20"/>
      <c r="O64" s="20"/>
      <c r="P64" s="20"/>
      <c r="T64" s="20"/>
    </row>
    <row r="65" spans="1:20" x14ac:dyDescent="0.25">
      <c r="C65" t="s">
        <v>1666</v>
      </c>
      <c r="E65" s="20"/>
      <c r="F65" s="20"/>
      <c r="G65" s="20"/>
      <c r="H65" s="20"/>
      <c r="I65" s="20"/>
      <c r="K65" s="20"/>
      <c r="L65" s="20"/>
      <c r="M65" s="20"/>
      <c r="N65" s="20"/>
      <c r="O65" s="20"/>
      <c r="P65" s="20"/>
      <c r="T65" s="20"/>
    </row>
    <row r="66" spans="1:20" x14ac:dyDescent="0.25">
      <c r="E66" s="20"/>
      <c r="F66" s="20"/>
      <c r="G66" s="20"/>
      <c r="H66" s="20"/>
      <c r="I66" s="20"/>
      <c r="K66" s="20"/>
      <c r="L66" s="20"/>
      <c r="M66" s="20"/>
      <c r="N66" s="20"/>
      <c r="O66" s="20"/>
      <c r="P66" s="20"/>
      <c r="T66" s="20"/>
    </row>
    <row r="67" spans="1:20" x14ac:dyDescent="0.25">
      <c r="C67" t="s">
        <v>1667</v>
      </c>
      <c r="E67" s="20"/>
      <c r="F67" s="20"/>
      <c r="G67" s="20"/>
      <c r="H67" s="20"/>
      <c r="I67" s="20"/>
      <c r="K67" s="20"/>
      <c r="L67" s="20"/>
      <c r="M67" s="20"/>
      <c r="N67" s="20"/>
      <c r="O67" s="20"/>
      <c r="P67" s="20"/>
      <c r="T67" s="20"/>
    </row>
    <row r="68" spans="1:20" x14ac:dyDescent="0.25">
      <c r="C68" t="s">
        <v>1668</v>
      </c>
      <c r="E68" s="20"/>
      <c r="F68" s="20"/>
      <c r="G68" s="20"/>
      <c r="H68" s="20"/>
      <c r="I68" s="20"/>
      <c r="K68" s="20"/>
      <c r="L68" s="20"/>
      <c r="M68" s="20"/>
      <c r="N68" s="20"/>
      <c r="O68" s="20"/>
      <c r="P68" s="20"/>
      <c r="T68" s="20"/>
    </row>
    <row r="69" spans="1:20" x14ac:dyDescent="0.25">
      <c r="E69" s="20"/>
      <c r="K69" s="20"/>
      <c r="L69" s="20"/>
      <c r="M69" s="20"/>
      <c r="N69" s="20"/>
      <c r="O69" s="20"/>
      <c r="P69" s="20"/>
      <c r="T69" s="20"/>
    </row>
    <row r="70" spans="1:20" x14ac:dyDescent="0.25">
      <c r="C70" t="s">
        <v>1362</v>
      </c>
      <c r="E70" s="20"/>
      <c r="F70" s="20"/>
      <c r="G70" s="20"/>
      <c r="H70" s="20"/>
      <c r="I70" s="20"/>
      <c r="K70" s="20"/>
      <c r="L70" s="20"/>
      <c r="M70" s="20"/>
      <c r="N70" s="20"/>
      <c r="O70" s="20"/>
      <c r="P70" s="20"/>
      <c r="T70" s="20"/>
    </row>
    <row r="71" spans="1:20" x14ac:dyDescent="0.25">
      <c r="C71" t="s">
        <v>1362</v>
      </c>
      <c r="F71" s="20"/>
      <c r="G71" s="20"/>
      <c r="H71" s="20"/>
      <c r="I71" s="20"/>
      <c r="K71" s="20"/>
      <c r="L71" s="20"/>
      <c r="M71" s="20"/>
      <c r="N71" s="20"/>
      <c r="O71" s="20"/>
      <c r="P71" s="20"/>
      <c r="T71" s="20"/>
    </row>
    <row r="72" spans="1:20" s="20" customFormat="1" x14ac:dyDescent="0.25">
      <c r="A72"/>
      <c r="B72"/>
      <c r="C72" t="s">
        <v>1362</v>
      </c>
      <c r="D72"/>
      <c r="E72"/>
    </row>
    <row r="73" spans="1:20" x14ac:dyDescent="0.25">
      <c r="B73" t="s">
        <v>559</v>
      </c>
      <c r="K73" s="20"/>
      <c r="L73" s="20"/>
      <c r="M73" s="20"/>
      <c r="N73" s="20"/>
      <c r="O73" s="20"/>
      <c r="P73" s="20"/>
      <c r="T73" s="20"/>
    </row>
    <row r="74" spans="1:20" x14ac:dyDescent="0.25">
      <c r="B74" t="s">
        <v>1607</v>
      </c>
      <c r="E74" s="20"/>
      <c r="K74" s="20"/>
      <c r="L74" s="20"/>
      <c r="M74" s="20"/>
      <c r="N74" s="20"/>
      <c r="O74" s="20"/>
      <c r="P74" s="20"/>
      <c r="T74" s="20"/>
    </row>
    <row r="75" spans="1:20" x14ac:dyDescent="0.25">
      <c r="B75" t="s">
        <v>558</v>
      </c>
      <c r="E75" s="20"/>
      <c r="K75" s="20"/>
      <c r="L75" s="20"/>
      <c r="M75" s="20"/>
      <c r="N75" s="20"/>
      <c r="O75" s="20"/>
      <c r="P75" s="20"/>
      <c r="T75" s="20"/>
    </row>
    <row r="76" spans="1:20" x14ac:dyDescent="0.25">
      <c r="C76" t="s">
        <v>2322</v>
      </c>
      <c r="E76" s="20"/>
      <c r="F76" s="20"/>
      <c r="G76" s="20"/>
      <c r="H76" s="20"/>
      <c r="I76" s="20"/>
      <c r="K76" s="20"/>
      <c r="L76" s="20"/>
      <c r="M76" s="20"/>
      <c r="N76" s="20"/>
      <c r="O76" s="20"/>
      <c r="P76" s="20"/>
      <c r="T76" s="20"/>
    </row>
    <row r="77" spans="1:20" x14ac:dyDescent="0.25">
      <c r="C77" t="s">
        <v>2323</v>
      </c>
      <c r="F77" s="20"/>
      <c r="G77" s="20"/>
      <c r="H77" s="20"/>
      <c r="I77" s="20"/>
      <c r="K77" s="20"/>
      <c r="L77" s="20"/>
      <c r="M77" s="20"/>
      <c r="N77" s="20"/>
      <c r="O77" s="20"/>
      <c r="P77" s="20"/>
      <c r="T77" s="20"/>
    </row>
    <row r="78" spans="1:20" x14ac:dyDescent="0.25">
      <c r="K78" s="20"/>
      <c r="L78" s="20"/>
      <c r="M78" s="20"/>
      <c r="N78" s="20"/>
      <c r="O78" s="20"/>
      <c r="P78" s="20"/>
      <c r="T78" s="20"/>
    </row>
    <row r="79" spans="1:20" x14ac:dyDescent="0.25">
      <c r="C79" t="s">
        <v>1542</v>
      </c>
      <c r="K79" s="20"/>
      <c r="L79" s="20"/>
      <c r="M79" s="20"/>
      <c r="N79" s="20"/>
      <c r="O79" s="20"/>
      <c r="P79" s="20"/>
      <c r="T79" s="20"/>
    </row>
    <row r="80" spans="1:20" x14ac:dyDescent="0.25">
      <c r="C80" t="s">
        <v>816</v>
      </c>
      <c r="E80" s="20"/>
      <c r="K80" s="20"/>
      <c r="L80" s="20"/>
      <c r="M80" s="20"/>
      <c r="N80" s="20"/>
      <c r="O80" s="20"/>
      <c r="P80" s="20"/>
      <c r="T80" s="20"/>
    </row>
    <row r="81" spans="1:20" x14ac:dyDescent="0.25">
      <c r="E81" s="20"/>
      <c r="F81" s="20"/>
      <c r="G81" s="20"/>
      <c r="H81" s="20"/>
      <c r="I81" s="20"/>
      <c r="K81" s="20"/>
      <c r="L81" s="20"/>
      <c r="M81" s="20"/>
      <c r="N81" s="20"/>
      <c r="O81" s="20"/>
      <c r="P81" s="20"/>
      <c r="T81" s="20"/>
    </row>
    <row r="82" spans="1:20" x14ac:dyDescent="0.25">
      <c r="C82" t="s">
        <v>1608</v>
      </c>
      <c r="F82" s="20"/>
      <c r="G82" s="20"/>
      <c r="H82" s="20"/>
      <c r="I82" s="20"/>
      <c r="K82" s="20"/>
      <c r="L82" s="20"/>
      <c r="M82" s="20"/>
      <c r="N82" s="20"/>
      <c r="O82" s="20"/>
      <c r="P82" s="20"/>
      <c r="T82" s="20"/>
    </row>
    <row r="83" spans="1:20" s="20" customFormat="1" x14ac:dyDescent="0.25">
      <c r="A83"/>
      <c r="B83"/>
      <c r="C83" t="s">
        <v>1609</v>
      </c>
      <c r="D83"/>
      <c r="E83"/>
    </row>
    <row r="84" spans="1:20" x14ac:dyDescent="0.25">
      <c r="K84" s="20"/>
      <c r="L84" s="20"/>
      <c r="M84" s="20"/>
      <c r="N84" s="20"/>
      <c r="O84" s="20"/>
      <c r="P84" s="20"/>
      <c r="T84" s="20"/>
    </row>
    <row r="85" spans="1:20" x14ac:dyDescent="0.25">
      <c r="C85" t="s">
        <v>1362</v>
      </c>
      <c r="E85" s="20"/>
      <c r="K85" s="20"/>
      <c r="L85" s="20"/>
      <c r="M85" s="20"/>
      <c r="N85" s="20"/>
      <c r="O85" s="20"/>
      <c r="P85" s="20"/>
      <c r="T85" s="20"/>
    </row>
    <row r="86" spans="1:20" x14ac:dyDescent="0.25">
      <c r="C86" t="s">
        <v>1362</v>
      </c>
      <c r="E86" s="20"/>
      <c r="K86" s="20"/>
      <c r="L86" s="20"/>
      <c r="M86" s="20"/>
      <c r="N86" s="20"/>
      <c r="O86" s="20"/>
      <c r="P86" s="20"/>
      <c r="T86" s="20"/>
    </row>
    <row r="87" spans="1:20" x14ac:dyDescent="0.25">
      <c r="C87" t="s">
        <v>1362</v>
      </c>
      <c r="E87" s="20"/>
      <c r="F87" s="20"/>
      <c r="G87" s="20"/>
      <c r="H87" s="20"/>
      <c r="I87" s="20"/>
      <c r="K87" s="20"/>
      <c r="L87" s="20"/>
      <c r="M87" s="20"/>
      <c r="N87" s="20"/>
      <c r="O87" s="20"/>
      <c r="P87" s="20"/>
      <c r="T87" s="20"/>
    </row>
    <row r="88" spans="1:20" x14ac:dyDescent="0.25">
      <c r="C88" t="s">
        <v>823</v>
      </c>
      <c r="F88" s="20"/>
      <c r="G88" s="20"/>
      <c r="H88" s="20"/>
      <c r="I88" s="20"/>
      <c r="K88" s="20"/>
      <c r="L88" s="20"/>
      <c r="M88" s="20"/>
      <c r="N88" s="20"/>
      <c r="O88" s="20"/>
      <c r="P88" s="20"/>
      <c r="T88" s="20"/>
    </row>
    <row r="89" spans="1:20" x14ac:dyDescent="0.25">
      <c r="C89" t="s">
        <v>558</v>
      </c>
      <c r="K89" s="20"/>
      <c r="L89" s="20"/>
      <c r="M89" s="20"/>
      <c r="N89" s="20"/>
      <c r="O89" s="20"/>
      <c r="P89" s="20"/>
      <c r="T89" s="20"/>
    </row>
    <row r="90" spans="1:20" x14ac:dyDescent="0.25">
      <c r="D90" t="s">
        <v>2298</v>
      </c>
      <c r="K90" s="20"/>
      <c r="L90" s="20"/>
      <c r="M90" s="20"/>
      <c r="N90" s="20"/>
      <c r="O90" s="20"/>
      <c r="P90" s="20"/>
      <c r="T90" s="20"/>
    </row>
    <row r="91" spans="1:20" x14ac:dyDescent="0.25">
      <c r="D91" t="s">
        <v>851</v>
      </c>
      <c r="E91" s="20"/>
      <c r="K91" s="20"/>
      <c r="L91" s="20"/>
      <c r="M91" s="20"/>
      <c r="N91" s="20"/>
      <c r="O91" s="20"/>
      <c r="P91" s="20"/>
      <c r="T91" s="20"/>
    </row>
    <row r="92" spans="1:20" x14ac:dyDescent="0.25">
      <c r="D92" t="s">
        <v>852</v>
      </c>
      <c r="E92" s="20"/>
      <c r="K92" s="20"/>
      <c r="L92" s="20"/>
      <c r="M92" s="20"/>
      <c r="N92" s="20"/>
      <c r="O92" s="20"/>
      <c r="P92" s="20"/>
      <c r="T92" s="20"/>
    </row>
    <row r="93" spans="1:20" x14ac:dyDescent="0.25">
      <c r="C93" t="s">
        <v>559</v>
      </c>
      <c r="K93" s="20"/>
      <c r="L93" s="20"/>
      <c r="M93" s="20"/>
      <c r="N93" s="20"/>
      <c r="O93" s="20"/>
      <c r="P93" s="20"/>
      <c r="T93" s="20"/>
    </row>
    <row r="94" spans="1:20" x14ac:dyDescent="0.25">
      <c r="B94" t="s">
        <v>559</v>
      </c>
      <c r="F94" s="20"/>
      <c r="G94" s="20"/>
      <c r="H94" s="20"/>
      <c r="I94" s="20"/>
      <c r="K94" s="20"/>
      <c r="L94" s="20"/>
      <c r="M94" s="20"/>
      <c r="N94" s="20"/>
      <c r="O94" s="20"/>
      <c r="P94" s="20"/>
      <c r="T94" s="20"/>
    </row>
    <row r="95" spans="1:20" x14ac:dyDescent="0.25">
      <c r="B95" t="s">
        <v>1947</v>
      </c>
      <c r="F95" s="20"/>
      <c r="G95" s="20"/>
      <c r="H95" s="20"/>
      <c r="I95" s="20"/>
      <c r="K95" s="20"/>
      <c r="L95" s="20"/>
      <c r="M95" s="20"/>
      <c r="N95" s="20"/>
      <c r="O95" s="20"/>
      <c r="P95" s="20"/>
      <c r="T95" s="20"/>
    </row>
    <row r="96" spans="1:20" s="20" customFormat="1" x14ac:dyDescent="0.25">
      <c r="A96"/>
      <c r="B96" t="s">
        <v>558</v>
      </c>
      <c r="C96"/>
      <c r="D96"/>
      <c r="E96"/>
    </row>
    <row r="97" spans="1:20" x14ac:dyDescent="0.25">
      <c r="C97" t="s">
        <v>2085</v>
      </c>
      <c r="K97" s="20"/>
      <c r="L97" s="20"/>
      <c r="M97" s="20"/>
      <c r="N97" s="20"/>
      <c r="O97" s="20"/>
      <c r="P97" s="20"/>
      <c r="T97" s="20"/>
    </row>
    <row r="98" spans="1:20" x14ac:dyDescent="0.25">
      <c r="C98" t="s">
        <v>2086</v>
      </c>
      <c r="E98" s="20"/>
      <c r="K98" s="20"/>
      <c r="L98" s="20"/>
      <c r="M98" s="20"/>
      <c r="N98" s="20"/>
      <c r="O98" s="20"/>
      <c r="P98" s="20"/>
      <c r="T98" s="20"/>
    </row>
    <row r="99" spans="1:20" x14ac:dyDescent="0.25">
      <c r="E99" s="20"/>
      <c r="K99" s="20"/>
      <c r="L99" s="20"/>
      <c r="M99" s="20"/>
      <c r="N99" s="20"/>
      <c r="O99" s="20"/>
      <c r="P99" s="20"/>
      <c r="T99" s="20"/>
    </row>
    <row r="100" spans="1:20" x14ac:dyDescent="0.25">
      <c r="C100" t="s">
        <v>1354</v>
      </c>
      <c r="E100" s="20"/>
      <c r="F100" s="20"/>
      <c r="G100" s="20"/>
      <c r="H100" s="20"/>
      <c r="I100" s="20"/>
      <c r="K100" s="20"/>
      <c r="L100" s="20"/>
      <c r="M100" s="20"/>
      <c r="N100" s="20"/>
      <c r="O100" s="20"/>
      <c r="P100" s="20"/>
      <c r="T100" s="20"/>
    </row>
    <row r="101" spans="1:20" x14ac:dyDescent="0.25">
      <c r="C101" t="s">
        <v>1355</v>
      </c>
      <c r="F101" s="20"/>
      <c r="G101" s="20"/>
      <c r="H101" s="20"/>
      <c r="I101" s="20"/>
      <c r="K101" s="20"/>
      <c r="L101" s="20"/>
      <c r="M101" s="20"/>
      <c r="N101" s="20"/>
      <c r="O101" s="20"/>
      <c r="P101" s="20"/>
      <c r="T101" s="20"/>
    </row>
    <row r="102" spans="1:20" s="20" customFormat="1" x14ac:dyDescent="0.25">
      <c r="A102"/>
      <c r="B102"/>
      <c r="C102"/>
      <c r="D102"/>
      <c r="E102"/>
    </row>
    <row r="103" spans="1:20" x14ac:dyDescent="0.25">
      <c r="C103" t="s">
        <v>1948</v>
      </c>
      <c r="K103" s="20"/>
      <c r="L103" s="20"/>
      <c r="M103" s="20"/>
      <c r="N103" s="20"/>
      <c r="O103" s="20"/>
      <c r="P103" s="20"/>
      <c r="T103" s="20"/>
    </row>
    <row r="104" spans="1:20" x14ac:dyDescent="0.25">
      <c r="C104" t="s">
        <v>1949</v>
      </c>
      <c r="E104" s="20"/>
      <c r="K104" s="20"/>
      <c r="L104" s="20"/>
      <c r="M104" s="20"/>
      <c r="N104" s="20"/>
      <c r="O104" s="20"/>
      <c r="P104" s="20"/>
      <c r="T104" s="20"/>
    </row>
    <row r="105" spans="1:20" x14ac:dyDescent="0.25">
      <c r="E105" s="20"/>
      <c r="K105" s="20"/>
      <c r="L105" s="20"/>
      <c r="M105" s="20"/>
      <c r="N105" s="20"/>
      <c r="O105" s="20"/>
      <c r="P105" s="20"/>
      <c r="T105" s="20"/>
    </row>
    <row r="106" spans="1:20" x14ac:dyDescent="0.25">
      <c r="C106" t="s">
        <v>1950</v>
      </c>
      <c r="E106" s="20"/>
      <c r="F106" s="20"/>
      <c r="G106" s="20"/>
      <c r="H106" s="20"/>
      <c r="I106" s="20"/>
      <c r="K106" s="20"/>
      <c r="L106" s="20"/>
      <c r="M106" s="20"/>
      <c r="N106" s="20"/>
      <c r="O106" s="20"/>
      <c r="P106" s="20"/>
      <c r="T106" s="20"/>
    </row>
    <row r="107" spans="1:20" x14ac:dyDescent="0.25">
      <c r="C107" t="s">
        <v>1951</v>
      </c>
      <c r="F107" s="20"/>
      <c r="G107" s="20"/>
      <c r="H107" s="20"/>
      <c r="I107" s="20"/>
      <c r="K107" s="20"/>
      <c r="L107" s="20"/>
      <c r="M107" s="20"/>
      <c r="N107" s="20"/>
      <c r="O107" s="20"/>
      <c r="P107" s="20"/>
      <c r="T107" s="20"/>
    </row>
    <row r="108" spans="1:20" x14ac:dyDescent="0.25">
      <c r="K108" s="20"/>
      <c r="L108" s="20"/>
      <c r="M108" s="20"/>
      <c r="N108" s="20"/>
      <c r="O108" s="20"/>
      <c r="P108" s="20"/>
      <c r="T108" s="20"/>
    </row>
    <row r="109" spans="1:20" x14ac:dyDescent="0.25">
      <c r="C109" t="s">
        <v>1952</v>
      </c>
      <c r="K109" s="20"/>
      <c r="L109" s="20"/>
      <c r="M109" s="20"/>
      <c r="N109" s="20"/>
      <c r="O109" s="20"/>
      <c r="P109" s="20"/>
      <c r="T109" s="20"/>
    </row>
    <row r="110" spans="1:20" x14ac:dyDescent="0.25">
      <c r="C110" t="s">
        <v>1953</v>
      </c>
      <c r="E110" s="20"/>
      <c r="K110" s="20"/>
      <c r="L110" s="20"/>
      <c r="M110" s="20"/>
      <c r="N110" s="20"/>
      <c r="O110" s="20"/>
      <c r="P110" s="20"/>
      <c r="T110" s="20"/>
    </row>
    <row r="111" spans="1:20" x14ac:dyDescent="0.25">
      <c r="E111" s="20"/>
      <c r="K111" s="20"/>
      <c r="L111" s="20"/>
      <c r="M111" s="20"/>
      <c r="N111" s="20"/>
      <c r="O111" s="20"/>
      <c r="P111" s="20"/>
      <c r="T111" s="20"/>
    </row>
    <row r="112" spans="1:20" x14ac:dyDescent="0.25">
      <c r="C112" t="s">
        <v>1362</v>
      </c>
      <c r="K112" s="20"/>
      <c r="L112" s="20"/>
      <c r="M112" s="20"/>
      <c r="N112" s="20"/>
      <c r="O112" s="20"/>
      <c r="P112" s="20"/>
      <c r="T112" s="20"/>
    </row>
    <row r="113" spans="2:20" x14ac:dyDescent="0.25">
      <c r="C113" t="s">
        <v>1362</v>
      </c>
      <c r="F113" s="20"/>
      <c r="G113" s="20"/>
      <c r="H113" s="20"/>
      <c r="I113" s="20"/>
      <c r="K113" s="20"/>
      <c r="L113" s="20"/>
      <c r="M113" s="20"/>
      <c r="N113" s="20"/>
      <c r="O113" s="20"/>
      <c r="P113" s="20"/>
      <c r="T113" s="20"/>
    </row>
    <row r="114" spans="2:20" x14ac:dyDescent="0.25">
      <c r="C114" t="s">
        <v>1362</v>
      </c>
      <c r="F114" s="20"/>
      <c r="G114" s="20"/>
      <c r="H114" s="20"/>
      <c r="I114" s="20"/>
      <c r="K114" s="20"/>
      <c r="L114" s="20"/>
      <c r="M114" s="20"/>
      <c r="N114" s="20"/>
      <c r="O114" s="20"/>
      <c r="P114" s="20"/>
      <c r="T114" s="20"/>
    </row>
    <row r="115" spans="2:20" x14ac:dyDescent="0.25">
      <c r="B115" t="s">
        <v>559</v>
      </c>
      <c r="K115" s="20"/>
      <c r="L115" s="20"/>
      <c r="M115" s="20"/>
      <c r="N115" s="20"/>
      <c r="O115" s="20"/>
      <c r="P115" s="20"/>
      <c r="T115" s="20"/>
    </row>
    <row r="116" spans="2:20" x14ac:dyDescent="0.25">
      <c r="B116" t="s">
        <v>1954</v>
      </c>
      <c r="K116" s="20"/>
      <c r="L116" s="20"/>
      <c r="M116" s="20"/>
      <c r="N116" s="20"/>
      <c r="O116" s="20"/>
      <c r="P116" s="20"/>
      <c r="T116" s="20"/>
    </row>
    <row r="117" spans="2:20" x14ac:dyDescent="0.25">
      <c r="B117" t="s">
        <v>558</v>
      </c>
      <c r="E117" s="20"/>
      <c r="K117" s="20"/>
      <c r="L117" s="20"/>
      <c r="M117" s="20"/>
      <c r="N117" s="20"/>
      <c r="O117" s="20"/>
      <c r="P117" s="20"/>
      <c r="T117" s="20"/>
    </row>
    <row r="118" spans="2:20" x14ac:dyDescent="0.25">
      <c r="C118" t="s">
        <v>2087</v>
      </c>
      <c r="E118" s="20"/>
      <c r="F118" s="20"/>
      <c r="G118" s="20"/>
      <c r="H118" s="20"/>
      <c r="I118" s="20"/>
      <c r="K118" s="20"/>
      <c r="L118" s="20"/>
      <c r="M118" s="20"/>
      <c r="N118" s="20"/>
      <c r="O118" s="20"/>
      <c r="P118" s="20"/>
      <c r="T118" s="20"/>
    </row>
    <row r="119" spans="2:20" x14ac:dyDescent="0.25">
      <c r="C119" t="s">
        <v>2088</v>
      </c>
      <c r="F119" s="20"/>
      <c r="G119" s="20"/>
      <c r="H119" s="20"/>
      <c r="I119" s="20"/>
      <c r="K119" s="20"/>
      <c r="L119" s="20"/>
      <c r="M119" s="20"/>
      <c r="N119" s="20"/>
      <c r="O119" s="20"/>
      <c r="P119" s="20"/>
      <c r="T119" s="20"/>
    </row>
    <row r="120" spans="2:20" x14ac:dyDescent="0.25">
      <c r="K120" s="20"/>
      <c r="L120" s="20"/>
      <c r="M120" s="20"/>
      <c r="N120" s="20"/>
      <c r="O120" s="20"/>
      <c r="P120" s="20"/>
      <c r="T120" s="20"/>
    </row>
    <row r="121" spans="2:20" x14ac:dyDescent="0.25">
      <c r="C121" t="s">
        <v>1442</v>
      </c>
      <c r="K121" s="20"/>
      <c r="L121" s="20"/>
      <c r="M121" s="20"/>
      <c r="N121" s="20"/>
      <c r="O121" s="20"/>
      <c r="P121" s="20"/>
      <c r="T121" s="20"/>
    </row>
    <row r="122" spans="2:20" x14ac:dyDescent="0.25">
      <c r="C122" t="s">
        <v>1443</v>
      </c>
      <c r="E122" s="20"/>
      <c r="K122" s="20"/>
      <c r="L122" s="20"/>
      <c r="M122" s="20"/>
      <c r="N122" s="20"/>
      <c r="O122" s="20"/>
      <c r="P122" s="20"/>
      <c r="T122" s="20"/>
    </row>
    <row r="123" spans="2:20" x14ac:dyDescent="0.25">
      <c r="E123" s="20"/>
      <c r="F123" s="20"/>
      <c r="G123" s="20"/>
      <c r="H123" s="20"/>
      <c r="I123" s="20"/>
      <c r="K123" s="20"/>
      <c r="L123" s="20"/>
      <c r="M123" s="20"/>
      <c r="N123" s="20"/>
      <c r="O123" s="20"/>
      <c r="P123" s="20"/>
      <c r="T123" s="20"/>
    </row>
    <row r="124" spans="2:20" x14ac:dyDescent="0.25">
      <c r="C124" t="s">
        <v>1955</v>
      </c>
      <c r="F124" s="20"/>
      <c r="G124" s="20"/>
      <c r="H124" s="20"/>
      <c r="I124" s="20"/>
      <c r="K124" s="20"/>
      <c r="L124" s="20"/>
      <c r="M124" s="20"/>
      <c r="N124" s="20"/>
      <c r="O124" s="20"/>
      <c r="P124" s="20"/>
      <c r="T124" s="20"/>
    </row>
    <row r="125" spans="2:20" x14ac:dyDescent="0.25">
      <c r="C125" t="s">
        <v>1956</v>
      </c>
      <c r="K125" s="20"/>
      <c r="L125" s="20"/>
      <c r="M125" s="20"/>
      <c r="N125" s="20"/>
      <c r="O125" s="20"/>
      <c r="P125" s="20"/>
      <c r="T125" s="20"/>
    </row>
    <row r="126" spans="2:20" x14ac:dyDescent="0.25">
      <c r="K126" s="20"/>
      <c r="L126" s="20"/>
      <c r="M126" s="20"/>
      <c r="N126" s="20"/>
      <c r="O126" s="20"/>
      <c r="P126" s="20"/>
      <c r="T126" s="20"/>
    </row>
    <row r="127" spans="2:20" x14ac:dyDescent="0.25">
      <c r="C127" t="s">
        <v>1362</v>
      </c>
      <c r="E127" s="20"/>
      <c r="K127" s="20"/>
      <c r="L127" s="20"/>
      <c r="M127" s="20"/>
      <c r="N127" s="20"/>
      <c r="O127" s="20"/>
      <c r="P127" s="20"/>
      <c r="T127" s="20"/>
    </row>
    <row r="128" spans="2:20" x14ac:dyDescent="0.25">
      <c r="C128" t="s">
        <v>1362</v>
      </c>
      <c r="E128" s="20"/>
      <c r="K128" s="20"/>
      <c r="L128" s="20"/>
      <c r="M128" s="20"/>
      <c r="N128" s="20"/>
      <c r="O128" s="20"/>
      <c r="P128" s="20"/>
      <c r="T128" s="20"/>
    </row>
    <row r="129" spans="2:20" x14ac:dyDescent="0.25">
      <c r="C129" t="s">
        <v>1362</v>
      </c>
      <c r="K129" s="20"/>
      <c r="L129" s="20"/>
      <c r="M129" s="20"/>
      <c r="N129" s="20"/>
      <c r="O129" s="20"/>
      <c r="P129" s="20"/>
      <c r="T129" s="20"/>
    </row>
    <row r="130" spans="2:20" x14ac:dyDescent="0.25">
      <c r="B130" t="s">
        <v>559</v>
      </c>
      <c r="F130" s="20"/>
      <c r="G130" s="20"/>
      <c r="H130" s="20"/>
      <c r="I130" s="20"/>
      <c r="K130" s="20"/>
      <c r="L130" s="20"/>
      <c r="M130" s="20"/>
      <c r="N130" s="20"/>
      <c r="O130" s="20"/>
      <c r="P130" s="20"/>
      <c r="T130" s="20"/>
    </row>
    <row r="131" spans="2:20" x14ac:dyDescent="0.25">
      <c r="B131" t="s">
        <v>1502</v>
      </c>
      <c r="F131" s="20"/>
      <c r="G131" s="20"/>
      <c r="H131" s="20"/>
      <c r="I131" s="20"/>
      <c r="K131" s="20"/>
      <c r="L131" s="20"/>
      <c r="M131" s="20"/>
      <c r="N131" s="20"/>
      <c r="O131" s="20"/>
      <c r="P131" s="20"/>
      <c r="T131" s="20"/>
    </row>
    <row r="132" spans="2:20" x14ac:dyDescent="0.25">
      <c r="B132" t="s">
        <v>558</v>
      </c>
      <c r="K132" s="20"/>
      <c r="L132" s="20"/>
      <c r="M132" s="20"/>
      <c r="N132" s="20"/>
      <c r="O132" s="20"/>
      <c r="P132" s="20"/>
      <c r="T132" s="20"/>
    </row>
    <row r="133" spans="2:20" x14ac:dyDescent="0.25">
      <c r="C133" t="s">
        <v>2089</v>
      </c>
      <c r="K133" s="20"/>
      <c r="L133" s="20"/>
      <c r="M133" s="20"/>
      <c r="N133" s="20"/>
      <c r="O133" s="20"/>
      <c r="P133" s="20"/>
      <c r="T133" s="20"/>
    </row>
    <row r="134" spans="2:20" x14ac:dyDescent="0.25">
      <c r="C134" t="s">
        <v>2090</v>
      </c>
      <c r="E134" s="20"/>
      <c r="K134" s="20"/>
      <c r="L134" s="20"/>
      <c r="M134" s="20"/>
      <c r="N134" s="20"/>
      <c r="O134" s="20"/>
      <c r="P134" s="20"/>
      <c r="T134" s="20"/>
    </row>
    <row r="135" spans="2:20" x14ac:dyDescent="0.25">
      <c r="E135" s="20"/>
      <c r="F135" s="20"/>
      <c r="G135" s="20"/>
      <c r="H135" s="20"/>
      <c r="I135" s="20"/>
      <c r="K135" s="20"/>
      <c r="L135" s="20"/>
      <c r="M135" s="20"/>
      <c r="N135" s="20"/>
      <c r="O135" s="20"/>
      <c r="P135" s="20"/>
      <c r="T135" s="20"/>
    </row>
    <row r="136" spans="2:20" x14ac:dyDescent="0.25">
      <c r="C136" t="s">
        <v>1454</v>
      </c>
      <c r="F136" s="20"/>
      <c r="G136" s="20"/>
      <c r="H136" s="20"/>
      <c r="I136" s="20"/>
      <c r="K136" s="20"/>
      <c r="L136" s="20"/>
      <c r="M136" s="20"/>
      <c r="N136" s="20"/>
      <c r="O136" s="20"/>
      <c r="P136" s="20"/>
      <c r="T136" s="20"/>
    </row>
    <row r="137" spans="2:20" x14ac:dyDescent="0.25">
      <c r="C137" t="s">
        <v>1455</v>
      </c>
      <c r="K137" s="20"/>
      <c r="L137" s="20"/>
      <c r="M137" s="20"/>
      <c r="N137" s="20"/>
      <c r="O137" s="20"/>
      <c r="P137" s="20"/>
      <c r="T137" s="20"/>
    </row>
    <row r="138" spans="2:20" x14ac:dyDescent="0.25">
      <c r="K138" s="20"/>
      <c r="L138" s="20"/>
      <c r="M138" s="20"/>
      <c r="N138" s="20"/>
      <c r="O138" s="20"/>
      <c r="P138" s="20"/>
      <c r="T138" s="20"/>
    </row>
    <row r="139" spans="2:20" x14ac:dyDescent="0.25">
      <c r="C139" t="s">
        <v>1503</v>
      </c>
      <c r="E139" s="20"/>
      <c r="K139" s="20"/>
      <c r="L139" s="20"/>
      <c r="M139" s="20"/>
      <c r="N139" s="20"/>
      <c r="O139" s="20"/>
      <c r="P139" s="20"/>
      <c r="T139" s="20"/>
    </row>
    <row r="140" spans="2:20" x14ac:dyDescent="0.25">
      <c r="C140" t="s">
        <v>1504</v>
      </c>
      <c r="E140" s="20"/>
      <c r="F140" s="20"/>
      <c r="G140" s="20"/>
      <c r="H140" s="20"/>
      <c r="I140" s="20"/>
      <c r="K140" s="20"/>
      <c r="L140" s="20"/>
      <c r="M140" s="20"/>
      <c r="N140" s="20"/>
      <c r="O140" s="20"/>
      <c r="P140" s="20"/>
      <c r="T140" s="20"/>
    </row>
    <row r="141" spans="2:20" x14ac:dyDescent="0.25">
      <c r="F141" s="20"/>
      <c r="G141" s="20"/>
      <c r="H141" s="20"/>
      <c r="I141" s="20"/>
      <c r="K141" s="20"/>
      <c r="L141" s="20"/>
      <c r="M141" s="20"/>
      <c r="N141" s="20"/>
      <c r="O141" s="20"/>
      <c r="P141" s="20"/>
      <c r="T141" s="20"/>
    </row>
    <row r="142" spans="2:20" x14ac:dyDescent="0.25">
      <c r="C142" t="s">
        <v>1505</v>
      </c>
      <c r="K142" s="20"/>
      <c r="L142" s="20"/>
      <c r="M142" s="20"/>
      <c r="N142" s="20"/>
      <c r="O142" s="20"/>
      <c r="P142" s="20"/>
      <c r="T142" s="20"/>
    </row>
    <row r="143" spans="2:20" x14ac:dyDescent="0.25">
      <c r="C143" t="s">
        <v>1506</v>
      </c>
      <c r="K143" s="20"/>
      <c r="L143" s="20"/>
      <c r="M143" s="20"/>
      <c r="N143" s="20"/>
      <c r="O143" s="20"/>
      <c r="P143" s="20"/>
      <c r="T143" s="20"/>
    </row>
    <row r="144" spans="2:20" x14ac:dyDescent="0.25">
      <c r="E144" s="20"/>
      <c r="K144" s="20"/>
      <c r="L144" s="20"/>
      <c r="M144" s="20"/>
      <c r="N144" s="20"/>
      <c r="O144" s="20"/>
      <c r="P144" s="20"/>
      <c r="T144" s="20"/>
    </row>
    <row r="145" spans="2:20" x14ac:dyDescent="0.25">
      <c r="C145" t="s">
        <v>1507</v>
      </c>
      <c r="E145" s="20"/>
      <c r="K145" s="20"/>
      <c r="L145" s="20"/>
      <c r="M145" s="20"/>
      <c r="N145" s="20"/>
      <c r="O145" s="20"/>
      <c r="P145" s="20"/>
      <c r="T145" s="20"/>
    </row>
    <row r="146" spans="2:20" x14ac:dyDescent="0.25">
      <c r="C146" t="s">
        <v>1508</v>
      </c>
      <c r="K146" s="20"/>
      <c r="L146" s="20"/>
      <c r="M146" s="20"/>
      <c r="N146" s="20"/>
      <c r="O146" s="20"/>
      <c r="P146" s="20"/>
      <c r="T146" s="20"/>
    </row>
    <row r="147" spans="2:20" x14ac:dyDescent="0.25">
      <c r="F147" s="20"/>
      <c r="G147" s="20"/>
      <c r="H147" s="20"/>
      <c r="I147" s="20"/>
      <c r="K147" s="20"/>
      <c r="L147" s="20"/>
      <c r="M147" s="20"/>
      <c r="N147" s="20"/>
      <c r="O147" s="20"/>
      <c r="P147" s="20"/>
      <c r="T147" s="20"/>
    </row>
    <row r="148" spans="2:20" x14ac:dyDescent="0.25">
      <c r="C148" t="s">
        <v>1362</v>
      </c>
      <c r="F148" s="20"/>
      <c r="G148" s="20"/>
      <c r="H148" s="20"/>
      <c r="I148" s="20"/>
      <c r="K148" s="20"/>
      <c r="L148" s="20"/>
      <c r="M148" s="20"/>
      <c r="N148" s="20"/>
      <c r="O148" s="20"/>
      <c r="P148" s="20"/>
      <c r="T148" s="20"/>
    </row>
    <row r="149" spans="2:20" x14ac:dyDescent="0.25">
      <c r="C149" t="s">
        <v>1362</v>
      </c>
      <c r="K149" s="20"/>
      <c r="L149" s="20"/>
      <c r="M149" s="20"/>
      <c r="N149" s="20"/>
      <c r="O149" s="20"/>
      <c r="P149" s="20"/>
      <c r="T149" s="20"/>
    </row>
    <row r="150" spans="2:20" x14ac:dyDescent="0.25">
      <c r="C150" t="s">
        <v>1362</v>
      </c>
      <c r="K150" s="20"/>
      <c r="L150" s="20"/>
      <c r="M150" s="20"/>
      <c r="N150" s="20"/>
      <c r="O150" s="20"/>
      <c r="P150" s="20"/>
      <c r="T150" s="20"/>
    </row>
    <row r="151" spans="2:20" x14ac:dyDescent="0.25">
      <c r="B151" t="s">
        <v>559</v>
      </c>
      <c r="E151" s="20"/>
      <c r="K151" s="20"/>
      <c r="L151" s="20"/>
      <c r="M151" s="20"/>
      <c r="N151" s="20"/>
      <c r="O151" s="20"/>
      <c r="P151" s="20"/>
      <c r="T151" s="20"/>
    </row>
    <row r="152" spans="2:20" x14ac:dyDescent="0.25">
      <c r="B152" t="s">
        <v>1676</v>
      </c>
      <c r="E152" s="20"/>
      <c r="F152" s="20"/>
      <c r="G152" s="20"/>
      <c r="H152" s="20"/>
      <c r="I152" s="20"/>
      <c r="K152" s="20"/>
      <c r="L152" s="20"/>
      <c r="M152" s="20"/>
      <c r="N152" s="20"/>
      <c r="O152" s="20"/>
      <c r="P152" s="20"/>
      <c r="T152" s="20"/>
    </row>
    <row r="153" spans="2:20" x14ac:dyDescent="0.25">
      <c r="B153" t="s">
        <v>558</v>
      </c>
      <c r="F153" s="20"/>
      <c r="G153" s="20"/>
      <c r="H153" s="20"/>
      <c r="I153" s="20"/>
      <c r="K153" s="20"/>
      <c r="L153" s="20"/>
      <c r="M153" s="20"/>
      <c r="N153" s="20"/>
      <c r="O153" s="20"/>
      <c r="P153" s="20"/>
      <c r="T153" s="20"/>
    </row>
    <row r="154" spans="2:20" x14ac:dyDescent="0.25">
      <c r="C154" t="s">
        <v>2091</v>
      </c>
      <c r="K154" s="20"/>
      <c r="L154" s="20"/>
      <c r="M154" s="20"/>
      <c r="N154" s="20"/>
      <c r="O154" s="20"/>
      <c r="P154" s="20"/>
      <c r="T154" s="20"/>
    </row>
    <row r="155" spans="2:20" x14ac:dyDescent="0.25">
      <c r="C155" t="s">
        <v>2092</v>
      </c>
      <c r="K155" s="20"/>
      <c r="L155" s="20"/>
      <c r="M155" s="20"/>
      <c r="N155" s="20"/>
      <c r="O155" s="20"/>
      <c r="P155" s="20"/>
      <c r="T155" s="20"/>
    </row>
    <row r="156" spans="2:20" x14ac:dyDescent="0.25">
      <c r="E156" s="20"/>
      <c r="K156" s="20"/>
      <c r="L156" s="20"/>
      <c r="M156" s="20"/>
      <c r="N156" s="20"/>
      <c r="O156" s="20"/>
      <c r="P156" s="20"/>
      <c r="T156" s="20"/>
    </row>
    <row r="157" spans="2:20" x14ac:dyDescent="0.25">
      <c r="C157" t="s">
        <v>1395</v>
      </c>
      <c r="E157" s="20"/>
      <c r="F157" s="20"/>
      <c r="G157" s="20"/>
      <c r="H157" s="20"/>
      <c r="I157" s="20"/>
      <c r="K157" s="20"/>
      <c r="L157" s="20"/>
      <c r="M157" s="20"/>
      <c r="N157" s="20"/>
      <c r="O157" s="20"/>
      <c r="P157" s="20"/>
      <c r="T157" s="20"/>
    </row>
    <row r="158" spans="2:20" x14ac:dyDescent="0.25">
      <c r="C158" t="s">
        <v>1396</v>
      </c>
      <c r="F158" s="20"/>
      <c r="G158" s="20"/>
      <c r="H158" s="20"/>
      <c r="I158" s="20"/>
      <c r="K158" s="20"/>
      <c r="L158" s="20"/>
      <c r="M158" s="20"/>
      <c r="N158" s="20"/>
      <c r="O158" s="20"/>
      <c r="P158" s="20"/>
      <c r="T158" s="20"/>
    </row>
    <row r="159" spans="2:20" x14ac:dyDescent="0.25">
      <c r="K159" s="20"/>
      <c r="L159" s="20"/>
      <c r="M159" s="20"/>
      <c r="N159" s="20"/>
      <c r="O159" s="20"/>
      <c r="P159" s="20"/>
      <c r="T159" s="20"/>
    </row>
    <row r="160" spans="2:20" x14ac:dyDescent="0.25">
      <c r="C160" t="s">
        <v>1677</v>
      </c>
      <c r="K160" s="20"/>
      <c r="L160" s="20"/>
      <c r="M160" s="20"/>
      <c r="N160" s="20"/>
      <c r="O160" s="20"/>
      <c r="P160" s="20"/>
      <c r="T160" s="20"/>
    </row>
    <row r="161" spans="2:20" x14ac:dyDescent="0.25">
      <c r="C161" t="s">
        <v>1678</v>
      </c>
      <c r="E161" s="20"/>
      <c r="K161" s="20"/>
      <c r="L161" s="20"/>
      <c r="M161" s="20"/>
      <c r="N161" s="20"/>
      <c r="O161" s="20"/>
      <c r="P161" s="20"/>
      <c r="T161" s="20"/>
    </row>
    <row r="162" spans="2:20" x14ac:dyDescent="0.25">
      <c r="E162" s="20"/>
      <c r="K162" s="20"/>
      <c r="L162" s="20"/>
      <c r="M162" s="20"/>
      <c r="N162" s="20"/>
      <c r="O162" s="20"/>
      <c r="P162" s="20"/>
      <c r="T162" s="20"/>
    </row>
    <row r="163" spans="2:20" x14ac:dyDescent="0.25">
      <c r="C163" t="s">
        <v>1362</v>
      </c>
      <c r="K163" s="20"/>
      <c r="L163" s="20"/>
      <c r="M163" s="20"/>
      <c r="N163" s="20"/>
      <c r="O163" s="20"/>
      <c r="P163" s="20"/>
      <c r="T163" s="20"/>
    </row>
    <row r="164" spans="2:20" x14ac:dyDescent="0.25">
      <c r="C164" t="s">
        <v>1362</v>
      </c>
      <c r="F164" s="20"/>
      <c r="G164" s="20"/>
      <c r="H164" s="20"/>
      <c r="I164" s="20"/>
      <c r="K164" s="20"/>
      <c r="L164" s="20"/>
      <c r="M164" s="20"/>
      <c r="N164" s="20"/>
      <c r="O164" s="20"/>
      <c r="P164" s="20"/>
      <c r="T164" s="20"/>
    </row>
    <row r="165" spans="2:20" x14ac:dyDescent="0.25">
      <c r="C165" t="s">
        <v>1362</v>
      </c>
      <c r="F165" s="20"/>
      <c r="G165" s="20"/>
      <c r="H165" s="20"/>
      <c r="I165" s="20"/>
      <c r="K165" s="20"/>
      <c r="L165" s="20"/>
      <c r="M165" s="20"/>
      <c r="N165" s="20"/>
      <c r="O165" s="20"/>
      <c r="P165" s="20"/>
      <c r="T165" s="20"/>
    </row>
    <row r="166" spans="2:20" x14ac:dyDescent="0.25">
      <c r="B166" t="s">
        <v>559</v>
      </c>
      <c r="K166" s="20"/>
      <c r="L166" s="20"/>
      <c r="M166" s="20"/>
      <c r="N166" s="20"/>
      <c r="O166" s="20"/>
      <c r="P166" s="20"/>
      <c r="T166" s="20"/>
    </row>
    <row r="167" spans="2:20" x14ac:dyDescent="0.25">
      <c r="B167" t="s">
        <v>1534</v>
      </c>
      <c r="K167" s="20"/>
      <c r="L167" s="20"/>
      <c r="M167" s="20"/>
      <c r="N167" s="20"/>
      <c r="O167" s="20"/>
      <c r="P167" s="20"/>
      <c r="T167" s="20"/>
    </row>
    <row r="168" spans="2:20" x14ac:dyDescent="0.25">
      <c r="B168" t="s">
        <v>558</v>
      </c>
      <c r="E168" s="20"/>
      <c r="K168" s="20"/>
      <c r="L168" s="20"/>
      <c r="M168" s="20"/>
      <c r="N168" s="20"/>
      <c r="O168" s="20"/>
      <c r="P168" s="20"/>
      <c r="T168" s="20"/>
    </row>
    <row r="169" spans="2:20" x14ac:dyDescent="0.25">
      <c r="C169" t="s">
        <v>2093</v>
      </c>
      <c r="E169" s="20"/>
      <c r="K169" s="20"/>
      <c r="L169" s="20"/>
      <c r="M169" s="20"/>
      <c r="N169" s="20"/>
      <c r="O169" s="20"/>
      <c r="P169" s="20"/>
      <c r="T169" s="20"/>
    </row>
    <row r="170" spans="2:20" x14ac:dyDescent="0.25">
      <c r="C170" t="s">
        <v>2094</v>
      </c>
      <c r="K170" s="20"/>
      <c r="L170" s="20"/>
      <c r="M170" s="20"/>
      <c r="N170" s="20"/>
      <c r="O170" s="20"/>
      <c r="P170" s="20"/>
      <c r="T170" s="20"/>
    </row>
    <row r="171" spans="2:20" x14ac:dyDescent="0.25">
      <c r="K171" s="20"/>
      <c r="L171" s="20"/>
      <c r="M171" s="20"/>
      <c r="N171" s="20"/>
      <c r="O171" s="20"/>
      <c r="P171" s="20"/>
      <c r="T171" s="20"/>
    </row>
    <row r="172" spans="2:20" x14ac:dyDescent="0.25">
      <c r="C172" t="s">
        <v>1365</v>
      </c>
      <c r="K172" s="20"/>
      <c r="L172" s="20"/>
      <c r="M172" s="20"/>
      <c r="N172" s="20"/>
      <c r="O172" s="20"/>
      <c r="P172" s="20"/>
      <c r="T172" s="20"/>
    </row>
    <row r="173" spans="2:20" x14ac:dyDescent="0.25">
      <c r="C173" t="s">
        <v>1366</v>
      </c>
      <c r="K173" s="20"/>
      <c r="L173" s="20"/>
      <c r="M173" s="20"/>
      <c r="N173" s="20"/>
      <c r="O173" s="20"/>
      <c r="P173" s="20"/>
      <c r="T173" s="20"/>
    </row>
    <row r="174" spans="2:20" x14ac:dyDescent="0.25">
      <c r="K174" s="20"/>
      <c r="L174" s="20"/>
      <c r="M174" s="20"/>
      <c r="N174" s="20"/>
      <c r="O174" s="20"/>
      <c r="P174" s="20"/>
      <c r="T174" s="20"/>
    </row>
    <row r="175" spans="2:20" x14ac:dyDescent="0.25">
      <c r="C175" t="s">
        <v>1535</v>
      </c>
      <c r="K175" s="20"/>
      <c r="L175" s="20"/>
      <c r="M175" s="20"/>
      <c r="N175" s="20"/>
      <c r="O175" s="20"/>
      <c r="P175" s="20"/>
      <c r="T175" s="20"/>
    </row>
    <row r="176" spans="2:20" x14ac:dyDescent="0.25">
      <c r="C176" t="s">
        <v>1536</v>
      </c>
      <c r="K176" s="20"/>
      <c r="L176" s="20"/>
      <c r="M176" s="20"/>
      <c r="N176" s="20"/>
      <c r="O176" s="20"/>
      <c r="P176" s="20"/>
      <c r="T176" s="20"/>
    </row>
    <row r="177" spans="2:20" x14ac:dyDescent="0.25">
      <c r="F177" s="20"/>
      <c r="G177" s="20"/>
      <c r="H177" s="20"/>
      <c r="I177" s="20"/>
      <c r="K177" s="20"/>
      <c r="L177" s="20"/>
      <c r="M177" s="20"/>
      <c r="N177" s="20"/>
      <c r="O177" s="20"/>
      <c r="P177" s="20"/>
      <c r="T177" s="20"/>
    </row>
    <row r="178" spans="2:20" x14ac:dyDescent="0.25">
      <c r="C178" t="s">
        <v>1537</v>
      </c>
      <c r="F178" s="20"/>
      <c r="G178" s="20"/>
      <c r="H178" s="20"/>
      <c r="I178" s="20"/>
      <c r="K178" s="20"/>
      <c r="L178" s="20"/>
      <c r="M178" s="20"/>
      <c r="N178" s="20"/>
      <c r="O178" s="20"/>
      <c r="P178" s="20"/>
      <c r="T178" s="20"/>
    </row>
    <row r="179" spans="2:20" x14ac:dyDescent="0.25">
      <c r="C179" t="s">
        <v>1538</v>
      </c>
      <c r="K179" s="20"/>
      <c r="L179" s="20"/>
      <c r="M179" s="20"/>
      <c r="N179" s="20"/>
      <c r="O179" s="20"/>
      <c r="P179" s="20"/>
      <c r="T179" s="20"/>
    </row>
    <row r="180" spans="2:20" x14ac:dyDescent="0.25">
      <c r="K180" s="20"/>
      <c r="L180" s="20"/>
      <c r="M180" s="20"/>
      <c r="N180" s="20"/>
      <c r="O180" s="20"/>
      <c r="P180" s="20"/>
      <c r="T180" s="20"/>
    </row>
    <row r="181" spans="2:20" x14ac:dyDescent="0.25">
      <c r="C181" t="s">
        <v>1539</v>
      </c>
      <c r="E181" s="20"/>
      <c r="K181" s="20"/>
      <c r="L181" s="20"/>
      <c r="M181" s="20"/>
      <c r="N181" s="20"/>
      <c r="O181" s="20"/>
      <c r="P181" s="20"/>
      <c r="T181" s="20"/>
    </row>
    <row r="182" spans="2:20" x14ac:dyDescent="0.25">
      <c r="C182" t="s">
        <v>1540</v>
      </c>
      <c r="E182" s="20"/>
      <c r="F182" s="20"/>
      <c r="G182" s="20"/>
      <c r="H182" s="20"/>
      <c r="I182" s="20"/>
      <c r="K182" s="20"/>
      <c r="L182" s="20"/>
      <c r="M182" s="20"/>
      <c r="N182" s="20"/>
      <c r="O182" s="20"/>
      <c r="P182" s="20"/>
      <c r="T182" s="20"/>
    </row>
    <row r="183" spans="2:20" x14ac:dyDescent="0.25">
      <c r="F183" s="20"/>
      <c r="G183" s="20"/>
      <c r="H183" s="20"/>
      <c r="I183" s="20"/>
      <c r="K183" s="20"/>
      <c r="L183" s="20"/>
      <c r="M183" s="20"/>
      <c r="N183" s="20"/>
      <c r="O183" s="20"/>
      <c r="P183" s="20"/>
      <c r="T183" s="20"/>
    </row>
    <row r="184" spans="2:20" x14ac:dyDescent="0.25">
      <c r="C184" t="s">
        <v>1362</v>
      </c>
      <c r="K184" s="20"/>
      <c r="L184" s="20"/>
      <c r="M184" s="20"/>
      <c r="N184" s="20"/>
      <c r="O184" s="20"/>
      <c r="P184" s="20"/>
      <c r="T184" s="20"/>
    </row>
    <row r="185" spans="2:20" x14ac:dyDescent="0.25">
      <c r="C185" t="s">
        <v>1362</v>
      </c>
      <c r="K185" s="20"/>
      <c r="L185" s="20"/>
      <c r="M185" s="20"/>
      <c r="N185" s="20"/>
      <c r="O185" s="20"/>
      <c r="P185" s="20"/>
      <c r="T185" s="20"/>
    </row>
    <row r="186" spans="2:20" x14ac:dyDescent="0.25">
      <c r="C186" t="s">
        <v>1362</v>
      </c>
      <c r="E186" s="20"/>
      <c r="K186" s="20"/>
      <c r="L186" s="20"/>
      <c r="M186" s="20"/>
      <c r="N186" s="20"/>
      <c r="O186" s="20"/>
      <c r="P186" s="20"/>
      <c r="T186" s="20"/>
    </row>
    <row r="187" spans="2:20" x14ac:dyDescent="0.25">
      <c r="B187" t="s">
        <v>559</v>
      </c>
      <c r="E187" s="20"/>
      <c r="F187" s="20"/>
      <c r="G187" s="20"/>
      <c r="H187" s="20"/>
      <c r="I187" s="20"/>
      <c r="K187" s="20"/>
      <c r="L187" s="20"/>
      <c r="M187" s="20"/>
      <c r="N187" s="20"/>
      <c r="O187" s="20"/>
      <c r="P187" s="20"/>
      <c r="T187" s="20"/>
    </row>
    <row r="188" spans="2:20" x14ac:dyDescent="0.25">
      <c r="B188" t="s">
        <v>1495</v>
      </c>
      <c r="F188" s="20"/>
      <c r="G188" s="20"/>
      <c r="H188" s="20"/>
      <c r="I188" s="20"/>
      <c r="K188" s="20"/>
      <c r="L188" s="20"/>
      <c r="M188" s="20"/>
      <c r="N188" s="20"/>
      <c r="O188" s="20"/>
      <c r="P188" s="20"/>
      <c r="T188" s="20"/>
    </row>
    <row r="189" spans="2:20" x14ac:dyDescent="0.25">
      <c r="B189" t="s">
        <v>558</v>
      </c>
      <c r="K189" s="20"/>
      <c r="L189" s="20"/>
      <c r="M189" s="20"/>
      <c r="N189" s="20"/>
      <c r="O189" s="20"/>
      <c r="P189" s="20"/>
      <c r="T189" s="20"/>
    </row>
    <row r="190" spans="2:20" x14ac:dyDescent="0.25">
      <c r="C190" t="s">
        <v>2095</v>
      </c>
      <c r="K190" s="20"/>
      <c r="L190" s="20"/>
      <c r="M190" s="20"/>
      <c r="N190" s="20"/>
      <c r="O190" s="20"/>
      <c r="P190" s="20"/>
      <c r="T190" s="20"/>
    </row>
    <row r="191" spans="2:20" x14ac:dyDescent="0.25">
      <c r="C191" t="s">
        <v>2096</v>
      </c>
      <c r="E191" s="20"/>
      <c r="K191" s="20"/>
      <c r="L191" s="20"/>
      <c r="M191" s="20"/>
      <c r="N191" s="20"/>
      <c r="O191" s="20"/>
      <c r="P191" s="20"/>
      <c r="T191" s="20"/>
    </row>
    <row r="192" spans="2:20" x14ac:dyDescent="0.25">
      <c r="E192" s="20"/>
      <c r="F192" s="20"/>
      <c r="G192" s="20"/>
      <c r="H192" s="20"/>
      <c r="I192" s="20"/>
      <c r="K192" s="20"/>
      <c r="L192" s="20"/>
      <c r="M192" s="20"/>
      <c r="N192" s="20"/>
      <c r="O192" s="20"/>
      <c r="P192" s="20"/>
      <c r="T192" s="20"/>
    </row>
    <row r="193" spans="2:20" x14ac:dyDescent="0.25">
      <c r="C193" t="s">
        <v>1442</v>
      </c>
      <c r="F193" s="20"/>
      <c r="G193" s="20"/>
      <c r="H193" s="20"/>
      <c r="I193" s="20"/>
      <c r="K193" s="20"/>
      <c r="L193" s="20"/>
      <c r="M193" s="20"/>
      <c r="N193" s="20"/>
      <c r="O193" s="20"/>
      <c r="P193" s="20"/>
      <c r="T193" s="20"/>
    </row>
    <row r="194" spans="2:20" x14ac:dyDescent="0.25">
      <c r="C194" t="s">
        <v>1443</v>
      </c>
      <c r="K194" s="20"/>
      <c r="L194" s="20"/>
      <c r="M194" s="20"/>
      <c r="N194" s="20"/>
      <c r="O194" s="20"/>
      <c r="P194" s="20"/>
      <c r="T194" s="20"/>
    </row>
    <row r="195" spans="2:20" x14ac:dyDescent="0.25">
      <c r="K195" s="20"/>
      <c r="L195" s="20"/>
      <c r="M195" s="20"/>
      <c r="N195" s="20"/>
      <c r="O195" s="20"/>
      <c r="P195" s="20"/>
      <c r="T195" s="20"/>
    </row>
    <row r="196" spans="2:20" x14ac:dyDescent="0.25">
      <c r="C196" t="s">
        <v>1496</v>
      </c>
      <c r="E196" s="20"/>
      <c r="K196" s="20"/>
      <c r="L196" s="20"/>
      <c r="M196" s="20"/>
      <c r="N196" s="20"/>
      <c r="O196" s="20"/>
      <c r="P196" s="20"/>
      <c r="T196" s="20"/>
    </row>
    <row r="197" spans="2:20" x14ac:dyDescent="0.25">
      <c r="C197" t="s">
        <v>1497</v>
      </c>
      <c r="E197" s="20"/>
      <c r="F197" s="20"/>
      <c r="G197" s="20"/>
      <c r="H197" s="20"/>
      <c r="I197" s="20"/>
      <c r="K197" s="20"/>
      <c r="L197" s="20"/>
      <c r="M197" s="20"/>
      <c r="N197" s="20"/>
      <c r="O197" s="20"/>
      <c r="P197" s="20"/>
      <c r="T197" s="20"/>
    </row>
    <row r="198" spans="2:20" x14ac:dyDescent="0.25">
      <c r="F198" s="20"/>
      <c r="G198" s="20"/>
      <c r="H198" s="20"/>
      <c r="I198" s="20"/>
      <c r="K198" s="20"/>
      <c r="L198" s="20"/>
      <c r="M198" s="20"/>
      <c r="N198" s="20"/>
      <c r="O198" s="20"/>
      <c r="P198" s="20"/>
      <c r="T198" s="20"/>
    </row>
    <row r="199" spans="2:20" x14ac:dyDescent="0.25">
      <c r="C199" t="s">
        <v>1498</v>
      </c>
      <c r="K199" s="20"/>
      <c r="L199" s="20"/>
      <c r="M199" s="20"/>
      <c r="N199" s="20"/>
      <c r="O199" s="20"/>
      <c r="P199" s="20"/>
      <c r="T199" s="20"/>
    </row>
    <row r="200" spans="2:20" x14ac:dyDescent="0.25">
      <c r="C200" t="s">
        <v>1499</v>
      </c>
      <c r="K200" s="20"/>
      <c r="L200" s="20"/>
      <c r="M200" s="20"/>
      <c r="N200" s="20"/>
      <c r="O200" s="20"/>
      <c r="P200" s="20"/>
      <c r="T200" s="20"/>
    </row>
    <row r="201" spans="2:20" x14ac:dyDescent="0.25">
      <c r="E201" s="20"/>
      <c r="K201" s="20"/>
      <c r="L201" s="20"/>
      <c r="M201" s="20"/>
      <c r="N201" s="20"/>
      <c r="O201" s="20"/>
      <c r="P201" s="20"/>
      <c r="T201" s="20"/>
    </row>
    <row r="202" spans="2:20" x14ac:dyDescent="0.25">
      <c r="C202" t="s">
        <v>1500</v>
      </c>
      <c r="E202" s="20"/>
      <c r="K202" s="20"/>
      <c r="L202" s="20"/>
      <c r="M202" s="20"/>
      <c r="N202" s="20"/>
      <c r="O202" s="20"/>
      <c r="P202" s="20"/>
      <c r="T202" s="20"/>
    </row>
    <row r="203" spans="2:20" x14ac:dyDescent="0.25">
      <c r="C203" t="s">
        <v>1501</v>
      </c>
      <c r="K203" s="20"/>
      <c r="L203" s="20"/>
      <c r="M203" s="20"/>
      <c r="N203" s="20"/>
      <c r="O203" s="20"/>
      <c r="P203" s="20"/>
      <c r="T203" s="20"/>
    </row>
    <row r="204" spans="2:20" x14ac:dyDescent="0.25">
      <c r="F204" s="20"/>
      <c r="G204" s="20"/>
      <c r="H204" s="20"/>
      <c r="I204" s="20"/>
      <c r="K204" s="20"/>
      <c r="L204" s="20"/>
      <c r="M204" s="20"/>
      <c r="N204" s="20"/>
      <c r="O204" s="20"/>
      <c r="P204" s="20"/>
      <c r="T204" s="20"/>
    </row>
    <row r="205" spans="2:20" x14ac:dyDescent="0.25">
      <c r="C205" t="s">
        <v>1362</v>
      </c>
      <c r="F205" s="20"/>
      <c r="G205" s="20"/>
      <c r="H205" s="20"/>
      <c r="I205" s="20"/>
      <c r="K205" s="20"/>
      <c r="L205" s="20"/>
      <c r="M205" s="20"/>
      <c r="N205" s="20"/>
      <c r="O205" s="20"/>
      <c r="P205" s="20"/>
      <c r="T205" s="20"/>
    </row>
    <row r="206" spans="2:20" x14ac:dyDescent="0.25">
      <c r="C206" t="s">
        <v>1362</v>
      </c>
      <c r="K206" s="20"/>
      <c r="L206" s="20"/>
      <c r="M206" s="20"/>
      <c r="N206" s="20"/>
      <c r="O206" s="20"/>
      <c r="P206" s="20"/>
      <c r="T206" s="20"/>
    </row>
    <row r="207" spans="2:20" x14ac:dyDescent="0.25">
      <c r="C207" t="s">
        <v>1362</v>
      </c>
      <c r="K207" s="20"/>
      <c r="L207" s="20"/>
      <c r="M207" s="20"/>
      <c r="N207" s="20"/>
      <c r="O207" s="20"/>
      <c r="P207" s="20"/>
      <c r="T207" s="20"/>
    </row>
    <row r="208" spans="2:20" x14ac:dyDescent="0.25">
      <c r="B208" t="s">
        <v>559</v>
      </c>
      <c r="E208" s="20"/>
      <c r="K208" s="20"/>
      <c r="L208" s="20"/>
      <c r="M208" s="20"/>
      <c r="N208" s="20"/>
      <c r="O208" s="20"/>
      <c r="P208" s="20"/>
      <c r="T208" s="20"/>
    </row>
    <row r="209" spans="2:20" x14ac:dyDescent="0.25">
      <c r="B209" t="s">
        <v>1617</v>
      </c>
      <c r="E209" s="20"/>
      <c r="K209" s="20"/>
      <c r="L209" s="20"/>
      <c r="M209" s="20"/>
      <c r="N209" s="20"/>
      <c r="O209" s="20"/>
      <c r="P209" s="20"/>
      <c r="T209" s="20"/>
    </row>
    <row r="210" spans="2:20" x14ac:dyDescent="0.25">
      <c r="B210" t="s">
        <v>558</v>
      </c>
      <c r="K210" s="20"/>
      <c r="L210" s="20"/>
      <c r="M210" s="20"/>
      <c r="N210" s="20"/>
      <c r="O210" s="20"/>
      <c r="P210" s="20"/>
      <c r="T210" s="20"/>
    </row>
    <row r="211" spans="2:20" x14ac:dyDescent="0.25">
      <c r="C211" t="s">
        <v>2242</v>
      </c>
      <c r="F211" s="20"/>
      <c r="G211" s="20"/>
      <c r="H211" s="20"/>
      <c r="I211" s="20"/>
      <c r="K211" s="20"/>
      <c r="L211" s="20"/>
      <c r="M211" s="20"/>
      <c r="N211" s="20"/>
      <c r="O211" s="20"/>
      <c r="P211" s="20"/>
      <c r="T211" s="20"/>
    </row>
    <row r="212" spans="2:20" x14ac:dyDescent="0.25">
      <c r="C212" t="s">
        <v>2243</v>
      </c>
      <c r="F212" s="20"/>
      <c r="G212" s="20"/>
      <c r="H212" s="20"/>
      <c r="I212" s="20"/>
      <c r="K212" s="20"/>
      <c r="L212" s="20"/>
      <c r="M212" s="20"/>
      <c r="N212" s="20"/>
      <c r="O212" s="20"/>
      <c r="P212" s="20"/>
      <c r="T212" s="20"/>
    </row>
    <row r="213" spans="2:20" x14ac:dyDescent="0.25">
      <c r="K213" s="20"/>
      <c r="L213" s="20"/>
      <c r="M213" s="20"/>
      <c r="N213" s="20"/>
      <c r="O213" s="20"/>
      <c r="P213" s="20"/>
      <c r="T213" s="20"/>
    </row>
    <row r="214" spans="2:20" x14ac:dyDescent="0.25">
      <c r="C214" t="s">
        <v>1385</v>
      </c>
      <c r="K214" s="20"/>
      <c r="L214" s="20"/>
      <c r="M214" s="20"/>
      <c r="N214" s="20"/>
      <c r="O214" s="20"/>
      <c r="P214" s="20"/>
      <c r="T214" s="20"/>
    </row>
    <row r="215" spans="2:20" x14ac:dyDescent="0.25">
      <c r="C215" t="s">
        <v>1386</v>
      </c>
      <c r="E215" s="20"/>
      <c r="K215" s="20"/>
      <c r="L215" s="20"/>
      <c r="M215" s="20"/>
      <c r="N215" s="20"/>
      <c r="O215" s="20"/>
      <c r="P215" s="20"/>
      <c r="T215" s="20"/>
    </row>
    <row r="216" spans="2:20" x14ac:dyDescent="0.25">
      <c r="E216" s="20"/>
      <c r="F216" s="20"/>
      <c r="G216" s="20"/>
      <c r="H216" s="20"/>
      <c r="I216" s="20"/>
      <c r="K216" s="20"/>
      <c r="L216" s="20"/>
      <c r="M216" s="20"/>
      <c r="N216" s="20"/>
      <c r="O216" s="20"/>
      <c r="P216" s="20"/>
      <c r="T216" s="20"/>
    </row>
    <row r="217" spans="2:20" x14ac:dyDescent="0.25">
      <c r="C217" t="s">
        <v>1618</v>
      </c>
      <c r="F217" s="20"/>
      <c r="G217" s="20"/>
      <c r="H217" s="20"/>
      <c r="I217" s="20"/>
      <c r="K217" s="20"/>
      <c r="L217" s="20"/>
      <c r="M217" s="20"/>
      <c r="N217" s="20"/>
      <c r="O217" s="20"/>
      <c r="P217" s="20"/>
      <c r="T217" s="20"/>
    </row>
    <row r="218" spans="2:20" x14ac:dyDescent="0.25">
      <c r="C218" t="s">
        <v>1619</v>
      </c>
      <c r="K218" s="20"/>
      <c r="L218" s="20"/>
      <c r="M218" s="20"/>
      <c r="N218" s="20"/>
      <c r="O218" s="20"/>
      <c r="P218" s="20"/>
      <c r="T218" s="20"/>
    </row>
    <row r="219" spans="2:20" x14ac:dyDescent="0.25">
      <c r="K219" s="20"/>
      <c r="L219" s="20"/>
      <c r="M219" s="20"/>
      <c r="N219" s="20"/>
      <c r="O219" s="20"/>
      <c r="P219" s="20"/>
      <c r="T219" s="20"/>
    </row>
    <row r="220" spans="2:20" x14ac:dyDescent="0.25">
      <c r="C220" t="s">
        <v>1620</v>
      </c>
      <c r="E220" s="20"/>
      <c r="K220" s="20"/>
      <c r="L220" s="20"/>
      <c r="M220" s="20"/>
      <c r="N220" s="20"/>
      <c r="O220" s="20"/>
      <c r="P220" s="20"/>
      <c r="T220" s="20"/>
    </row>
    <row r="221" spans="2:20" x14ac:dyDescent="0.25">
      <c r="C221" t="s">
        <v>1621</v>
      </c>
      <c r="E221" s="20"/>
      <c r="F221" s="20"/>
      <c r="G221" s="20"/>
      <c r="H221" s="20"/>
      <c r="I221" s="20"/>
      <c r="K221" s="20"/>
      <c r="L221" s="20"/>
      <c r="M221" s="20"/>
      <c r="N221" s="20"/>
      <c r="O221" s="20"/>
      <c r="P221" s="20"/>
      <c r="T221" s="20"/>
    </row>
    <row r="222" spans="2:20" x14ac:dyDescent="0.25">
      <c r="F222" s="20"/>
      <c r="G222" s="20"/>
      <c r="H222" s="20"/>
      <c r="I222" s="20"/>
      <c r="K222" s="20"/>
      <c r="L222" s="20"/>
      <c r="M222" s="20"/>
      <c r="N222" s="20"/>
      <c r="O222" s="20"/>
      <c r="P222" s="20"/>
      <c r="T222" s="20"/>
    </row>
    <row r="223" spans="2:20" x14ac:dyDescent="0.25">
      <c r="C223" t="s">
        <v>1622</v>
      </c>
      <c r="K223" s="20"/>
      <c r="L223" s="20"/>
      <c r="M223" s="20"/>
      <c r="N223" s="20"/>
      <c r="O223" s="20"/>
      <c r="P223" s="20"/>
      <c r="T223" s="20"/>
    </row>
    <row r="224" spans="2:20" x14ac:dyDescent="0.25">
      <c r="C224" t="s">
        <v>1623</v>
      </c>
      <c r="K224" s="20"/>
      <c r="L224" s="20"/>
      <c r="M224" s="20"/>
      <c r="N224" s="20"/>
      <c r="O224" s="20"/>
      <c r="P224" s="20"/>
      <c r="T224" s="20"/>
    </row>
    <row r="225" spans="2:20" x14ac:dyDescent="0.25">
      <c r="E225" s="20"/>
      <c r="K225" s="20"/>
      <c r="L225" s="20"/>
      <c r="M225" s="20"/>
      <c r="N225" s="20"/>
      <c r="O225" s="20"/>
      <c r="P225" s="20"/>
      <c r="T225" s="20"/>
    </row>
    <row r="226" spans="2:20" x14ac:dyDescent="0.25">
      <c r="C226" t="s">
        <v>1362</v>
      </c>
      <c r="E226" s="20"/>
      <c r="F226" s="20"/>
      <c r="G226" s="20"/>
      <c r="H226" s="20"/>
      <c r="I226" s="20"/>
      <c r="K226" s="20"/>
      <c r="L226" s="20"/>
      <c r="M226" s="20"/>
      <c r="N226" s="20"/>
      <c r="O226" s="20"/>
      <c r="P226" s="20"/>
      <c r="T226" s="20"/>
    </row>
    <row r="227" spans="2:20" x14ac:dyDescent="0.25">
      <c r="C227" t="s">
        <v>1362</v>
      </c>
      <c r="F227" s="20"/>
      <c r="G227" s="20"/>
      <c r="H227" s="20"/>
      <c r="I227" s="20"/>
      <c r="K227" s="20"/>
      <c r="L227" s="20"/>
      <c r="M227" s="20"/>
      <c r="N227" s="20"/>
      <c r="O227" s="20"/>
      <c r="P227" s="20"/>
      <c r="T227" s="20"/>
    </row>
    <row r="228" spans="2:20" x14ac:dyDescent="0.25">
      <c r="C228" t="s">
        <v>1362</v>
      </c>
      <c r="K228" s="20"/>
      <c r="L228" s="20"/>
      <c r="M228" s="20"/>
      <c r="N228" s="20"/>
      <c r="O228" s="20"/>
      <c r="P228" s="20"/>
      <c r="T228" s="20"/>
    </row>
    <row r="229" spans="2:20" x14ac:dyDescent="0.25">
      <c r="B229" t="s">
        <v>559</v>
      </c>
      <c r="K229" s="20"/>
      <c r="L229" s="20"/>
      <c r="M229" s="20"/>
      <c r="N229" s="20"/>
      <c r="O229" s="20"/>
      <c r="P229" s="20"/>
      <c r="T229" s="20"/>
    </row>
    <row r="230" spans="2:20" x14ac:dyDescent="0.25">
      <c r="B230" t="s">
        <v>1561</v>
      </c>
      <c r="E230" s="20"/>
      <c r="K230" s="20"/>
      <c r="L230" s="20"/>
      <c r="M230" s="20"/>
      <c r="N230" s="20"/>
      <c r="O230" s="20"/>
      <c r="P230" s="20"/>
      <c r="T230" s="20"/>
    </row>
    <row r="231" spans="2:20" x14ac:dyDescent="0.25">
      <c r="B231" t="s">
        <v>558</v>
      </c>
      <c r="E231" s="20"/>
      <c r="F231" s="20"/>
      <c r="G231" s="20"/>
      <c r="H231" s="20"/>
      <c r="I231" s="20"/>
      <c r="J231" s="20"/>
      <c r="K231" s="20"/>
      <c r="L231" s="20"/>
      <c r="M231" s="20"/>
      <c r="N231" s="20"/>
      <c r="O231" s="20"/>
      <c r="P231" s="20"/>
      <c r="T231" s="20"/>
    </row>
    <row r="232" spans="2:20" x14ac:dyDescent="0.25">
      <c r="C232" t="s">
        <v>2097</v>
      </c>
      <c r="F232" s="20"/>
      <c r="G232" s="20"/>
      <c r="H232" s="20"/>
      <c r="I232" s="20"/>
      <c r="J232" s="20"/>
      <c r="K232" s="20"/>
      <c r="L232" s="20"/>
      <c r="M232" s="20"/>
      <c r="N232" s="20"/>
      <c r="O232" s="20"/>
      <c r="P232" s="20"/>
      <c r="T232" s="20"/>
    </row>
    <row r="233" spans="2:20" x14ac:dyDescent="0.25">
      <c r="C233" t="s">
        <v>2098</v>
      </c>
      <c r="K233" s="20"/>
      <c r="L233" s="20"/>
      <c r="M233" s="20"/>
      <c r="N233" s="20"/>
      <c r="O233" s="20"/>
      <c r="P233" s="20"/>
      <c r="T233" s="20"/>
    </row>
    <row r="234" spans="2:20" x14ac:dyDescent="0.25">
      <c r="K234" s="20"/>
      <c r="L234" s="20"/>
      <c r="M234" s="20"/>
      <c r="N234" s="20"/>
      <c r="O234" s="20"/>
      <c r="P234" s="20"/>
      <c r="T234" s="20"/>
    </row>
    <row r="235" spans="2:20" x14ac:dyDescent="0.25">
      <c r="C235" t="s">
        <v>1478</v>
      </c>
      <c r="E235" s="20"/>
      <c r="K235" s="20"/>
      <c r="L235" s="20"/>
      <c r="M235" s="20"/>
      <c r="N235" s="20"/>
      <c r="O235" s="20"/>
      <c r="P235" s="20"/>
      <c r="T235" s="20"/>
    </row>
    <row r="236" spans="2:20" x14ac:dyDescent="0.25">
      <c r="C236" t="s">
        <v>1479</v>
      </c>
      <c r="E236" s="20"/>
      <c r="F236" s="20"/>
      <c r="G236" s="20"/>
      <c r="H236" s="20"/>
      <c r="I236" s="20"/>
      <c r="J236" s="20"/>
      <c r="K236" s="20"/>
      <c r="L236" s="20"/>
      <c r="M236" s="20"/>
      <c r="N236" s="20"/>
      <c r="O236" s="20"/>
      <c r="P236" s="20"/>
      <c r="T236" s="20"/>
    </row>
    <row r="237" spans="2:20" x14ac:dyDescent="0.25">
      <c r="F237" s="20"/>
      <c r="G237" s="20"/>
      <c r="H237" s="20"/>
      <c r="I237" s="20"/>
      <c r="J237" s="20"/>
      <c r="K237" s="20"/>
      <c r="L237" s="20"/>
      <c r="M237" s="20"/>
      <c r="N237" s="20"/>
      <c r="O237" s="20"/>
      <c r="P237" s="20"/>
      <c r="T237" s="20"/>
    </row>
    <row r="238" spans="2:20" x14ac:dyDescent="0.25">
      <c r="C238" t="s">
        <v>1562</v>
      </c>
      <c r="K238" s="20"/>
      <c r="L238" s="20"/>
      <c r="M238" s="20"/>
      <c r="N238" s="20"/>
      <c r="O238" s="20"/>
      <c r="P238" s="20"/>
      <c r="T238" s="20"/>
    </row>
    <row r="239" spans="2:20" x14ac:dyDescent="0.25">
      <c r="C239" t="s">
        <v>1563</v>
      </c>
      <c r="K239" s="20"/>
      <c r="L239" s="20"/>
      <c r="M239" s="20"/>
      <c r="N239" s="20"/>
      <c r="O239" s="20"/>
      <c r="P239" s="20"/>
      <c r="T239" s="20"/>
    </row>
    <row r="240" spans="2:20" x14ac:dyDescent="0.25">
      <c r="E240" s="20"/>
      <c r="K240" s="20"/>
      <c r="L240" s="20"/>
      <c r="M240" s="20"/>
      <c r="N240" s="20"/>
      <c r="O240" s="20"/>
      <c r="P240" s="20"/>
      <c r="T240" s="20"/>
    </row>
    <row r="241" spans="2:20" x14ac:dyDescent="0.25">
      <c r="C241" t="s">
        <v>1362</v>
      </c>
      <c r="E241" s="20"/>
      <c r="K241" s="20"/>
      <c r="L241" s="20"/>
      <c r="M241" s="20"/>
      <c r="N241" s="20"/>
      <c r="O241" s="20"/>
      <c r="P241" s="20"/>
      <c r="T241" s="20"/>
    </row>
    <row r="242" spans="2:20" x14ac:dyDescent="0.25">
      <c r="C242" t="s">
        <v>1362</v>
      </c>
      <c r="K242" s="20"/>
      <c r="L242" s="20"/>
      <c r="M242" s="20"/>
      <c r="N242" s="20"/>
      <c r="O242" s="20"/>
      <c r="P242" s="20"/>
      <c r="T242" s="20"/>
    </row>
    <row r="243" spans="2:20" x14ac:dyDescent="0.25">
      <c r="C243" t="s">
        <v>1362</v>
      </c>
      <c r="F243" s="20"/>
      <c r="G243" s="20"/>
      <c r="H243" s="20"/>
      <c r="I243" s="20"/>
      <c r="J243" s="20"/>
      <c r="K243" s="20"/>
      <c r="L243" s="20"/>
      <c r="M243" s="20"/>
      <c r="N243" s="20"/>
      <c r="O243" s="20"/>
      <c r="P243" s="20"/>
      <c r="T243" s="20"/>
    </row>
    <row r="244" spans="2:20" x14ac:dyDescent="0.25">
      <c r="B244" t="s">
        <v>559</v>
      </c>
      <c r="F244" s="20"/>
      <c r="G244" s="20"/>
      <c r="H244" s="20"/>
      <c r="I244" s="20"/>
      <c r="J244" s="20"/>
      <c r="K244" s="20"/>
      <c r="L244" s="20"/>
      <c r="M244" s="20"/>
      <c r="N244" s="20"/>
      <c r="O244" s="20"/>
      <c r="P244" s="20"/>
      <c r="T244" s="20"/>
    </row>
    <row r="245" spans="2:20" x14ac:dyDescent="0.25">
      <c r="B245" t="s">
        <v>1669</v>
      </c>
      <c r="K245" s="20"/>
      <c r="L245" s="20"/>
      <c r="M245" s="20"/>
      <c r="N245" s="20"/>
      <c r="O245" s="20"/>
      <c r="P245" s="20"/>
      <c r="T245" s="20"/>
    </row>
    <row r="246" spans="2:20" x14ac:dyDescent="0.25">
      <c r="B246" t="s">
        <v>558</v>
      </c>
      <c r="K246" s="20"/>
      <c r="L246" s="20"/>
      <c r="M246" s="20"/>
      <c r="N246" s="20"/>
      <c r="O246" s="20"/>
      <c r="P246" s="20"/>
      <c r="T246" s="20"/>
    </row>
    <row r="247" spans="2:20" x14ac:dyDescent="0.25">
      <c r="C247" t="s">
        <v>2099</v>
      </c>
      <c r="E247" s="20"/>
      <c r="K247" s="20"/>
      <c r="L247" s="20"/>
      <c r="M247" s="20"/>
      <c r="N247" s="20"/>
      <c r="O247" s="20"/>
      <c r="P247" s="20"/>
      <c r="T247" s="20"/>
    </row>
    <row r="248" spans="2:20" x14ac:dyDescent="0.25">
      <c r="C248" t="s">
        <v>2100</v>
      </c>
      <c r="E248" s="20"/>
      <c r="F248" s="20"/>
      <c r="G248" s="20"/>
      <c r="H248" s="20"/>
      <c r="I248" s="20"/>
      <c r="J248" s="20"/>
      <c r="K248" s="20"/>
      <c r="L248" s="20"/>
      <c r="M248" s="20"/>
      <c r="N248" s="20"/>
      <c r="O248" s="20"/>
      <c r="P248" s="20"/>
      <c r="T248" s="20"/>
    </row>
    <row r="249" spans="2:20" x14ac:dyDescent="0.25">
      <c r="F249" s="20"/>
      <c r="G249" s="20"/>
      <c r="H249" s="20"/>
      <c r="I249" s="20"/>
      <c r="J249" s="20"/>
      <c r="K249" s="20"/>
      <c r="L249" s="20"/>
      <c r="M249" s="20"/>
      <c r="N249" s="20"/>
      <c r="O249" s="20"/>
      <c r="P249" s="20"/>
      <c r="T249" s="20"/>
    </row>
    <row r="250" spans="2:20" x14ac:dyDescent="0.25">
      <c r="C250" t="s">
        <v>1473</v>
      </c>
      <c r="K250" s="20"/>
      <c r="L250" s="20"/>
      <c r="M250" s="20"/>
      <c r="N250" s="20"/>
      <c r="O250" s="20"/>
      <c r="P250" s="20"/>
      <c r="T250" s="20"/>
    </row>
    <row r="251" spans="2:20" x14ac:dyDescent="0.25">
      <c r="C251" t="s">
        <v>1474</v>
      </c>
      <c r="K251" s="20"/>
      <c r="L251" s="20"/>
      <c r="M251" s="20"/>
      <c r="N251" s="20"/>
      <c r="O251" s="20"/>
      <c r="P251" s="20"/>
      <c r="T251" s="20"/>
    </row>
    <row r="252" spans="2:20" x14ac:dyDescent="0.25">
      <c r="E252" s="20"/>
      <c r="K252" s="20"/>
      <c r="L252" s="20"/>
      <c r="M252" s="20"/>
      <c r="N252" s="20"/>
      <c r="O252" s="20"/>
      <c r="P252" s="20"/>
    </row>
    <row r="253" spans="2:20" x14ac:dyDescent="0.25">
      <c r="C253" t="s">
        <v>1670</v>
      </c>
      <c r="E253" s="20"/>
      <c r="K253" s="20"/>
      <c r="L253" s="20"/>
      <c r="M253" s="20"/>
      <c r="N253" s="20"/>
      <c r="O253" s="20"/>
      <c r="P253" s="20"/>
    </row>
    <row r="254" spans="2:20" x14ac:dyDescent="0.25">
      <c r="C254" t="s">
        <v>1671</v>
      </c>
      <c r="K254" s="20"/>
      <c r="L254" s="20"/>
      <c r="M254" s="20"/>
      <c r="N254" s="20"/>
      <c r="O254" s="20"/>
      <c r="P254" s="20"/>
    </row>
    <row r="255" spans="2:20" x14ac:dyDescent="0.25">
      <c r="F255" s="20"/>
      <c r="G255" s="20"/>
      <c r="H255" s="20"/>
      <c r="I255" s="20"/>
      <c r="J255" s="20"/>
      <c r="K255" s="20"/>
      <c r="L255" s="20"/>
      <c r="M255" s="20"/>
      <c r="N255" s="20"/>
      <c r="O255" s="20"/>
      <c r="P255" s="20"/>
    </row>
    <row r="256" spans="2:20" x14ac:dyDescent="0.25">
      <c r="C256" t="s">
        <v>1672</v>
      </c>
      <c r="F256" s="20"/>
      <c r="G256" s="20"/>
      <c r="H256" s="20"/>
      <c r="I256" s="20"/>
      <c r="J256" s="20"/>
      <c r="K256" s="20"/>
      <c r="L256" s="20"/>
      <c r="M256" s="20"/>
      <c r="N256" s="20"/>
      <c r="O256" s="20"/>
      <c r="P256" s="20"/>
    </row>
    <row r="257" spans="2:16" x14ac:dyDescent="0.25">
      <c r="C257" t="s">
        <v>1673</v>
      </c>
      <c r="K257" s="20"/>
      <c r="L257" s="20"/>
      <c r="M257" s="20"/>
      <c r="N257" s="20"/>
      <c r="O257" s="20"/>
      <c r="P257" s="20"/>
    </row>
    <row r="258" spans="2:16" x14ac:dyDescent="0.25">
      <c r="K258" s="20"/>
      <c r="L258" s="20"/>
      <c r="M258" s="20"/>
      <c r="N258" s="20"/>
      <c r="O258" s="20"/>
      <c r="P258" s="20"/>
    </row>
    <row r="259" spans="2:16" x14ac:dyDescent="0.25">
      <c r="C259" t="s">
        <v>1674</v>
      </c>
      <c r="E259" s="20"/>
      <c r="K259" s="20"/>
      <c r="L259" s="20"/>
      <c r="M259" s="20"/>
      <c r="N259" s="20"/>
      <c r="O259" s="20"/>
      <c r="P259" s="20"/>
    </row>
    <row r="260" spans="2:16" x14ac:dyDescent="0.25">
      <c r="C260" t="s">
        <v>1675</v>
      </c>
      <c r="E260" s="20"/>
      <c r="F260" s="20"/>
      <c r="G260" s="20"/>
      <c r="H260" s="20"/>
      <c r="I260" s="20"/>
      <c r="J260" s="20"/>
      <c r="K260" s="20"/>
      <c r="L260" s="20"/>
      <c r="M260" s="20"/>
      <c r="N260" s="20"/>
      <c r="O260" s="20"/>
      <c r="P260" s="20"/>
    </row>
    <row r="261" spans="2:16" x14ac:dyDescent="0.25">
      <c r="F261" s="20"/>
      <c r="G261" s="20"/>
      <c r="H261" s="20"/>
      <c r="I261" s="20"/>
      <c r="J261" s="20"/>
      <c r="K261" s="20"/>
      <c r="L261" s="20"/>
      <c r="M261" s="20"/>
      <c r="N261" s="20"/>
      <c r="O261" s="20"/>
      <c r="P261" s="20"/>
    </row>
    <row r="262" spans="2:16" x14ac:dyDescent="0.25">
      <c r="C262" t="s">
        <v>1362</v>
      </c>
      <c r="K262" s="20"/>
    </row>
    <row r="263" spans="2:16" x14ac:dyDescent="0.25">
      <c r="C263" t="s">
        <v>1362</v>
      </c>
      <c r="K263" s="20"/>
    </row>
    <row r="264" spans="2:16" x14ac:dyDescent="0.25">
      <c r="C264" t="s">
        <v>1362</v>
      </c>
      <c r="E264" s="20"/>
      <c r="K264" s="20"/>
    </row>
    <row r="265" spans="2:16" x14ac:dyDescent="0.25">
      <c r="B265" t="s">
        <v>559</v>
      </c>
      <c r="E265" s="20"/>
      <c r="F265" s="20"/>
      <c r="G265" s="20"/>
      <c r="H265" s="20"/>
      <c r="I265" s="20"/>
      <c r="J265" s="20"/>
      <c r="K265" s="20"/>
    </row>
    <row r="266" spans="2:16" x14ac:dyDescent="0.25">
      <c r="B266" t="s">
        <v>1517</v>
      </c>
      <c r="F266" s="20"/>
      <c r="G266" s="20"/>
      <c r="H266" s="20"/>
      <c r="I266" s="20"/>
      <c r="J266" s="20"/>
      <c r="K266" s="20"/>
    </row>
    <row r="267" spans="2:16" x14ac:dyDescent="0.25">
      <c r="B267" t="s">
        <v>558</v>
      </c>
      <c r="K267" s="20"/>
    </row>
    <row r="268" spans="2:16" x14ac:dyDescent="0.25">
      <c r="C268" t="s">
        <v>2244</v>
      </c>
      <c r="K268" s="20"/>
    </row>
    <row r="269" spans="2:16" x14ac:dyDescent="0.25">
      <c r="C269" t="s">
        <v>2245</v>
      </c>
      <c r="E269" s="20"/>
      <c r="K269" s="20"/>
    </row>
    <row r="270" spans="2:16" x14ac:dyDescent="0.25">
      <c r="E270" s="20"/>
      <c r="F270" s="20"/>
      <c r="G270" s="20"/>
      <c r="H270" s="20"/>
      <c r="I270" s="20"/>
      <c r="J270" s="20"/>
      <c r="K270" s="20"/>
    </row>
    <row r="271" spans="2:16" x14ac:dyDescent="0.25">
      <c r="C271" t="s">
        <v>1354</v>
      </c>
      <c r="F271" s="20"/>
      <c r="G271" s="20"/>
      <c r="H271" s="20"/>
      <c r="I271" s="20"/>
      <c r="J271" s="20"/>
      <c r="K271" s="20"/>
    </row>
    <row r="272" spans="2:16" x14ac:dyDescent="0.25">
      <c r="C272" t="s">
        <v>1355</v>
      </c>
      <c r="K272" s="20"/>
    </row>
    <row r="273" spans="2:11" x14ac:dyDescent="0.25">
      <c r="K273" s="20"/>
    </row>
    <row r="274" spans="2:11" x14ac:dyDescent="0.25">
      <c r="C274" t="s">
        <v>1518</v>
      </c>
      <c r="E274" s="20"/>
      <c r="K274" s="20"/>
    </row>
    <row r="275" spans="2:11" x14ac:dyDescent="0.25">
      <c r="C275" t="s">
        <v>1519</v>
      </c>
      <c r="E275" s="20"/>
      <c r="F275" s="20"/>
      <c r="G275" s="20"/>
      <c r="H275" s="20"/>
      <c r="I275" s="20"/>
      <c r="J275" s="20"/>
      <c r="K275" s="20"/>
    </row>
    <row r="276" spans="2:11" x14ac:dyDescent="0.25">
      <c r="F276" s="20"/>
      <c r="G276" s="20"/>
      <c r="H276" s="20"/>
      <c r="I276" s="20"/>
      <c r="J276" s="20"/>
      <c r="K276" s="20"/>
    </row>
    <row r="277" spans="2:11" x14ac:dyDescent="0.25">
      <c r="C277" t="s">
        <v>1520</v>
      </c>
      <c r="K277" s="20"/>
    </row>
    <row r="278" spans="2:11" x14ac:dyDescent="0.25">
      <c r="C278" t="s">
        <v>1521</v>
      </c>
      <c r="K278" s="20"/>
    </row>
    <row r="279" spans="2:11" x14ac:dyDescent="0.25">
      <c r="E279" s="20"/>
      <c r="K279" s="20"/>
    </row>
    <row r="280" spans="2:11" x14ac:dyDescent="0.25">
      <c r="C280" t="s">
        <v>1522</v>
      </c>
      <c r="E280" s="20"/>
      <c r="K280" s="20"/>
    </row>
    <row r="281" spans="2:11" x14ac:dyDescent="0.25">
      <c r="C281" t="s">
        <v>1523</v>
      </c>
      <c r="K281" s="20"/>
    </row>
    <row r="282" spans="2:11" x14ac:dyDescent="0.25">
      <c r="K282" s="20"/>
    </row>
    <row r="283" spans="2:11" x14ac:dyDescent="0.25">
      <c r="C283" t="s">
        <v>1362</v>
      </c>
      <c r="K283" s="20"/>
    </row>
    <row r="284" spans="2:11" x14ac:dyDescent="0.25">
      <c r="C284" t="s">
        <v>1362</v>
      </c>
      <c r="K284" s="20"/>
    </row>
    <row r="285" spans="2:11" x14ac:dyDescent="0.25">
      <c r="C285" t="s">
        <v>1362</v>
      </c>
      <c r="K285" s="20"/>
    </row>
    <row r="286" spans="2:11" x14ac:dyDescent="0.25">
      <c r="B286" t="s">
        <v>559</v>
      </c>
      <c r="K286" s="20"/>
    </row>
    <row r="287" spans="2:11" x14ac:dyDescent="0.25">
      <c r="B287" t="s">
        <v>1514</v>
      </c>
      <c r="K287" s="20"/>
    </row>
    <row r="288" spans="2:11" x14ac:dyDescent="0.25">
      <c r="B288" t="s">
        <v>558</v>
      </c>
      <c r="K288" s="20"/>
    </row>
    <row r="289" spans="2:11" x14ac:dyDescent="0.25">
      <c r="C289" t="s">
        <v>2101</v>
      </c>
      <c r="K289" s="20"/>
    </row>
    <row r="290" spans="2:11" x14ac:dyDescent="0.25">
      <c r="C290" t="s">
        <v>2102</v>
      </c>
      <c r="K290" s="20"/>
    </row>
    <row r="291" spans="2:11" x14ac:dyDescent="0.25">
      <c r="K291" s="20"/>
    </row>
    <row r="292" spans="2:11" x14ac:dyDescent="0.25">
      <c r="C292" t="s">
        <v>1365</v>
      </c>
      <c r="K292" s="20"/>
    </row>
    <row r="293" spans="2:11" x14ac:dyDescent="0.25">
      <c r="C293" t="s">
        <v>1366</v>
      </c>
      <c r="K293" s="20"/>
    </row>
    <row r="294" spans="2:11" x14ac:dyDescent="0.25">
      <c r="K294" s="20"/>
    </row>
    <row r="295" spans="2:11" x14ac:dyDescent="0.25">
      <c r="C295" t="s">
        <v>1515</v>
      </c>
      <c r="K295" s="20"/>
    </row>
    <row r="296" spans="2:11" x14ac:dyDescent="0.25">
      <c r="C296" t="s">
        <v>1516</v>
      </c>
      <c r="K296" s="20"/>
    </row>
    <row r="297" spans="2:11" x14ac:dyDescent="0.25">
      <c r="K297" s="20"/>
    </row>
    <row r="298" spans="2:11" x14ac:dyDescent="0.25">
      <c r="C298" t="s">
        <v>1362</v>
      </c>
      <c r="K298" s="20"/>
    </row>
    <row r="299" spans="2:11" x14ac:dyDescent="0.25">
      <c r="C299" t="s">
        <v>1362</v>
      </c>
      <c r="K299" s="20"/>
    </row>
    <row r="300" spans="2:11" x14ac:dyDescent="0.25">
      <c r="C300" t="s">
        <v>1362</v>
      </c>
      <c r="K300" s="20"/>
    </row>
    <row r="301" spans="2:11" x14ac:dyDescent="0.25">
      <c r="B301" t="s">
        <v>559</v>
      </c>
      <c r="K301" s="20"/>
    </row>
    <row r="302" spans="2:11" x14ac:dyDescent="0.25">
      <c r="B302" t="s">
        <v>1957</v>
      </c>
      <c r="K302" s="20"/>
    </row>
    <row r="303" spans="2:11" x14ac:dyDescent="0.25">
      <c r="B303" t="s">
        <v>558</v>
      </c>
      <c r="K303" s="20"/>
    </row>
    <row r="304" spans="2:11" x14ac:dyDescent="0.25">
      <c r="C304" t="s">
        <v>2103</v>
      </c>
      <c r="K304" s="20"/>
    </row>
    <row r="305" spans="3:11" x14ac:dyDescent="0.25">
      <c r="C305" t="s">
        <v>2104</v>
      </c>
      <c r="K305" s="20"/>
    </row>
    <row r="306" spans="3:11" x14ac:dyDescent="0.25">
      <c r="K306" s="20"/>
    </row>
    <row r="307" spans="3:11" x14ac:dyDescent="0.25">
      <c r="C307" t="s">
        <v>1454</v>
      </c>
      <c r="K307" s="20"/>
    </row>
    <row r="308" spans="3:11" x14ac:dyDescent="0.25">
      <c r="C308" t="s">
        <v>1455</v>
      </c>
      <c r="K308" s="20"/>
    </row>
    <row r="309" spans="3:11" x14ac:dyDescent="0.25">
      <c r="K309" s="20"/>
    </row>
    <row r="310" spans="3:11" x14ac:dyDescent="0.25">
      <c r="C310" t="s">
        <v>1958</v>
      </c>
      <c r="K310" s="20"/>
    </row>
    <row r="311" spans="3:11" x14ac:dyDescent="0.25">
      <c r="C311" t="s">
        <v>1959</v>
      </c>
      <c r="K311" s="20"/>
    </row>
    <row r="312" spans="3:11" x14ac:dyDescent="0.25">
      <c r="K312" s="20"/>
    </row>
    <row r="313" spans="3:11" x14ac:dyDescent="0.25">
      <c r="C313" t="s">
        <v>1960</v>
      </c>
      <c r="K313" s="20"/>
    </row>
    <row r="314" spans="3:11" x14ac:dyDescent="0.25">
      <c r="C314" t="s">
        <v>1961</v>
      </c>
      <c r="K314" s="20"/>
    </row>
    <row r="315" spans="3:11" x14ac:dyDescent="0.25">
      <c r="K315" s="20"/>
    </row>
    <row r="316" spans="3:11" x14ac:dyDescent="0.25">
      <c r="C316" t="s">
        <v>1962</v>
      </c>
      <c r="K316" s="20"/>
    </row>
    <row r="317" spans="3:11" x14ac:dyDescent="0.25">
      <c r="C317" t="s">
        <v>1963</v>
      </c>
      <c r="K317" s="20"/>
    </row>
    <row r="318" spans="3:11" x14ac:dyDescent="0.25">
      <c r="K318" s="20"/>
    </row>
    <row r="319" spans="3:11" x14ac:dyDescent="0.25">
      <c r="C319" t="s">
        <v>1362</v>
      </c>
      <c r="K319" s="20"/>
    </row>
    <row r="320" spans="3:11" x14ac:dyDescent="0.25">
      <c r="C320" t="s">
        <v>1362</v>
      </c>
      <c r="K320" s="20"/>
    </row>
    <row r="321" spans="2:11" x14ac:dyDescent="0.25">
      <c r="C321" t="s">
        <v>1362</v>
      </c>
      <c r="K321" s="20"/>
    </row>
    <row r="322" spans="2:11" x14ac:dyDescent="0.25">
      <c r="B322" t="s">
        <v>559</v>
      </c>
      <c r="K322" s="20"/>
    </row>
    <row r="323" spans="2:11" x14ac:dyDescent="0.25">
      <c r="B323" t="s">
        <v>1635</v>
      </c>
      <c r="K323" s="20"/>
    </row>
    <row r="324" spans="2:11" x14ac:dyDescent="0.25">
      <c r="B324" t="s">
        <v>558</v>
      </c>
      <c r="K324" s="20"/>
    </row>
    <row r="325" spans="2:11" x14ac:dyDescent="0.25">
      <c r="C325" t="s">
        <v>2105</v>
      </c>
      <c r="K325" s="20"/>
    </row>
    <row r="326" spans="2:11" x14ac:dyDescent="0.25">
      <c r="C326" t="s">
        <v>2106</v>
      </c>
      <c r="K326" s="20"/>
    </row>
    <row r="327" spans="2:11" x14ac:dyDescent="0.25">
      <c r="K327" s="20"/>
    </row>
    <row r="328" spans="2:11" x14ac:dyDescent="0.25">
      <c r="C328" t="s">
        <v>1473</v>
      </c>
      <c r="K328" s="20"/>
    </row>
    <row r="329" spans="2:11" x14ac:dyDescent="0.25">
      <c r="C329" t="s">
        <v>1474</v>
      </c>
      <c r="K329" s="20"/>
    </row>
    <row r="331" spans="2:11" x14ac:dyDescent="0.25">
      <c r="C331" t="s">
        <v>1636</v>
      </c>
    </row>
    <row r="332" spans="2:11" x14ac:dyDescent="0.25">
      <c r="C332" t="s">
        <v>1637</v>
      </c>
    </row>
    <row r="334" spans="2:11" x14ac:dyDescent="0.25">
      <c r="C334" t="s">
        <v>1638</v>
      </c>
    </row>
    <row r="335" spans="2:11" x14ac:dyDescent="0.25">
      <c r="C335" t="s">
        <v>1639</v>
      </c>
    </row>
    <row r="337" spans="2:3" x14ac:dyDescent="0.25">
      <c r="C337" t="s">
        <v>1640</v>
      </c>
    </row>
    <row r="338" spans="2:3" x14ac:dyDescent="0.25">
      <c r="C338" t="s">
        <v>1641</v>
      </c>
    </row>
    <row r="340" spans="2:3" x14ac:dyDescent="0.25">
      <c r="C340" t="s">
        <v>1362</v>
      </c>
    </row>
    <row r="341" spans="2:3" x14ac:dyDescent="0.25">
      <c r="C341" t="s">
        <v>1362</v>
      </c>
    </row>
    <row r="342" spans="2:3" x14ac:dyDescent="0.25">
      <c r="C342" t="s">
        <v>1362</v>
      </c>
    </row>
    <row r="343" spans="2:3" x14ac:dyDescent="0.25">
      <c r="B343" t="s">
        <v>559</v>
      </c>
    </row>
    <row r="344" spans="2:3" x14ac:dyDescent="0.25">
      <c r="B344" t="s">
        <v>1581</v>
      </c>
    </row>
    <row r="345" spans="2:3" x14ac:dyDescent="0.25">
      <c r="B345" t="s">
        <v>558</v>
      </c>
    </row>
    <row r="346" spans="2:3" x14ac:dyDescent="0.25">
      <c r="C346" t="s">
        <v>2107</v>
      </c>
    </row>
    <row r="347" spans="2:3" x14ac:dyDescent="0.25">
      <c r="C347" t="s">
        <v>2108</v>
      </c>
    </row>
    <row r="349" spans="2:3" x14ac:dyDescent="0.25">
      <c r="C349" t="s">
        <v>1475</v>
      </c>
    </row>
    <row r="350" spans="2:3" x14ac:dyDescent="0.25">
      <c r="C350" t="s">
        <v>1476</v>
      </c>
    </row>
    <row r="352" spans="2:3" x14ac:dyDescent="0.25">
      <c r="C352" t="s">
        <v>1582</v>
      </c>
    </row>
    <row r="353" spans="2:3" x14ac:dyDescent="0.25">
      <c r="C353" t="s">
        <v>1583</v>
      </c>
    </row>
    <row r="355" spans="2:3" x14ac:dyDescent="0.25">
      <c r="C355" t="s">
        <v>1362</v>
      </c>
    </row>
    <row r="356" spans="2:3" x14ac:dyDescent="0.25">
      <c r="C356" t="s">
        <v>1362</v>
      </c>
    </row>
    <row r="357" spans="2:3" x14ac:dyDescent="0.25">
      <c r="C357" t="s">
        <v>1362</v>
      </c>
    </row>
    <row r="358" spans="2:3" x14ac:dyDescent="0.25">
      <c r="B358" t="s">
        <v>559</v>
      </c>
    </row>
    <row r="359" spans="2:3" x14ac:dyDescent="0.25">
      <c r="B359" t="s">
        <v>1624</v>
      </c>
    </row>
    <row r="360" spans="2:3" x14ac:dyDescent="0.25">
      <c r="B360" t="s">
        <v>558</v>
      </c>
    </row>
    <row r="361" spans="2:3" x14ac:dyDescent="0.25">
      <c r="C361" t="s">
        <v>2109</v>
      </c>
    </row>
    <row r="362" spans="2:3" x14ac:dyDescent="0.25">
      <c r="C362" t="s">
        <v>2110</v>
      </c>
    </row>
    <row r="364" spans="2:3" x14ac:dyDescent="0.25">
      <c r="C364" t="s">
        <v>1454</v>
      </c>
    </row>
    <row r="365" spans="2:3" x14ac:dyDescent="0.25">
      <c r="C365" t="s">
        <v>1455</v>
      </c>
    </row>
    <row r="367" spans="2:3" x14ac:dyDescent="0.25">
      <c r="C367" t="s">
        <v>1625</v>
      </c>
    </row>
    <row r="368" spans="2:3" x14ac:dyDescent="0.25">
      <c r="C368" t="s">
        <v>1626</v>
      </c>
    </row>
    <row r="370" spans="2:3" x14ac:dyDescent="0.25">
      <c r="C370" t="s">
        <v>1362</v>
      </c>
    </row>
    <row r="371" spans="2:3" x14ac:dyDescent="0.25">
      <c r="C371" t="s">
        <v>1362</v>
      </c>
    </row>
    <row r="372" spans="2:3" x14ac:dyDescent="0.25">
      <c r="C372" t="s">
        <v>1362</v>
      </c>
    </row>
    <row r="373" spans="2:3" x14ac:dyDescent="0.25">
      <c r="B373" t="s">
        <v>559</v>
      </c>
    </row>
    <row r="374" spans="2:3" x14ac:dyDescent="0.25">
      <c r="B374" t="s">
        <v>1610</v>
      </c>
    </row>
    <row r="375" spans="2:3" x14ac:dyDescent="0.25">
      <c r="B375" t="s">
        <v>558</v>
      </c>
    </row>
    <row r="376" spans="2:3" x14ac:dyDescent="0.25">
      <c r="C376" t="s">
        <v>2111</v>
      </c>
    </row>
    <row r="377" spans="2:3" x14ac:dyDescent="0.25">
      <c r="C377" t="s">
        <v>2112</v>
      </c>
    </row>
    <row r="379" spans="2:3" x14ac:dyDescent="0.25">
      <c r="C379" t="s">
        <v>1414</v>
      </c>
    </row>
    <row r="380" spans="2:3" x14ac:dyDescent="0.25">
      <c r="C380" t="s">
        <v>1415</v>
      </c>
    </row>
    <row r="382" spans="2:3" x14ac:dyDescent="0.25">
      <c r="C382" t="s">
        <v>1611</v>
      </c>
    </row>
    <row r="383" spans="2:3" x14ac:dyDescent="0.25">
      <c r="C383" t="s">
        <v>1612</v>
      </c>
    </row>
    <row r="385" spans="2:3" x14ac:dyDescent="0.25">
      <c r="C385" t="s">
        <v>1613</v>
      </c>
    </row>
    <row r="386" spans="2:3" x14ac:dyDescent="0.25">
      <c r="C386" t="s">
        <v>1614</v>
      </c>
    </row>
    <row r="388" spans="2:3" x14ac:dyDescent="0.25">
      <c r="C388" t="s">
        <v>1615</v>
      </c>
    </row>
    <row r="389" spans="2:3" x14ac:dyDescent="0.25">
      <c r="C389" t="s">
        <v>1616</v>
      </c>
    </row>
    <row r="391" spans="2:3" x14ac:dyDescent="0.25">
      <c r="C391" t="s">
        <v>1362</v>
      </c>
    </row>
    <row r="392" spans="2:3" x14ac:dyDescent="0.25">
      <c r="C392" t="s">
        <v>1362</v>
      </c>
    </row>
    <row r="393" spans="2:3" x14ac:dyDescent="0.25">
      <c r="C393" t="s">
        <v>1362</v>
      </c>
    </row>
    <row r="394" spans="2:3" x14ac:dyDescent="0.25">
      <c r="B394" t="s">
        <v>559</v>
      </c>
    </row>
    <row r="395" spans="2:3" x14ac:dyDescent="0.25">
      <c r="B395" t="s">
        <v>1524</v>
      </c>
    </row>
    <row r="396" spans="2:3" x14ac:dyDescent="0.25">
      <c r="B396" t="s">
        <v>558</v>
      </c>
    </row>
    <row r="397" spans="2:3" x14ac:dyDescent="0.25">
      <c r="C397" t="s">
        <v>2113</v>
      </c>
    </row>
    <row r="398" spans="2:3" x14ac:dyDescent="0.25">
      <c r="C398" t="s">
        <v>2114</v>
      </c>
    </row>
    <row r="400" spans="2:3" x14ac:dyDescent="0.25">
      <c r="C400" t="s">
        <v>1442</v>
      </c>
    </row>
    <row r="401" spans="2:3" x14ac:dyDescent="0.25">
      <c r="C401" t="s">
        <v>1443</v>
      </c>
    </row>
    <row r="403" spans="2:3" x14ac:dyDescent="0.25">
      <c r="C403" t="s">
        <v>1525</v>
      </c>
    </row>
    <row r="404" spans="2:3" x14ac:dyDescent="0.25">
      <c r="C404" t="s">
        <v>1526</v>
      </c>
    </row>
    <row r="406" spans="2:3" x14ac:dyDescent="0.25">
      <c r="C406" t="s">
        <v>1527</v>
      </c>
    </row>
    <row r="407" spans="2:3" x14ac:dyDescent="0.25">
      <c r="C407" t="s">
        <v>1528</v>
      </c>
    </row>
    <row r="409" spans="2:3" x14ac:dyDescent="0.25">
      <c r="C409" t="s">
        <v>1529</v>
      </c>
    </row>
    <row r="410" spans="2:3" x14ac:dyDescent="0.25">
      <c r="C410" t="s">
        <v>1530</v>
      </c>
    </row>
    <row r="412" spans="2:3" x14ac:dyDescent="0.25">
      <c r="C412" t="s">
        <v>1362</v>
      </c>
    </row>
    <row r="413" spans="2:3" x14ac:dyDescent="0.25">
      <c r="C413" t="s">
        <v>1362</v>
      </c>
    </row>
    <row r="414" spans="2:3" x14ac:dyDescent="0.25">
      <c r="C414" t="s">
        <v>1362</v>
      </c>
    </row>
    <row r="415" spans="2:3" x14ac:dyDescent="0.25">
      <c r="B415" t="s">
        <v>559</v>
      </c>
    </row>
    <row r="416" spans="2:3" x14ac:dyDescent="0.25">
      <c r="B416" t="s">
        <v>1597</v>
      </c>
    </row>
    <row r="417" spans="2:3" x14ac:dyDescent="0.25">
      <c r="B417" t="s">
        <v>558</v>
      </c>
    </row>
    <row r="418" spans="2:3" x14ac:dyDescent="0.25">
      <c r="C418" t="s">
        <v>2117</v>
      </c>
    </row>
    <row r="419" spans="2:3" x14ac:dyDescent="0.25">
      <c r="C419" t="s">
        <v>2118</v>
      </c>
    </row>
    <row r="421" spans="2:3" x14ac:dyDescent="0.25">
      <c r="C421" t="s">
        <v>1365</v>
      </c>
    </row>
    <row r="422" spans="2:3" x14ac:dyDescent="0.25">
      <c r="C422" t="s">
        <v>1366</v>
      </c>
    </row>
    <row r="424" spans="2:3" x14ac:dyDescent="0.25">
      <c r="C424" t="s">
        <v>1598</v>
      </c>
    </row>
    <row r="425" spans="2:3" x14ac:dyDescent="0.25">
      <c r="C425" t="s">
        <v>1599</v>
      </c>
    </row>
    <row r="427" spans="2:3" x14ac:dyDescent="0.25">
      <c r="C427" t="s">
        <v>1600</v>
      </c>
    </row>
    <row r="428" spans="2:3" x14ac:dyDescent="0.25">
      <c r="C428" t="s">
        <v>1601</v>
      </c>
    </row>
    <row r="430" spans="2:3" x14ac:dyDescent="0.25">
      <c r="C430" t="s">
        <v>1602</v>
      </c>
    </row>
    <row r="431" spans="2:3" x14ac:dyDescent="0.25">
      <c r="C431" t="s">
        <v>1603</v>
      </c>
    </row>
    <row r="433" spans="2:3" x14ac:dyDescent="0.25">
      <c r="C433" t="s">
        <v>1362</v>
      </c>
    </row>
    <row r="434" spans="2:3" x14ac:dyDescent="0.25">
      <c r="C434" t="s">
        <v>1362</v>
      </c>
    </row>
    <row r="435" spans="2:3" x14ac:dyDescent="0.25">
      <c r="C435" t="s">
        <v>1362</v>
      </c>
    </row>
    <row r="436" spans="2:3" x14ac:dyDescent="0.25">
      <c r="B436" t="s">
        <v>559</v>
      </c>
    </row>
    <row r="437" spans="2:3" x14ac:dyDescent="0.25">
      <c r="B437" t="s">
        <v>1482</v>
      </c>
    </row>
    <row r="438" spans="2:3" x14ac:dyDescent="0.25">
      <c r="B438" t="s">
        <v>558</v>
      </c>
    </row>
    <row r="439" spans="2:3" x14ac:dyDescent="0.25">
      <c r="C439" t="s">
        <v>2119</v>
      </c>
    </row>
    <row r="440" spans="2:3" x14ac:dyDescent="0.25">
      <c r="C440" t="s">
        <v>2120</v>
      </c>
    </row>
    <row r="442" spans="2:3" x14ac:dyDescent="0.25">
      <c r="C442" t="s">
        <v>1442</v>
      </c>
    </row>
    <row r="443" spans="2:3" x14ac:dyDescent="0.25">
      <c r="C443" t="s">
        <v>1443</v>
      </c>
    </row>
    <row r="445" spans="2:3" x14ac:dyDescent="0.25">
      <c r="C445" t="s">
        <v>1483</v>
      </c>
    </row>
    <row r="446" spans="2:3" x14ac:dyDescent="0.25">
      <c r="C446" t="s">
        <v>1484</v>
      </c>
    </row>
    <row r="448" spans="2:3" x14ac:dyDescent="0.25">
      <c r="C448" t="s">
        <v>1362</v>
      </c>
    </row>
    <row r="449" spans="2:3" x14ac:dyDescent="0.25">
      <c r="C449" t="s">
        <v>1362</v>
      </c>
    </row>
    <row r="450" spans="2:3" x14ac:dyDescent="0.25">
      <c r="C450" t="s">
        <v>1362</v>
      </c>
    </row>
    <row r="451" spans="2:3" x14ac:dyDescent="0.25">
      <c r="B451" t="s">
        <v>559</v>
      </c>
    </row>
    <row r="452" spans="2:3" x14ac:dyDescent="0.25">
      <c r="B452" t="s">
        <v>1453</v>
      </c>
    </row>
    <row r="453" spans="2:3" x14ac:dyDescent="0.25">
      <c r="B453" t="s">
        <v>558</v>
      </c>
    </row>
    <row r="454" spans="2:3" x14ac:dyDescent="0.25">
      <c r="C454" t="s">
        <v>2299</v>
      </c>
    </row>
    <row r="455" spans="2:3" x14ac:dyDescent="0.25">
      <c r="C455" t="s">
        <v>2300</v>
      </c>
    </row>
    <row r="457" spans="2:3" x14ac:dyDescent="0.25">
      <c r="C457" t="s">
        <v>1454</v>
      </c>
    </row>
    <row r="458" spans="2:3" x14ac:dyDescent="0.25">
      <c r="C458" t="s">
        <v>1455</v>
      </c>
    </row>
    <row r="460" spans="2:3" x14ac:dyDescent="0.25">
      <c r="C460" t="s">
        <v>1456</v>
      </c>
    </row>
    <row r="461" spans="2:3" x14ac:dyDescent="0.25">
      <c r="C461" t="s">
        <v>1457</v>
      </c>
    </row>
    <row r="463" spans="2:3" x14ac:dyDescent="0.25">
      <c r="C463" t="s">
        <v>1458</v>
      </c>
    </row>
    <row r="464" spans="2:3" x14ac:dyDescent="0.25">
      <c r="C464" t="s">
        <v>1459</v>
      </c>
    </row>
    <row r="466" spans="2:3" x14ac:dyDescent="0.25">
      <c r="C466" t="s">
        <v>1460</v>
      </c>
    </row>
    <row r="467" spans="2:3" x14ac:dyDescent="0.25">
      <c r="C467" t="s">
        <v>1461</v>
      </c>
    </row>
    <row r="469" spans="2:3" x14ac:dyDescent="0.25">
      <c r="C469" t="s">
        <v>1362</v>
      </c>
    </row>
    <row r="470" spans="2:3" x14ac:dyDescent="0.25">
      <c r="C470" t="s">
        <v>1362</v>
      </c>
    </row>
    <row r="471" spans="2:3" x14ac:dyDescent="0.25">
      <c r="C471" t="s">
        <v>1362</v>
      </c>
    </row>
    <row r="472" spans="2:3" x14ac:dyDescent="0.25">
      <c r="B472" t="s">
        <v>559</v>
      </c>
    </row>
    <row r="473" spans="2:3" x14ac:dyDescent="0.25">
      <c r="B473" t="s">
        <v>1693</v>
      </c>
    </row>
    <row r="474" spans="2:3" x14ac:dyDescent="0.25">
      <c r="B474" t="s">
        <v>558</v>
      </c>
    </row>
    <row r="475" spans="2:3" x14ac:dyDescent="0.25">
      <c r="C475" t="s">
        <v>2121</v>
      </c>
    </row>
    <row r="476" spans="2:3" x14ac:dyDescent="0.25">
      <c r="C476" t="s">
        <v>2122</v>
      </c>
    </row>
    <row r="478" spans="2:3" x14ac:dyDescent="0.25">
      <c r="C478" t="s">
        <v>1414</v>
      </c>
    </row>
    <row r="479" spans="2:3" x14ac:dyDescent="0.25">
      <c r="C479" t="s">
        <v>1415</v>
      </c>
    </row>
    <row r="481" spans="2:4" x14ac:dyDescent="0.25">
      <c r="C481" t="s">
        <v>1694</v>
      </c>
    </row>
    <row r="482" spans="2:4" x14ac:dyDescent="0.25">
      <c r="C482" t="s">
        <v>1695</v>
      </c>
    </row>
    <row r="484" spans="2:4" x14ac:dyDescent="0.25">
      <c r="C484" t="s">
        <v>1362</v>
      </c>
    </row>
    <row r="485" spans="2:4" x14ac:dyDescent="0.25">
      <c r="C485" t="s">
        <v>1362</v>
      </c>
    </row>
    <row r="486" spans="2:4" x14ac:dyDescent="0.25">
      <c r="C486" t="s">
        <v>1362</v>
      </c>
    </row>
    <row r="487" spans="2:4" x14ac:dyDescent="0.25">
      <c r="C487" t="s">
        <v>823</v>
      </c>
    </row>
    <row r="488" spans="2:4" x14ac:dyDescent="0.25">
      <c r="C488" t="s">
        <v>558</v>
      </c>
    </row>
    <row r="489" spans="2:4" x14ac:dyDescent="0.25">
      <c r="D489" t="s">
        <v>2326</v>
      </c>
    </row>
    <row r="490" spans="2:4" x14ac:dyDescent="0.25">
      <c r="D490" t="s">
        <v>2073</v>
      </c>
    </row>
    <row r="491" spans="2:4" x14ac:dyDescent="0.25">
      <c r="D491" t="s">
        <v>2072</v>
      </c>
    </row>
    <row r="492" spans="2:4" x14ac:dyDescent="0.25">
      <c r="C492" t="s">
        <v>559</v>
      </c>
    </row>
    <row r="493" spans="2:4" x14ac:dyDescent="0.25">
      <c r="B493" t="s">
        <v>559</v>
      </c>
    </row>
    <row r="494" spans="2:4" x14ac:dyDescent="0.25">
      <c r="B494" t="s">
        <v>1541</v>
      </c>
    </row>
    <row r="495" spans="2:4" x14ac:dyDescent="0.25">
      <c r="B495" t="s">
        <v>558</v>
      </c>
    </row>
    <row r="496" spans="2:4" x14ac:dyDescent="0.25">
      <c r="C496" t="s">
        <v>2336</v>
      </c>
    </row>
    <row r="497" spans="3:3" x14ac:dyDescent="0.25">
      <c r="C497" t="s">
        <v>2337</v>
      </c>
    </row>
    <row r="499" spans="3:3" x14ac:dyDescent="0.25">
      <c r="C499" t="s">
        <v>1542</v>
      </c>
    </row>
    <row r="500" spans="3:3" x14ac:dyDescent="0.25">
      <c r="C500" t="s">
        <v>816</v>
      </c>
    </row>
    <row r="502" spans="3:3" x14ac:dyDescent="0.25">
      <c r="C502" t="s">
        <v>1543</v>
      </c>
    </row>
    <row r="503" spans="3:3" x14ac:dyDescent="0.25">
      <c r="C503" t="s">
        <v>1544</v>
      </c>
    </row>
    <row r="505" spans="3:3" x14ac:dyDescent="0.25">
      <c r="C505" t="s">
        <v>1545</v>
      </c>
    </row>
    <row r="506" spans="3:3" x14ac:dyDescent="0.25">
      <c r="C506" t="s">
        <v>1546</v>
      </c>
    </row>
    <row r="508" spans="3:3" x14ac:dyDescent="0.25">
      <c r="C508" t="s">
        <v>1547</v>
      </c>
    </row>
    <row r="509" spans="3:3" x14ac:dyDescent="0.25">
      <c r="C509" t="s">
        <v>1548</v>
      </c>
    </row>
    <row r="511" spans="3:3" x14ac:dyDescent="0.25">
      <c r="C511" t="s">
        <v>1362</v>
      </c>
    </row>
    <row r="512" spans="3:3" x14ac:dyDescent="0.25">
      <c r="C512" t="s">
        <v>1362</v>
      </c>
    </row>
    <row r="513" spans="2:3" x14ac:dyDescent="0.25">
      <c r="C513" t="s">
        <v>1362</v>
      </c>
    </row>
    <row r="514" spans="2:3" x14ac:dyDescent="0.25">
      <c r="B514" t="s">
        <v>559</v>
      </c>
    </row>
    <row r="515" spans="2:3" x14ac:dyDescent="0.25">
      <c r="B515" t="s">
        <v>1645</v>
      </c>
    </row>
    <row r="516" spans="2:3" x14ac:dyDescent="0.25">
      <c r="B516" t="s">
        <v>558</v>
      </c>
    </row>
    <row r="517" spans="2:3" x14ac:dyDescent="0.25">
      <c r="C517" t="s">
        <v>2123</v>
      </c>
    </row>
    <row r="518" spans="2:3" x14ac:dyDescent="0.25">
      <c r="C518" t="s">
        <v>2124</v>
      </c>
    </row>
    <row r="520" spans="2:3" x14ac:dyDescent="0.25">
      <c r="C520" t="s">
        <v>1473</v>
      </c>
    </row>
    <row r="521" spans="2:3" x14ac:dyDescent="0.25">
      <c r="C521" t="s">
        <v>1474</v>
      </c>
    </row>
    <row r="523" spans="2:3" x14ac:dyDescent="0.25">
      <c r="C523" t="s">
        <v>1646</v>
      </c>
    </row>
    <row r="524" spans="2:3" x14ac:dyDescent="0.25">
      <c r="C524" t="s">
        <v>1647</v>
      </c>
    </row>
    <row r="526" spans="2:3" x14ac:dyDescent="0.25">
      <c r="C526" t="s">
        <v>1362</v>
      </c>
    </row>
    <row r="527" spans="2:3" x14ac:dyDescent="0.25">
      <c r="C527" t="s">
        <v>1362</v>
      </c>
    </row>
    <row r="528" spans="2:3" x14ac:dyDescent="0.25">
      <c r="C528" t="s">
        <v>1362</v>
      </c>
    </row>
    <row r="529" spans="2:3" x14ac:dyDescent="0.25">
      <c r="B529" t="s">
        <v>559</v>
      </c>
    </row>
    <row r="530" spans="2:3" x14ac:dyDescent="0.25">
      <c r="B530" t="s">
        <v>811</v>
      </c>
    </row>
    <row r="531" spans="2:3" x14ac:dyDescent="0.25">
      <c r="B531" t="s">
        <v>558</v>
      </c>
    </row>
    <row r="532" spans="2:3" x14ac:dyDescent="0.25">
      <c r="C532" t="s">
        <v>2246</v>
      </c>
    </row>
    <row r="533" spans="2:3" x14ac:dyDescent="0.25">
      <c r="C533" t="s">
        <v>2247</v>
      </c>
    </row>
    <row r="535" spans="2:3" x14ac:dyDescent="0.25">
      <c r="C535" t="s">
        <v>1454</v>
      </c>
    </row>
    <row r="536" spans="2:3" x14ac:dyDescent="0.25">
      <c r="C536" t="s">
        <v>1455</v>
      </c>
    </row>
    <row r="538" spans="2:3" x14ac:dyDescent="0.25">
      <c r="C538" t="s">
        <v>1559</v>
      </c>
    </row>
    <row r="539" spans="2:3" x14ac:dyDescent="0.25">
      <c r="C539" t="s">
        <v>1560</v>
      </c>
    </row>
    <row r="541" spans="2:3" x14ac:dyDescent="0.25">
      <c r="C541" t="s">
        <v>1362</v>
      </c>
    </row>
    <row r="542" spans="2:3" x14ac:dyDescent="0.25">
      <c r="C542" t="s">
        <v>1362</v>
      </c>
    </row>
    <row r="543" spans="2:3" x14ac:dyDescent="0.25">
      <c r="C543" t="s">
        <v>1362</v>
      </c>
    </row>
    <row r="544" spans="2:3" x14ac:dyDescent="0.25">
      <c r="B544" t="s">
        <v>559</v>
      </c>
    </row>
    <row r="545" spans="2:3" x14ac:dyDescent="0.25">
      <c r="B545" t="s">
        <v>1574</v>
      </c>
    </row>
    <row r="546" spans="2:3" x14ac:dyDescent="0.25">
      <c r="B546" t="s">
        <v>558</v>
      </c>
    </row>
    <row r="547" spans="2:3" x14ac:dyDescent="0.25">
      <c r="C547" t="s">
        <v>2248</v>
      </c>
    </row>
    <row r="548" spans="2:3" x14ac:dyDescent="0.25">
      <c r="C548" t="s">
        <v>2249</v>
      </c>
    </row>
    <row r="550" spans="2:3" x14ac:dyDescent="0.25">
      <c r="C550" t="s">
        <v>1509</v>
      </c>
    </row>
    <row r="551" spans="2:3" x14ac:dyDescent="0.25">
      <c r="C551" t="s">
        <v>1510</v>
      </c>
    </row>
    <row r="553" spans="2:3" x14ac:dyDescent="0.25">
      <c r="C553" t="s">
        <v>1575</v>
      </c>
    </row>
    <row r="554" spans="2:3" x14ac:dyDescent="0.25">
      <c r="C554" t="s">
        <v>1576</v>
      </c>
    </row>
    <row r="556" spans="2:3" x14ac:dyDescent="0.25">
      <c r="C556" t="s">
        <v>1577</v>
      </c>
    </row>
    <row r="557" spans="2:3" x14ac:dyDescent="0.25">
      <c r="C557" t="s">
        <v>1578</v>
      </c>
    </row>
    <row r="559" spans="2:3" x14ac:dyDescent="0.25">
      <c r="C559" t="s">
        <v>1579</v>
      </c>
    </row>
    <row r="560" spans="2:3" x14ac:dyDescent="0.25">
      <c r="C560" t="s">
        <v>1580</v>
      </c>
    </row>
    <row r="562" spans="2:3" x14ac:dyDescent="0.25">
      <c r="C562" t="s">
        <v>1362</v>
      </c>
    </row>
    <row r="563" spans="2:3" x14ac:dyDescent="0.25">
      <c r="C563" t="s">
        <v>1362</v>
      </c>
    </row>
    <row r="564" spans="2:3" x14ac:dyDescent="0.25">
      <c r="C564" t="s">
        <v>1362</v>
      </c>
    </row>
    <row r="565" spans="2:3" x14ac:dyDescent="0.25">
      <c r="B565" t="s">
        <v>559</v>
      </c>
    </row>
    <row r="566" spans="2:3" x14ac:dyDescent="0.25">
      <c r="B566" t="s">
        <v>1477</v>
      </c>
    </row>
    <row r="567" spans="2:3" x14ac:dyDescent="0.25">
      <c r="B567" t="s">
        <v>558</v>
      </c>
    </row>
    <row r="568" spans="2:3" x14ac:dyDescent="0.25">
      <c r="C568" t="s">
        <v>2250</v>
      </c>
    </row>
    <row r="569" spans="2:3" x14ac:dyDescent="0.25">
      <c r="C569" t="s">
        <v>2251</v>
      </c>
    </row>
    <row r="571" spans="2:3" x14ac:dyDescent="0.25">
      <c r="C571" t="s">
        <v>1478</v>
      </c>
    </row>
    <row r="572" spans="2:3" x14ac:dyDescent="0.25">
      <c r="C572" t="s">
        <v>1479</v>
      </c>
    </row>
    <row r="574" spans="2:3" x14ac:dyDescent="0.25">
      <c r="C574" t="s">
        <v>1480</v>
      </c>
    </row>
    <row r="575" spans="2:3" x14ac:dyDescent="0.25">
      <c r="C575" t="s">
        <v>1481</v>
      </c>
    </row>
    <row r="577" spans="2:3" x14ac:dyDescent="0.25">
      <c r="C577" t="s">
        <v>1362</v>
      </c>
    </row>
    <row r="578" spans="2:3" x14ac:dyDescent="0.25">
      <c r="C578" t="s">
        <v>1362</v>
      </c>
    </row>
    <row r="579" spans="2:3" x14ac:dyDescent="0.25">
      <c r="C579" t="s">
        <v>1362</v>
      </c>
    </row>
    <row r="580" spans="2:3" x14ac:dyDescent="0.25">
      <c r="B580" t="s">
        <v>559</v>
      </c>
    </row>
    <row r="581" spans="2:3" x14ac:dyDescent="0.25">
      <c r="B581" t="s">
        <v>1964</v>
      </c>
    </row>
    <row r="582" spans="2:3" x14ac:dyDescent="0.25">
      <c r="B582" t="s">
        <v>558</v>
      </c>
    </row>
    <row r="583" spans="2:3" x14ac:dyDescent="0.25">
      <c r="C583" t="s">
        <v>2301</v>
      </c>
    </row>
    <row r="584" spans="2:3" x14ac:dyDescent="0.25">
      <c r="C584" t="s">
        <v>2302</v>
      </c>
    </row>
    <row r="586" spans="2:3" x14ac:dyDescent="0.25">
      <c r="C586" t="s">
        <v>1542</v>
      </c>
    </row>
    <row r="587" spans="2:3" x14ac:dyDescent="0.25">
      <c r="C587" t="s">
        <v>816</v>
      </c>
    </row>
    <row r="589" spans="2:3" x14ac:dyDescent="0.25">
      <c r="C589" t="s">
        <v>1965</v>
      </c>
    </row>
    <row r="590" spans="2:3" x14ac:dyDescent="0.25">
      <c r="C590" t="s">
        <v>1966</v>
      </c>
    </row>
    <row r="592" spans="2:3" x14ac:dyDescent="0.25">
      <c r="C592" t="s">
        <v>1967</v>
      </c>
    </row>
    <row r="593" spans="2:4" x14ac:dyDescent="0.25">
      <c r="C593" t="s">
        <v>1968</v>
      </c>
    </row>
    <row r="595" spans="2:4" x14ac:dyDescent="0.25">
      <c r="C595" t="s">
        <v>1969</v>
      </c>
    </row>
    <row r="596" spans="2:4" x14ac:dyDescent="0.25">
      <c r="C596" t="s">
        <v>1970</v>
      </c>
    </row>
    <row r="598" spans="2:4" x14ac:dyDescent="0.25">
      <c r="C598" t="s">
        <v>1362</v>
      </c>
    </row>
    <row r="599" spans="2:4" x14ac:dyDescent="0.25">
      <c r="C599" t="s">
        <v>1362</v>
      </c>
    </row>
    <row r="600" spans="2:4" x14ac:dyDescent="0.25">
      <c r="C600" t="s">
        <v>1362</v>
      </c>
    </row>
    <row r="601" spans="2:4" x14ac:dyDescent="0.25">
      <c r="C601" t="s">
        <v>823</v>
      </c>
    </row>
    <row r="602" spans="2:4" x14ac:dyDescent="0.25">
      <c r="C602" t="s">
        <v>558</v>
      </c>
    </row>
    <row r="603" spans="2:4" x14ac:dyDescent="0.25">
      <c r="D603" t="s">
        <v>2298</v>
      </c>
    </row>
    <row r="604" spans="2:4" x14ac:dyDescent="0.25">
      <c r="D604" t="s">
        <v>2071</v>
      </c>
    </row>
    <row r="605" spans="2:4" x14ac:dyDescent="0.25">
      <c r="D605" t="s">
        <v>2072</v>
      </c>
    </row>
    <row r="606" spans="2:4" x14ac:dyDescent="0.25">
      <c r="C606" t="s">
        <v>559</v>
      </c>
    </row>
    <row r="607" spans="2:4" x14ac:dyDescent="0.25">
      <c r="B607" t="s">
        <v>559</v>
      </c>
    </row>
    <row r="608" spans="2:4" x14ac:dyDescent="0.25">
      <c r="B608" t="s">
        <v>1971</v>
      </c>
    </row>
    <row r="609" spans="2:3" x14ac:dyDescent="0.25">
      <c r="B609" t="s">
        <v>558</v>
      </c>
    </row>
    <row r="610" spans="2:3" x14ac:dyDescent="0.25">
      <c r="C610" t="s">
        <v>2115</v>
      </c>
    </row>
    <row r="611" spans="2:3" x14ac:dyDescent="0.25">
      <c r="C611" t="s">
        <v>2116</v>
      </c>
    </row>
    <row r="613" spans="2:3" x14ac:dyDescent="0.25">
      <c r="C613" t="s">
        <v>1395</v>
      </c>
    </row>
    <row r="614" spans="2:3" x14ac:dyDescent="0.25">
      <c r="C614" t="s">
        <v>1396</v>
      </c>
    </row>
    <row r="616" spans="2:3" x14ac:dyDescent="0.25">
      <c r="C616" t="s">
        <v>1972</v>
      </c>
    </row>
    <row r="617" spans="2:3" x14ac:dyDescent="0.25">
      <c r="C617" t="s">
        <v>1973</v>
      </c>
    </row>
    <row r="619" spans="2:3" x14ac:dyDescent="0.25">
      <c r="C619" t="s">
        <v>1362</v>
      </c>
    </row>
    <row r="620" spans="2:3" x14ac:dyDescent="0.25">
      <c r="C620" t="s">
        <v>1362</v>
      </c>
    </row>
    <row r="621" spans="2:3" x14ac:dyDescent="0.25">
      <c r="C621" t="s">
        <v>1362</v>
      </c>
    </row>
    <row r="622" spans="2:3" x14ac:dyDescent="0.25">
      <c r="B622" t="s">
        <v>559</v>
      </c>
    </row>
    <row r="623" spans="2:3" x14ac:dyDescent="0.25">
      <c r="B623" t="s">
        <v>1353</v>
      </c>
    </row>
    <row r="624" spans="2:3" x14ac:dyDescent="0.25">
      <c r="B624" t="s">
        <v>558</v>
      </c>
    </row>
    <row r="625" spans="3:3" x14ac:dyDescent="0.25">
      <c r="C625" t="s">
        <v>2182</v>
      </c>
    </row>
    <row r="626" spans="3:3" x14ac:dyDescent="0.25">
      <c r="C626" t="s">
        <v>2183</v>
      </c>
    </row>
    <row r="628" spans="3:3" x14ac:dyDescent="0.25">
      <c r="C628" t="s">
        <v>1354</v>
      </c>
    </row>
    <row r="629" spans="3:3" x14ac:dyDescent="0.25">
      <c r="C629" t="s">
        <v>1355</v>
      </c>
    </row>
    <row r="631" spans="3:3" x14ac:dyDescent="0.25">
      <c r="C631" t="s">
        <v>1356</v>
      </c>
    </row>
    <row r="632" spans="3:3" x14ac:dyDescent="0.25">
      <c r="C632" t="s">
        <v>1357</v>
      </c>
    </row>
    <row r="634" spans="3:3" x14ac:dyDescent="0.25">
      <c r="C634" t="s">
        <v>1358</v>
      </c>
    </row>
    <row r="635" spans="3:3" x14ac:dyDescent="0.25">
      <c r="C635" t="s">
        <v>1359</v>
      </c>
    </row>
    <row r="637" spans="3:3" x14ac:dyDescent="0.25">
      <c r="C637" t="s">
        <v>1360</v>
      </c>
    </row>
    <row r="638" spans="3:3" x14ac:dyDescent="0.25">
      <c r="C638" t="s">
        <v>1361</v>
      </c>
    </row>
    <row r="640" spans="3:3" x14ac:dyDescent="0.25">
      <c r="C640" t="s">
        <v>1362</v>
      </c>
    </row>
    <row r="641" spans="2:4" x14ac:dyDescent="0.25">
      <c r="C641" t="s">
        <v>1362</v>
      </c>
    </row>
    <row r="642" spans="2:4" x14ac:dyDescent="0.25">
      <c r="C642" t="s">
        <v>1362</v>
      </c>
    </row>
    <row r="643" spans="2:4" x14ac:dyDescent="0.25">
      <c r="C643" t="s">
        <v>823</v>
      </c>
    </row>
    <row r="644" spans="2:4" x14ac:dyDescent="0.25">
      <c r="C644" t="s">
        <v>558</v>
      </c>
    </row>
    <row r="645" spans="2:4" x14ac:dyDescent="0.25">
      <c r="D645" t="s">
        <v>1363</v>
      </c>
    </row>
    <row r="646" spans="2:4" x14ac:dyDescent="0.25">
      <c r="D646" t="s">
        <v>2071</v>
      </c>
    </row>
    <row r="647" spans="2:4" x14ac:dyDescent="0.25">
      <c r="D647" t="s">
        <v>2072</v>
      </c>
    </row>
    <row r="648" spans="2:4" x14ac:dyDescent="0.25">
      <c r="C648" t="s">
        <v>559</v>
      </c>
    </row>
    <row r="649" spans="2:4" x14ac:dyDescent="0.25">
      <c r="B649" t="s">
        <v>559</v>
      </c>
    </row>
    <row r="650" spans="2:4" x14ac:dyDescent="0.25">
      <c r="B650" t="s">
        <v>1364</v>
      </c>
    </row>
    <row r="651" spans="2:4" x14ac:dyDescent="0.25">
      <c r="B651" t="s">
        <v>558</v>
      </c>
    </row>
    <row r="652" spans="2:4" x14ac:dyDescent="0.25">
      <c r="C652" t="s">
        <v>2206</v>
      </c>
    </row>
    <row r="653" spans="2:4" x14ac:dyDescent="0.25">
      <c r="C653" t="s">
        <v>2207</v>
      </c>
    </row>
    <row r="655" spans="2:4" x14ac:dyDescent="0.25">
      <c r="C655" t="s">
        <v>1365</v>
      </c>
    </row>
    <row r="656" spans="2:4" x14ac:dyDescent="0.25">
      <c r="C656" t="s">
        <v>1366</v>
      </c>
    </row>
    <row r="658" spans="3:4" x14ac:dyDescent="0.25">
      <c r="C658" t="s">
        <v>1367</v>
      </c>
    </row>
    <row r="659" spans="3:4" x14ac:dyDescent="0.25">
      <c r="C659" t="s">
        <v>1368</v>
      </c>
    </row>
    <row r="661" spans="3:4" x14ac:dyDescent="0.25">
      <c r="C661" t="s">
        <v>1369</v>
      </c>
    </row>
    <row r="662" spans="3:4" x14ac:dyDescent="0.25">
      <c r="C662" t="s">
        <v>1370</v>
      </c>
    </row>
    <row r="664" spans="3:4" x14ac:dyDescent="0.25">
      <c r="C664" t="s">
        <v>1371</v>
      </c>
    </row>
    <row r="665" spans="3:4" x14ac:dyDescent="0.25">
      <c r="C665" t="s">
        <v>1372</v>
      </c>
    </row>
    <row r="667" spans="3:4" x14ac:dyDescent="0.25">
      <c r="C667" t="s">
        <v>1362</v>
      </c>
    </row>
    <row r="668" spans="3:4" x14ac:dyDescent="0.25">
      <c r="C668" t="s">
        <v>1362</v>
      </c>
    </row>
    <row r="669" spans="3:4" x14ac:dyDescent="0.25">
      <c r="C669" t="s">
        <v>1362</v>
      </c>
    </row>
    <row r="670" spans="3:4" x14ac:dyDescent="0.25">
      <c r="C670" t="s">
        <v>823</v>
      </c>
    </row>
    <row r="671" spans="3:4" x14ac:dyDescent="0.25">
      <c r="C671" t="s">
        <v>558</v>
      </c>
    </row>
    <row r="672" spans="3:4" x14ac:dyDescent="0.25">
      <c r="D672" t="s">
        <v>1373</v>
      </c>
    </row>
    <row r="673" spans="2:4" x14ac:dyDescent="0.25">
      <c r="D673" t="s">
        <v>2071</v>
      </c>
    </row>
    <row r="674" spans="2:4" x14ac:dyDescent="0.25">
      <c r="D674" t="s">
        <v>2072</v>
      </c>
    </row>
    <row r="675" spans="2:4" x14ac:dyDescent="0.25">
      <c r="C675" t="s">
        <v>559</v>
      </c>
    </row>
    <row r="676" spans="2:4" x14ac:dyDescent="0.25">
      <c r="B676" t="s">
        <v>559</v>
      </c>
    </row>
    <row r="677" spans="2:4" x14ac:dyDescent="0.25">
      <c r="B677" t="s">
        <v>1384</v>
      </c>
    </row>
    <row r="678" spans="2:4" x14ac:dyDescent="0.25">
      <c r="B678" t="s">
        <v>558</v>
      </c>
    </row>
    <row r="679" spans="2:4" x14ac:dyDescent="0.25">
      <c r="C679" t="s">
        <v>2208</v>
      </c>
    </row>
    <row r="680" spans="2:4" x14ac:dyDescent="0.25">
      <c r="C680" t="s">
        <v>2209</v>
      </c>
    </row>
    <row r="682" spans="2:4" x14ac:dyDescent="0.25">
      <c r="C682" t="s">
        <v>1385</v>
      </c>
    </row>
    <row r="683" spans="2:4" x14ac:dyDescent="0.25">
      <c r="C683" t="s">
        <v>1386</v>
      </c>
    </row>
    <row r="685" spans="2:4" x14ac:dyDescent="0.25">
      <c r="C685" t="s">
        <v>1387</v>
      </c>
    </row>
    <row r="686" spans="2:4" x14ac:dyDescent="0.25">
      <c r="C686" t="s">
        <v>1388</v>
      </c>
    </row>
    <row r="688" spans="2:4" x14ac:dyDescent="0.25">
      <c r="C688" t="s">
        <v>1389</v>
      </c>
    </row>
    <row r="689" spans="2:4" x14ac:dyDescent="0.25">
      <c r="C689" t="s">
        <v>1390</v>
      </c>
    </row>
    <row r="691" spans="2:4" x14ac:dyDescent="0.25">
      <c r="C691" t="s">
        <v>1391</v>
      </c>
    </row>
    <row r="692" spans="2:4" x14ac:dyDescent="0.25">
      <c r="C692" t="s">
        <v>1392</v>
      </c>
    </row>
    <row r="694" spans="2:4" x14ac:dyDescent="0.25">
      <c r="C694" t="s">
        <v>1362</v>
      </c>
    </row>
    <row r="695" spans="2:4" x14ac:dyDescent="0.25">
      <c r="C695" t="s">
        <v>1362</v>
      </c>
    </row>
    <row r="696" spans="2:4" x14ac:dyDescent="0.25">
      <c r="C696" t="s">
        <v>1362</v>
      </c>
    </row>
    <row r="697" spans="2:4" x14ac:dyDescent="0.25">
      <c r="C697" t="s">
        <v>823</v>
      </c>
    </row>
    <row r="698" spans="2:4" x14ac:dyDescent="0.25">
      <c r="C698" t="s">
        <v>558</v>
      </c>
    </row>
    <row r="699" spans="2:4" x14ac:dyDescent="0.25">
      <c r="D699" t="s">
        <v>1393</v>
      </c>
    </row>
    <row r="700" spans="2:4" x14ac:dyDescent="0.25">
      <c r="D700" t="s">
        <v>2071</v>
      </c>
    </row>
    <row r="701" spans="2:4" x14ac:dyDescent="0.25">
      <c r="D701" t="s">
        <v>2072</v>
      </c>
    </row>
    <row r="702" spans="2:4" x14ac:dyDescent="0.25">
      <c r="C702" t="s">
        <v>559</v>
      </c>
    </row>
    <row r="703" spans="2:4" x14ac:dyDescent="0.25">
      <c r="B703" t="s">
        <v>559</v>
      </c>
    </row>
    <row r="704" spans="2:4" x14ac:dyDescent="0.25">
      <c r="B704" t="s">
        <v>1394</v>
      </c>
    </row>
    <row r="705" spans="2:3" x14ac:dyDescent="0.25">
      <c r="B705" t="s">
        <v>558</v>
      </c>
    </row>
    <row r="706" spans="2:3" x14ac:dyDescent="0.25">
      <c r="C706" t="s">
        <v>2210</v>
      </c>
    </row>
    <row r="707" spans="2:3" x14ac:dyDescent="0.25">
      <c r="C707" t="s">
        <v>2211</v>
      </c>
    </row>
    <row r="709" spans="2:3" x14ac:dyDescent="0.25">
      <c r="C709" t="s">
        <v>1395</v>
      </c>
    </row>
    <row r="710" spans="2:3" x14ac:dyDescent="0.25">
      <c r="C710" t="s">
        <v>1396</v>
      </c>
    </row>
    <row r="712" spans="2:3" x14ac:dyDescent="0.25">
      <c r="C712" t="s">
        <v>1397</v>
      </c>
    </row>
    <row r="713" spans="2:3" x14ac:dyDescent="0.25">
      <c r="C713" t="s">
        <v>1398</v>
      </c>
    </row>
    <row r="715" spans="2:3" x14ac:dyDescent="0.25">
      <c r="C715" t="s">
        <v>1399</v>
      </c>
    </row>
    <row r="716" spans="2:3" x14ac:dyDescent="0.25">
      <c r="C716" t="s">
        <v>1400</v>
      </c>
    </row>
    <row r="718" spans="2:3" x14ac:dyDescent="0.25">
      <c r="C718" t="s">
        <v>1401</v>
      </c>
    </row>
    <row r="719" spans="2:3" x14ac:dyDescent="0.25">
      <c r="C719" t="s">
        <v>1402</v>
      </c>
    </row>
    <row r="721" spans="2:4" x14ac:dyDescent="0.25">
      <c r="C721" t="s">
        <v>1362</v>
      </c>
    </row>
    <row r="722" spans="2:4" x14ac:dyDescent="0.25">
      <c r="C722" t="s">
        <v>1362</v>
      </c>
    </row>
    <row r="723" spans="2:4" x14ac:dyDescent="0.25">
      <c r="C723" t="s">
        <v>1362</v>
      </c>
    </row>
    <row r="724" spans="2:4" x14ac:dyDescent="0.25">
      <c r="C724" t="s">
        <v>823</v>
      </c>
    </row>
    <row r="725" spans="2:4" x14ac:dyDescent="0.25">
      <c r="C725" t="s">
        <v>558</v>
      </c>
    </row>
    <row r="726" spans="2:4" x14ac:dyDescent="0.25">
      <c r="D726" t="s">
        <v>1403</v>
      </c>
    </row>
    <row r="727" spans="2:4" x14ac:dyDescent="0.25">
      <c r="D727" t="s">
        <v>2071</v>
      </c>
    </row>
    <row r="728" spans="2:4" x14ac:dyDescent="0.25">
      <c r="D728" t="s">
        <v>2072</v>
      </c>
    </row>
    <row r="729" spans="2:4" x14ac:dyDescent="0.25">
      <c r="C729" t="s">
        <v>559</v>
      </c>
    </row>
    <row r="730" spans="2:4" x14ac:dyDescent="0.25">
      <c r="B730" t="s">
        <v>559</v>
      </c>
    </row>
    <row r="731" spans="2:4" x14ac:dyDescent="0.25">
      <c r="B731" t="s">
        <v>1413</v>
      </c>
    </row>
    <row r="732" spans="2:4" x14ac:dyDescent="0.25">
      <c r="B732" t="s">
        <v>558</v>
      </c>
    </row>
    <row r="733" spans="2:4" x14ac:dyDescent="0.25">
      <c r="C733" t="s">
        <v>2212</v>
      </c>
    </row>
    <row r="734" spans="2:4" x14ac:dyDescent="0.25">
      <c r="C734" t="s">
        <v>2213</v>
      </c>
    </row>
    <row r="736" spans="2:4" x14ac:dyDescent="0.25">
      <c r="C736" t="s">
        <v>1414</v>
      </c>
    </row>
    <row r="737" spans="3:3" x14ac:dyDescent="0.25">
      <c r="C737" t="s">
        <v>1415</v>
      </c>
    </row>
    <row r="739" spans="3:3" x14ac:dyDescent="0.25">
      <c r="C739" t="s">
        <v>1416</v>
      </c>
    </row>
    <row r="740" spans="3:3" x14ac:dyDescent="0.25">
      <c r="C740" t="s">
        <v>1417</v>
      </c>
    </row>
    <row r="742" spans="3:3" x14ac:dyDescent="0.25">
      <c r="C742" t="s">
        <v>1418</v>
      </c>
    </row>
    <row r="743" spans="3:3" x14ac:dyDescent="0.25">
      <c r="C743" t="s">
        <v>1419</v>
      </c>
    </row>
    <row r="745" spans="3:3" x14ac:dyDescent="0.25">
      <c r="C745" t="s">
        <v>1420</v>
      </c>
    </row>
    <row r="746" spans="3:3" x14ac:dyDescent="0.25">
      <c r="C746" t="s">
        <v>1421</v>
      </c>
    </row>
    <row r="748" spans="3:3" x14ac:dyDescent="0.25">
      <c r="C748" t="s">
        <v>1362</v>
      </c>
    </row>
    <row r="749" spans="3:3" x14ac:dyDescent="0.25">
      <c r="C749" t="s">
        <v>1362</v>
      </c>
    </row>
    <row r="750" spans="3:3" x14ac:dyDescent="0.25">
      <c r="C750" t="s">
        <v>1362</v>
      </c>
    </row>
    <row r="751" spans="3:3" x14ac:dyDescent="0.25">
      <c r="C751" t="s">
        <v>823</v>
      </c>
    </row>
    <row r="752" spans="3:3" x14ac:dyDescent="0.25">
      <c r="C752" t="s">
        <v>558</v>
      </c>
    </row>
    <row r="753" spans="2:4" x14ac:dyDescent="0.25">
      <c r="D753" t="s">
        <v>1422</v>
      </c>
    </row>
    <row r="754" spans="2:4" x14ac:dyDescent="0.25">
      <c r="D754" t="s">
        <v>2071</v>
      </c>
    </row>
    <row r="755" spans="2:4" x14ac:dyDescent="0.25">
      <c r="D755" t="s">
        <v>2072</v>
      </c>
    </row>
    <row r="756" spans="2:4" x14ac:dyDescent="0.25">
      <c r="C756" t="s">
        <v>559</v>
      </c>
    </row>
    <row r="757" spans="2:4" x14ac:dyDescent="0.25">
      <c r="B757" t="s">
        <v>559</v>
      </c>
    </row>
    <row r="758" spans="2:4" x14ac:dyDescent="0.25">
      <c r="B758" t="s">
        <v>1423</v>
      </c>
    </row>
    <row r="759" spans="2:4" x14ac:dyDescent="0.25">
      <c r="B759" t="s">
        <v>558</v>
      </c>
    </row>
    <row r="760" spans="2:4" x14ac:dyDescent="0.25">
      <c r="C760" t="s">
        <v>2214</v>
      </c>
    </row>
    <row r="761" spans="2:4" x14ac:dyDescent="0.25">
      <c r="C761" t="s">
        <v>2215</v>
      </c>
    </row>
    <row r="763" spans="2:4" x14ac:dyDescent="0.25">
      <c r="C763" t="s">
        <v>1424</v>
      </c>
    </row>
    <row r="764" spans="2:4" x14ac:dyDescent="0.25">
      <c r="C764" t="s">
        <v>1425</v>
      </c>
    </row>
    <row r="766" spans="2:4" x14ac:dyDescent="0.25">
      <c r="C766" t="s">
        <v>1426</v>
      </c>
    </row>
    <row r="767" spans="2:4" x14ac:dyDescent="0.25">
      <c r="C767" t="s">
        <v>1427</v>
      </c>
    </row>
    <row r="769" spans="2:4" x14ac:dyDescent="0.25">
      <c r="C769" t="s">
        <v>1428</v>
      </c>
    </row>
    <row r="770" spans="2:4" x14ac:dyDescent="0.25">
      <c r="C770" t="s">
        <v>1429</v>
      </c>
    </row>
    <row r="772" spans="2:4" x14ac:dyDescent="0.25">
      <c r="C772" t="s">
        <v>1430</v>
      </c>
    </row>
    <row r="773" spans="2:4" x14ac:dyDescent="0.25">
      <c r="C773" t="s">
        <v>1431</v>
      </c>
    </row>
    <row r="775" spans="2:4" x14ac:dyDescent="0.25">
      <c r="C775" t="s">
        <v>1362</v>
      </c>
    </row>
    <row r="776" spans="2:4" x14ac:dyDescent="0.25">
      <c r="C776" t="s">
        <v>1362</v>
      </c>
    </row>
    <row r="777" spans="2:4" x14ac:dyDescent="0.25">
      <c r="C777" t="s">
        <v>1362</v>
      </c>
    </row>
    <row r="778" spans="2:4" x14ac:dyDescent="0.25">
      <c r="C778" t="s">
        <v>823</v>
      </c>
    </row>
    <row r="779" spans="2:4" x14ac:dyDescent="0.25">
      <c r="C779" t="s">
        <v>558</v>
      </c>
    </row>
    <row r="780" spans="2:4" x14ac:dyDescent="0.25">
      <c r="D780" t="s">
        <v>1432</v>
      </c>
    </row>
    <row r="781" spans="2:4" x14ac:dyDescent="0.25">
      <c r="D781" t="s">
        <v>2071</v>
      </c>
    </row>
    <row r="782" spans="2:4" x14ac:dyDescent="0.25">
      <c r="D782" t="s">
        <v>2072</v>
      </c>
    </row>
    <row r="783" spans="2:4" x14ac:dyDescent="0.25">
      <c r="C783" t="s">
        <v>559</v>
      </c>
    </row>
    <row r="784" spans="2:4" x14ac:dyDescent="0.25">
      <c r="B784" t="s">
        <v>559</v>
      </c>
    </row>
    <row r="785" spans="2:3" x14ac:dyDescent="0.25">
      <c r="B785" t="s">
        <v>1446</v>
      </c>
    </row>
    <row r="786" spans="2:3" x14ac:dyDescent="0.25">
      <c r="B786" t="s">
        <v>558</v>
      </c>
    </row>
    <row r="787" spans="2:3" x14ac:dyDescent="0.25">
      <c r="C787" t="s">
        <v>2216</v>
      </c>
    </row>
    <row r="788" spans="2:3" x14ac:dyDescent="0.25">
      <c r="C788" t="s">
        <v>2217</v>
      </c>
    </row>
    <row r="790" spans="2:3" x14ac:dyDescent="0.25">
      <c r="C790" t="s">
        <v>1365</v>
      </c>
    </row>
    <row r="791" spans="2:3" x14ac:dyDescent="0.25">
      <c r="C791" t="s">
        <v>1366</v>
      </c>
    </row>
    <row r="793" spans="2:3" x14ac:dyDescent="0.25">
      <c r="C793" t="s">
        <v>1447</v>
      </c>
    </row>
    <row r="794" spans="2:3" x14ac:dyDescent="0.25">
      <c r="C794" t="s">
        <v>1448</v>
      </c>
    </row>
    <row r="796" spans="2:3" x14ac:dyDescent="0.25">
      <c r="C796" t="s">
        <v>1449</v>
      </c>
    </row>
    <row r="797" spans="2:3" x14ac:dyDescent="0.25">
      <c r="C797" t="s">
        <v>1450</v>
      </c>
    </row>
    <row r="799" spans="2:3" x14ac:dyDescent="0.25">
      <c r="C799" t="s">
        <v>1451</v>
      </c>
    </row>
    <row r="800" spans="2:3" x14ac:dyDescent="0.25">
      <c r="C800" t="s">
        <v>1452</v>
      </c>
    </row>
    <row r="802" spans="2:4" x14ac:dyDescent="0.25">
      <c r="C802" t="s">
        <v>1362</v>
      </c>
    </row>
    <row r="803" spans="2:4" x14ac:dyDescent="0.25">
      <c r="C803" t="s">
        <v>1362</v>
      </c>
    </row>
    <row r="804" spans="2:4" x14ac:dyDescent="0.25">
      <c r="C804" t="s">
        <v>1362</v>
      </c>
    </row>
    <row r="805" spans="2:4" x14ac:dyDescent="0.25">
      <c r="C805" t="s">
        <v>823</v>
      </c>
    </row>
    <row r="806" spans="2:4" x14ac:dyDescent="0.25">
      <c r="C806" t="s">
        <v>558</v>
      </c>
    </row>
    <row r="807" spans="2:4" x14ac:dyDescent="0.25">
      <c r="D807" t="s">
        <v>1373</v>
      </c>
    </row>
    <row r="808" spans="2:4" x14ac:dyDescent="0.25">
      <c r="D808" t="s">
        <v>2073</v>
      </c>
    </row>
    <row r="809" spans="2:4" x14ac:dyDescent="0.25">
      <c r="D809" t="s">
        <v>2072</v>
      </c>
    </row>
    <row r="810" spans="2:4" x14ac:dyDescent="0.25">
      <c r="C810" t="s">
        <v>559</v>
      </c>
    </row>
    <row r="811" spans="2:4" x14ac:dyDescent="0.25">
      <c r="B811" t="s">
        <v>559</v>
      </c>
    </row>
    <row r="812" spans="2:4" x14ac:dyDescent="0.25">
      <c r="B812" t="s">
        <v>1549</v>
      </c>
    </row>
    <row r="813" spans="2:4" x14ac:dyDescent="0.25">
      <c r="B813" t="s">
        <v>558</v>
      </c>
    </row>
    <row r="814" spans="2:4" x14ac:dyDescent="0.25">
      <c r="C814" t="s">
        <v>2125</v>
      </c>
    </row>
    <row r="815" spans="2:4" x14ac:dyDescent="0.25">
      <c r="C815" t="s">
        <v>2126</v>
      </c>
    </row>
    <row r="817" spans="2:3" x14ac:dyDescent="0.25">
      <c r="C817" t="s">
        <v>1550</v>
      </c>
    </row>
    <row r="818" spans="2:3" x14ac:dyDescent="0.25">
      <c r="C818" t="s">
        <v>1551</v>
      </c>
    </row>
    <row r="820" spans="2:3" x14ac:dyDescent="0.25">
      <c r="C820" t="s">
        <v>1552</v>
      </c>
    </row>
    <row r="821" spans="2:3" x14ac:dyDescent="0.25">
      <c r="C821" t="s">
        <v>1553</v>
      </c>
    </row>
    <row r="823" spans="2:3" x14ac:dyDescent="0.25">
      <c r="C823" t="s">
        <v>1554</v>
      </c>
    </row>
    <row r="824" spans="2:3" x14ac:dyDescent="0.25">
      <c r="C824" t="s">
        <v>1555</v>
      </c>
    </row>
    <row r="826" spans="2:3" x14ac:dyDescent="0.25">
      <c r="C826" t="s">
        <v>1556</v>
      </c>
    </row>
    <row r="827" spans="2:3" x14ac:dyDescent="0.25">
      <c r="C827" t="s">
        <v>1557</v>
      </c>
    </row>
    <row r="829" spans="2:3" x14ac:dyDescent="0.25">
      <c r="C829" t="s">
        <v>1362</v>
      </c>
    </row>
    <row r="830" spans="2:3" x14ac:dyDescent="0.25">
      <c r="C830" t="s">
        <v>1362</v>
      </c>
    </row>
    <row r="831" spans="2:3" x14ac:dyDescent="0.25">
      <c r="C831" t="s">
        <v>1362</v>
      </c>
    </row>
    <row r="832" spans="2:3" x14ac:dyDescent="0.25">
      <c r="B832" t="s">
        <v>559</v>
      </c>
    </row>
    <row r="833" spans="2:3" x14ac:dyDescent="0.25">
      <c r="B833" t="s">
        <v>817</v>
      </c>
    </row>
    <row r="834" spans="2:3" x14ac:dyDescent="0.25">
      <c r="B834" t="s">
        <v>558</v>
      </c>
    </row>
    <row r="835" spans="2:3" x14ac:dyDescent="0.25">
      <c r="C835" t="s">
        <v>2184</v>
      </c>
    </row>
    <row r="836" spans="2:3" x14ac:dyDescent="0.25">
      <c r="C836" t="s">
        <v>2185</v>
      </c>
    </row>
    <row r="838" spans="2:3" x14ac:dyDescent="0.25">
      <c r="C838" t="s">
        <v>1974</v>
      </c>
    </row>
    <row r="839" spans="2:3" x14ac:dyDescent="0.25">
      <c r="C839" t="s">
        <v>1975</v>
      </c>
    </row>
    <row r="841" spans="2:3" x14ac:dyDescent="0.25">
      <c r="C841" t="s">
        <v>1976</v>
      </c>
    </row>
    <row r="842" spans="2:3" x14ac:dyDescent="0.25">
      <c r="C842" t="s">
        <v>1977</v>
      </c>
    </row>
    <row r="844" spans="2:3" x14ac:dyDescent="0.25">
      <c r="C844" t="s">
        <v>1978</v>
      </c>
    </row>
    <row r="845" spans="2:3" x14ac:dyDescent="0.25">
      <c r="C845" t="s">
        <v>1979</v>
      </c>
    </row>
    <row r="847" spans="2:3" x14ac:dyDescent="0.25">
      <c r="C847" t="s">
        <v>1980</v>
      </c>
    </row>
    <row r="848" spans="2:3" x14ac:dyDescent="0.25">
      <c r="C848" t="s">
        <v>1981</v>
      </c>
    </row>
    <row r="850" spans="2:4" x14ac:dyDescent="0.25">
      <c r="C850" t="s">
        <v>1362</v>
      </c>
    </row>
    <row r="851" spans="2:4" x14ac:dyDescent="0.25">
      <c r="C851" t="s">
        <v>1362</v>
      </c>
    </row>
    <row r="852" spans="2:4" x14ac:dyDescent="0.25">
      <c r="C852" t="s">
        <v>1362</v>
      </c>
    </row>
    <row r="853" spans="2:4" x14ac:dyDescent="0.25">
      <c r="C853" t="s">
        <v>823</v>
      </c>
    </row>
    <row r="854" spans="2:4" x14ac:dyDescent="0.25">
      <c r="C854" t="s">
        <v>558</v>
      </c>
    </row>
    <row r="855" spans="2:4" x14ac:dyDescent="0.25">
      <c r="D855" t="s">
        <v>829</v>
      </c>
    </row>
    <row r="856" spans="2:4" x14ac:dyDescent="0.25">
      <c r="D856" t="s">
        <v>2073</v>
      </c>
    </row>
    <row r="857" spans="2:4" x14ac:dyDescent="0.25">
      <c r="D857" t="s">
        <v>2072</v>
      </c>
    </row>
    <row r="858" spans="2:4" x14ac:dyDescent="0.25">
      <c r="C858" t="s">
        <v>559</v>
      </c>
    </row>
    <row r="859" spans="2:4" x14ac:dyDescent="0.25">
      <c r="B859" t="s">
        <v>559</v>
      </c>
    </row>
    <row r="860" spans="2:4" x14ac:dyDescent="0.25">
      <c r="B860" t="s">
        <v>1648</v>
      </c>
    </row>
    <row r="861" spans="2:4" x14ac:dyDescent="0.25">
      <c r="B861" t="s">
        <v>558</v>
      </c>
    </row>
    <row r="862" spans="2:4" x14ac:dyDescent="0.25">
      <c r="C862" t="s">
        <v>2186</v>
      </c>
    </row>
    <row r="863" spans="2:4" x14ac:dyDescent="0.25">
      <c r="C863" t="s">
        <v>2187</v>
      </c>
    </row>
    <row r="865" spans="3:3" x14ac:dyDescent="0.25">
      <c r="C865" t="s">
        <v>1354</v>
      </c>
    </row>
    <row r="866" spans="3:3" x14ac:dyDescent="0.25">
      <c r="C866" t="s">
        <v>1355</v>
      </c>
    </row>
    <row r="868" spans="3:3" x14ac:dyDescent="0.25">
      <c r="C868" t="s">
        <v>1649</v>
      </c>
    </row>
    <row r="869" spans="3:3" x14ac:dyDescent="0.25">
      <c r="C869" t="s">
        <v>1650</v>
      </c>
    </row>
    <row r="871" spans="3:3" x14ac:dyDescent="0.25">
      <c r="C871" t="s">
        <v>1651</v>
      </c>
    </row>
    <row r="872" spans="3:3" x14ac:dyDescent="0.25">
      <c r="C872" t="s">
        <v>1652</v>
      </c>
    </row>
    <row r="874" spans="3:3" x14ac:dyDescent="0.25">
      <c r="C874" t="s">
        <v>1653</v>
      </c>
    </row>
    <row r="875" spans="3:3" x14ac:dyDescent="0.25">
      <c r="C875" t="s">
        <v>1654</v>
      </c>
    </row>
    <row r="877" spans="3:3" x14ac:dyDescent="0.25">
      <c r="C877" t="s">
        <v>1362</v>
      </c>
    </row>
    <row r="878" spans="3:3" x14ac:dyDescent="0.25">
      <c r="C878" t="s">
        <v>1362</v>
      </c>
    </row>
    <row r="879" spans="3:3" x14ac:dyDescent="0.25">
      <c r="C879" t="s">
        <v>1362</v>
      </c>
    </row>
    <row r="880" spans="3:3" x14ac:dyDescent="0.25">
      <c r="C880" t="s">
        <v>823</v>
      </c>
    </row>
    <row r="881" spans="2:4" x14ac:dyDescent="0.25">
      <c r="C881" t="s">
        <v>558</v>
      </c>
    </row>
    <row r="882" spans="2:4" x14ac:dyDescent="0.25">
      <c r="D882" t="s">
        <v>1494</v>
      </c>
    </row>
    <row r="883" spans="2:4" x14ac:dyDescent="0.25">
      <c r="D883" t="s">
        <v>2074</v>
      </c>
    </row>
    <row r="884" spans="2:4" x14ac:dyDescent="0.25">
      <c r="D884" t="s">
        <v>2236</v>
      </c>
    </row>
    <row r="885" spans="2:4" x14ac:dyDescent="0.25">
      <c r="C885" t="s">
        <v>559</v>
      </c>
    </row>
    <row r="886" spans="2:4" x14ac:dyDescent="0.25">
      <c r="B886" t="s">
        <v>559</v>
      </c>
    </row>
    <row r="887" spans="2:4" x14ac:dyDescent="0.25">
      <c r="B887" t="s">
        <v>1982</v>
      </c>
    </row>
    <row r="888" spans="2:4" x14ac:dyDescent="0.25">
      <c r="B888" t="s">
        <v>558</v>
      </c>
    </row>
    <row r="889" spans="2:4" x14ac:dyDescent="0.25">
      <c r="C889" t="s">
        <v>2239</v>
      </c>
    </row>
    <row r="890" spans="2:4" x14ac:dyDescent="0.25">
      <c r="C890" t="s">
        <v>2240</v>
      </c>
    </row>
    <row r="892" spans="2:4" x14ac:dyDescent="0.25">
      <c r="C892" t="s">
        <v>1454</v>
      </c>
    </row>
    <row r="893" spans="2:4" x14ac:dyDescent="0.25">
      <c r="C893" t="s">
        <v>1455</v>
      </c>
    </row>
    <row r="895" spans="2:4" x14ac:dyDescent="0.25">
      <c r="C895" t="s">
        <v>1983</v>
      </c>
    </row>
    <row r="896" spans="2:4" x14ac:dyDescent="0.25">
      <c r="C896" t="s">
        <v>1984</v>
      </c>
    </row>
    <row r="898" spans="3:4" x14ac:dyDescent="0.25">
      <c r="C898" t="s">
        <v>1362</v>
      </c>
    </row>
    <row r="899" spans="3:4" x14ac:dyDescent="0.25">
      <c r="C899" t="s">
        <v>1362</v>
      </c>
    </row>
    <row r="900" spans="3:4" x14ac:dyDescent="0.25">
      <c r="C900" t="s">
        <v>1362</v>
      </c>
    </row>
    <row r="901" spans="3:4" x14ac:dyDescent="0.25">
      <c r="C901" t="s">
        <v>823</v>
      </c>
    </row>
    <row r="902" spans="3:4" x14ac:dyDescent="0.25">
      <c r="C902" t="s">
        <v>558</v>
      </c>
    </row>
    <row r="903" spans="3:4" x14ac:dyDescent="0.25">
      <c r="D903" t="s">
        <v>1985</v>
      </c>
    </row>
    <row r="904" spans="3:4" x14ac:dyDescent="0.25">
      <c r="D904" t="s">
        <v>2073</v>
      </c>
    </row>
    <row r="905" spans="3:4" x14ac:dyDescent="0.25">
      <c r="D905" t="s">
        <v>2072</v>
      </c>
    </row>
    <row r="906" spans="3:4" x14ac:dyDescent="0.25">
      <c r="C906" t="s">
        <v>559</v>
      </c>
    </row>
    <row r="907" spans="3:4" x14ac:dyDescent="0.25">
      <c r="C907" t="s">
        <v>823</v>
      </c>
    </row>
    <row r="908" spans="3:4" x14ac:dyDescent="0.25">
      <c r="C908" t="s">
        <v>558</v>
      </c>
    </row>
    <row r="909" spans="3:4" x14ac:dyDescent="0.25">
      <c r="D909" t="s">
        <v>2229</v>
      </c>
    </row>
    <row r="910" spans="3:4" x14ac:dyDescent="0.25">
      <c r="D910" t="s">
        <v>2073</v>
      </c>
    </row>
    <row r="911" spans="3:4" x14ac:dyDescent="0.25">
      <c r="D911" t="s">
        <v>2075</v>
      </c>
    </row>
    <row r="912" spans="3:4" x14ac:dyDescent="0.25">
      <c r="C912" t="s">
        <v>559</v>
      </c>
    </row>
    <row r="913" spans="2:3" x14ac:dyDescent="0.25">
      <c r="B913" t="s">
        <v>559</v>
      </c>
    </row>
    <row r="914" spans="2:3" x14ac:dyDescent="0.25">
      <c r="B914" t="s">
        <v>1604</v>
      </c>
    </row>
    <row r="915" spans="2:3" x14ac:dyDescent="0.25">
      <c r="B915" t="s">
        <v>558</v>
      </c>
    </row>
    <row r="916" spans="2:3" x14ac:dyDescent="0.25">
      <c r="C916" t="s">
        <v>2220</v>
      </c>
    </row>
    <row r="917" spans="2:3" x14ac:dyDescent="0.25">
      <c r="C917" t="s">
        <v>2221</v>
      </c>
    </row>
    <row r="919" spans="2:3" x14ac:dyDescent="0.25">
      <c r="C919" t="s">
        <v>1542</v>
      </c>
    </row>
    <row r="920" spans="2:3" x14ac:dyDescent="0.25">
      <c r="C920" t="s">
        <v>816</v>
      </c>
    </row>
    <row r="922" spans="2:3" x14ac:dyDescent="0.25">
      <c r="C922" t="s">
        <v>1605</v>
      </c>
    </row>
    <row r="923" spans="2:3" x14ac:dyDescent="0.25">
      <c r="C923" t="s">
        <v>1606</v>
      </c>
    </row>
    <row r="925" spans="2:3" x14ac:dyDescent="0.25">
      <c r="C925" t="s">
        <v>1362</v>
      </c>
    </row>
    <row r="926" spans="2:3" x14ac:dyDescent="0.25">
      <c r="C926" t="s">
        <v>1362</v>
      </c>
    </row>
    <row r="927" spans="2:3" x14ac:dyDescent="0.25">
      <c r="C927" t="s">
        <v>1362</v>
      </c>
    </row>
    <row r="928" spans="2:3" x14ac:dyDescent="0.25">
      <c r="C928" t="s">
        <v>823</v>
      </c>
    </row>
    <row r="929" spans="2:4" x14ac:dyDescent="0.25">
      <c r="C929" t="s">
        <v>558</v>
      </c>
    </row>
    <row r="930" spans="2:4" x14ac:dyDescent="0.25">
      <c r="D930" t="s">
        <v>1363</v>
      </c>
    </row>
    <row r="931" spans="2:4" x14ac:dyDescent="0.25">
      <c r="D931" t="s">
        <v>2073</v>
      </c>
    </row>
    <row r="932" spans="2:4" x14ac:dyDescent="0.25">
      <c r="D932" t="s">
        <v>2072</v>
      </c>
    </row>
    <row r="933" spans="2:4" x14ac:dyDescent="0.25">
      <c r="C933" t="s">
        <v>559</v>
      </c>
    </row>
    <row r="934" spans="2:4" x14ac:dyDescent="0.25">
      <c r="B934" t="s">
        <v>559</v>
      </c>
    </row>
    <row r="935" spans="2:4" x14ac:dyDescent="0.25">
      <c r="B935" t="s">
        <v>1485</v>
      </c>
    </row>
    <row r="936" spans="2:4" x14ac:dyDescent="0.25">
      <c r="B936" t="s">
        <v>558</v>
      </c>
    </row>
    <row r="937" spans="2:4" x14ac:dyDescent="0.25">
      <c r="C937" t="s">
        <v>2188</v>
      </c>
    </row>
    <row r="938" spans="2:4" x14ac:dyDescent="0.25">
      <c r="C938" t="s">
        <v>2189</v>
      </c>
    </row>
    <row r="940" spans="2:4" x14ac:dyDescent="0.25">
      <c r="C940" t="s">
        <v>1486</v>
      </c>
    </row>
    <row r="941" spans="2:4" x14ac:dyDescent="0.25">
      <c r="C941" t="s">
        <v>1487</v>
      </c>
    </row>
    <row r="943" spans="2:4" x14ac:dyDescent="0.25">
      <c r="C943" t="s">
        <v>1488</v>
      </c>
    </row>
    <row r="944" spans="2:4" x14ac:dyDescent="0.25">
      <c r="C944" t="s">
        <v>1489</v>
      </c>
    </row>
    <row r="946" spans="3:4" x14ac:dyDescent="0.25">
      <c r="C946" t="s">
        <v>1490</v>
      </c>
    </row>
    <row r="947" spans="3:4" x14ac:dyDescent="0.25">
      <c r="C947" t="s">
        <v>1491</v>
      </c>
    </row>
    <row r="949" spans="3:4" x14ac:dyDescent="0.25">
      <c r="C949" t="s">
        <v>1492</v>
      </c>
    </row>
    <row r="950" spans="3:4" x14ac:dyDescent="0.25">
      <c r="C950" t="s">
        <v>1493</v>
      </c>
    </row>
    <row r="952" spans="3:4" x14ac:dyDescent="0.25">
      <c r="C952" t="s">
        <v>1362</v>
      </c>
    </row>
    <row r="953" spans="3:4" x14ac:dyDescent="0.25">
      <c r="C953" t="s">
        <v>1362</v>
      </c>
    </row>
    <row r="954" spans="3:4" x14ac:dyDescent="0.25">
      <c r="C954" t="s">
        <v>1362</v>
      </c>
    </row>
    <row r="955" spans="3:4" x14ac:dyDescent="0.25">
      <c r="C955" t="s">
        <v>823</v>
      </c>
    </row>
    <row r="956" spans="3:4" x14ac:dyDescent="0.25">
      <c r="C956" t="s">
        <v>558</v>
      </c>
    </row>
    <row r="957" spans="3:4" x14ac:dyDescent="0.25">
      <c r="D957" t="s">
        <v>1494</v>
      </c>
    </row>
    <row r="958" spans="3:4" x14ac:dyDescent="0.25">
      <c r="D958" t="s">
        <v>2073</v>
      </c>
    </row>
    <row r="959" spans="3:4" x14ac:dyDescent="0.25">
      <c r="D959" t="s">
        <v>2072</v>
      </c>
    </row>
    <row r="960" spans="3:4" x14ac:dyDescent="0.25">
      <c r="C960" t="s">
        <v>559</v>
      </c>
    </row>
    <row r="961" spans="2:3" x14ac:dyDescent="0.25">
      <c r="B961" t="s">
        <v>559</v>
      </c>
    </row>
    <row r="962" spans="2:3" x14ac:dyDescent="0.25">
      <c r="B962" t="s">
        <v>1627</v>
      </c>
    </row>
    <row r="963" spans="2:3" x14ac:dyDescent="0.25">
      <c r="B963" t="s">
        <v>558</v>
      </c>
    </row>
    <row r="964" spans="2:3" x14ac:dyDescent="0.25">
      <c r="C964" t="s">
        <v>2190</v>
      </c>
    </row>
    <row r="965" spans="2:3" x14ac:dyDescent="0.25">
      <c r="C965" t="s">
        <v>2191</v>
      </c>
    </row>
    <row r="967" spans="2:3" x14ac:dyDescent="0.25">
      <c r="C967" t="s">
        <v>1509</v>
      </c>
    </row>
    <row r="968" spans="2:3" x14ac:dyDescent="0.25">
      <c r="C968" t="s">
        <v>1510</v>
      </c>
    </row>
    <row r="970" spans="2:3" x14ac:dyDescent="0.25">
      <c r="C970" t="s">
        <v>1628</v>
      </c>
    </row>
    <row r="971" spans="2:3" x14ac:dyDescent="0.25">
      <c r="C971" t="s">
        <v>1629</v>
      </c>
    </row>
    <row r="973" spans="2:3" x14ac:dyDescent="0.25">
      <c r="C973" t="s">
        <v>1630</v>
      </c>
    </row>
    <row r="974" spans="2:3" x14ac:dyDescent="0.25">
      <c r="C974" t="s">
        <v>1631</v>
      </c>
    </row>
    <row r="976" spans="2:3" x14ac:dyDescent="0.25">
      <c r="C976" t="s">
        <v>1632</v>
      </c>
    </row>
    <row r="977" spans="2:4" x14ac:dyDescent="0.25">
      <c r="C977" t="s">
        <v>1633</v>
      </c>
    </row>
    <row r="979" spans="2:4" x14ac:dyDescent="0.25">
      <c r="C979" t="s">
        <v>1362</v>
      </c>
    </row>
    <row r="980" spans="2:4" x14ac:dyDescent="0.25">
      <c r="C980" t="s">
        <v>1362</v>
      </c>
    </row>
    <row r="981" spans="2:4" x14ac:dyDescent="0.25">
      <c r="C981" t="s">
        <v>1362</v>
      </c>
    </row>
    <row r="982" spans="2:4" x14ac:dyDescent="0.25">
      <c r="C982" t="s">
        <v>823</v>
      </c>
    </row>
    <row r="983" spans="2:4" x14ac:dyDescent="0.25">
      <c r="C983" t="s">
        <v>558</v>
      </c>
    </row>
    <row r="984" spans="2:4" x14ac:dyDescent="0.25">
      <c r="D984" t="s">
        <v>1634</v>
      </c>
    </row>
    <row r="985" spans="2:4" x14ac:dyDescent="0.25">
      <c r="D985" t="s">
        <v>2073</v>
      </c>
    </row>
    <row r="986" spans="2:4" x14ac:dyDescent="0.25">
      <c r="D986" t="s">
        <v>2072</v>
      </c>
    </row>
    <row r="987" spans="2:4" x14ac:dyDescent="0.25">
      <c r="C987" t="s">
        <v>559</v>
      </c>
    </row>
    <row r="988" spans="2:4" x14ac:dyDescent="0.25">
      <c r="B988" t="s">
        <v>559</v>
      </c>
    </row>
    <row r="989" spans="2:4" x14ac:dyDescent="0.25">
      <c r="B989" t="s">
        <v>1433</v>
      </c>
    </row>
    <row r="990" spans="2:4" x14ac:dyDescent="0.25">
      <c r="B990" t="s">
        <v>558</v>
      </c>
    </row>
    <row r="991" spans="2:4" x14ac:dyDescent="0.25">
      <c r="C991" t="s">
        <v>2127</v>
      </c>
    </row>
    <row r="992" spans="2:4" x14ac:dyDescent="0.25">
      <c r="C992" t="s">
        <v>2128</v>
      </c>
    </row>
    <row r="994" spans="3:3" x14ac:dyDescent="0.25">
      <c r="C994" t="s">
        <v>1434</v>
      </c>
    </row>
    <row r="995" spans="3:3" x14ac:dyDescent="0.25">
      <c r="C995" t="s">
        <v>1435</v>
      </c>
    </row>
    <row r="997" spans="3:3" x14ac:dyDescent="0.25">
      <c r="C997" t="s">
        <v>1436</v>
      </c>
    </row>
    <row r="998" spans="3:3" x14ac:dyDescent="0.25">
      <c r="C998" t="s">
        <v>1437</v>
      </c>
    </row>
    <row r="1000" spans="3:3" x14ac:dyDescent="0.25">
      <c r="C1000" t="s">
        <v>1438</v>
      </c>
    </row>
    <row r="1001" spans="3:3" x14ac:dyDescent="0.25">
      <c r="C1001" t="s">
        <v>1439</v>
      </c>
    </row>
    <row r="1003" spans="3:3" x14ac:dyDescent="0.25">
      <c r="C1003" t="s">
        <v>1440</v>
      </c>
    </row>
    <row r="1004" spans="3:3" x14ac:dyDescent="0.25">
      <c r="C1004" t="s">
        <v>1441</v>
      </c>
    </row>
    <row r="1006" spans="3:3" x14ac:dyDescent="0.25">
      <c r="C1006" t="s">
        <v>1362</v>
      </c>
    </row>
    <row r="1007" spans="3:3" x14ac:dyDescent="0.25">
      <c r="C1007" t="s">
        <v>1362</v>
      </c>
    </row>
    <row r="1008" spans="3:3" x14ac:dyDescent="0.25">
      <c r="C1008" t="s">
        <v>1362</v>
      </c>
    </row>
    <row r="1009" spans="2:4" x14ac:dyDescent="0.25">
      <c r="C1009" t="s">
        <v>823</v>
      </c>
    </row>
    <row r="1010" spans="2:4" x14ac:dyDescent="0.25">
      <c r="C1010" t="s">
        <v>558</v>
      </c>
    </row>
    <row r="1011" spans="2:4" x14ac:dyDescent="0.25">
      <c r="D1011" t="s">
        <v>2261</v>
      </c>
    </row>
    <row r="1012" spans="2:4" x14ac:dyDescent="0.25">
      <c r="D1012" t="s">
        <v>2074</v>
      </c>
    </row>
    <row r="1013" spans="2:4" x14ac:dyDescent="0.25">
      <c r="D1013" t="s">
        <v>2236</v>
      </c>
    </row>
    <row r="1014" spans="2:4" x14ac:dyDescent="0.25">
      <c r="C1014" t="s">
        <v>559</v>
      </c>
    </row>
    <row r="1015" spans="2:4" x14ac:dyDescent="0.25">
      <c r="B1015" t="s">
        <v>559</v>
      </c>
    </row>
    <row r="1016" spans="2:4" x14ac:dyDescent="0.25">
      <c r="B1016" t="s">
        <v>1375</v>
      </c>
    </row>
    <row r="1017" spans="2:4" x14ac:dyDescent="0.25">
      <c r="B1017" t="s">
        <v>558</v>
      </c>
    </row>
    <row r="1018" spans="2:4" x14ac:dyDescent="0.25">
      <c r="C1018" t="s">
        <v>2129</v>
      </c>
    </row>
    <row r="1019" spans="2:4" x14ac:dyDescent="0.25">
      <c r="C1019" t="s">
        <v>2130</v>
      </c>
    </row>
    <row r="1021" spans="2:4" x14ac:dyDescent="0.25">
      <c r="C1021" t="s">
        <v>1376</v>
      </c>
    </row>
    <row r="1022" spans="2:4" x14ac:dyDescent="0.25">
      <c r="C1022" t="s">
        <v>1377</v>
      </c>
    </row>
    <row r="1024" spans="2:4" x14ac:dyDescent="0.25">
      <c r="C1024" t="s">
        <v>1378</v>
      </c>
    </row>
    <row r="1025" spans="3:4" x14ac:dyDescent="0.25">
      <c r="C1025" t="s">
        <v>1379</v>
      </c>
    </row>
    <row r="1027" spans="3:4" x14ac:dyDescent="0.25">
      <c r="C1027" t="s">
        <v>1380</v>
      </c>
    </row>
    <row r="1028" spans="3:4" x14ac:dyDescent="0.25">
      <c r="C1028" t="s">
        <v>1381</v>
      </c>
    </row>
    <row r="1030" spans="3:4" x14ac:dyDescent="0.25">
      <c r="C1030" t="s">
        <v>1382</v>
      </c>
    </row>
    <row r="1031" spans="3:4" x14ac:dyDescent="0.25">
      <c r="C1031" t="s">
        <v>1383</v>
      </c>
    </row>
    <row r="1033" spans="3:4" x14ac:dyDescent="0.25">
      <c r="C1033" t="s">
        <v>1362</v>
      </c>
    </row>
    <row r="1034" spans="3:4" x14ac:dyDescent="0.25">
      <c r="C1034" t="s">
        <v>1362</v>
      </c>
    </row>
    <row r="1035" spans="3:4" x14ac:dyDescent="0.25">
      <c r="C1035" t="s">
        <v>1362</v>
      </c>
    </row>
    <row r="1036" spans="3:4" x14ac:dyDescent="0.25">
      <c r="C1036" t="s">
        <v>823</v>
      </c>
    </row>
    <row r="1037" spans="3:4" x14ac:dyDescent="0.25">
      <c r="C1037" t="s">
        <v>558</v>
      </c>
    </row>
    <row r="1038" spans="3:4" x14ac:dyDescent="0.25">
      <c r="D1038" t="s">
        <v>2229</v>
      </c>
    </row>
    <row r="1039" spans="3:4" x14ac:dyDescent="0.25">
      <c r="D1039" t="s">
        <v>2074</v>
      </c>
    </row>
    <row r="1040" spans="3:4" x14ac:dyDescent="0.25">
      <c r="D1040" t="s">
        <v>2236</v>
      </c>
    </row>
    <row r="1041" spans="2:4" x14ac:dyDescent="0.25">
      <c r="C1041" t="s">
        <v>559</v>
      </c>
    </row>
    <row r="1042" spans="2:4" x14ac:dyDescent="0.25">
      <c r="C1042" t="s">
        <v>823</v>
      </c>
    </row>
    <row r="1043" spans="2:4" x14ac:dyDescent="0.25">
      <c r="C1043" t="s">
        <v>558</v>
      </c>
    </row>
    <row r="1044" spans="2:4" x14ac:dyDescent="0.25">
      <c r="D1044" t="s">
        <v>2262</v>
      </c>
    </row>
    <row r="1045" spans="2:4" x14ac:dyDescent="0.25">
      <c r="D1045" t="s">
        <v>2073</v>
      </c>
    </row>
    <row r="1046" spans="2:4" x14ac:dyDescent="0.25">
      <c r="D1046" t="s">
        <v>2072</v>
      </c>
    </row>
    <row r="1047" spans="2:4" x14ac:dyDescent="0.25">
      <c r="C1047" t="s">
        <v>559</v>
      </c>
    </row>
    <row r="1048" spans="2:4" x14ac:dyDescent="0.25">
      <c r="B1048" t="s">
        <v>559</v>
      </c>
    </row>
    <row r="1049" spans="2:4" x14ac:dyDescent="0.25">
      <c r="B1049" t="s">
        <v>1404</v>
      </c>
    </row>
    <row r="1050" spans="2:4" x14ac:dyDescent="0.25">
      <c r="B1050" t="s">
        <v>558</v>
      </c>
    </row>
    <row r="1051" spans="2:4" x14ac:dyDescent="0.25">
      <c r="C1051" t="s">
        <v>2131</v>
      </c>
    </row>
    <row r="1052" spans="2:4" x14ac:dyDescent="0.25">
      <c r="C1052" t="s">
        <v>2132</v>
      </c>
    </row>
    <row r="1054" spans="2:4" x14ac:dyDescent="0.25">
      <c r="C1054" t="s">
        <v>1405</v>
      </c>
    </row>
    <row r="1055" spans="2:4" x14ac:dyDescent="0.25">
      <c r="C1055" t="s">
        <v>1406</v>
      </c>
    </row>
    <row r="1057" spans="3:4" x14ac:dyDescent="0.25">
      <c r="C1057" t="s">
        <v>1407</v>
      </c>
    </row>
    <row r="1058" spans="3:4" x14ac:dyDescent="0.25">
      <c r="C1058" t="s">
        <v>1408</v>
      </c>
    </row>
    <row r="1060" spans="3:4" x14ac:dyDescent="0.25">
      <c r="C1060" t="s">
        <v>1409</v>
      </c>
    </row>
    <row r="1061" spans="3:4" x14ac:dyDescent="0.25">
      <c r="C1061" t="s">
        <v>1410</v>
      </c>
    </row>
    <row r="1063" spans="3:4" x14ac:dyDescent="0.25">
      <c r="C1063" t="s">
        <v>1411</v>
      </c>
    </row>
    <row r="1064" spans="3:4" x14ac:dyDescent="0.25">
      <c r="C1064" t="s">
        <v>1412</v>
      </c>
    </row>
    <row r="1066" spans="3:4" x14ac:dyDescent="0.25">
      <c r="C1066" t="s">
        <v>1362</v>
      </c>
    </row>
    <row r="1067" spans="3:4" x14ac:dyDescent="0.25">
      <c r="C1067" t="s">
        <v>1362</v>
      </c>
    </row>
    <row r="1068" spans="3:4" x14ac:dyDescent="0.25">
      <c r="C1068" t="s">
        <v>1362</v>
      </c>
    </row>
    <row r="1069" spans="3:4" x14ac:dyDescent="0.25">
      <c r="C1069" t="s">
        <v>823</v>
      </c>
    </row>
    <row r="1070" spans="3:4" x14ac:dyDescent="0.25">
      <c r="C1070" t="s">
        <v>558</v>
      </c>
    </row>
    <row r="1071" spans="3:4" x14ac:dyDescent="0.25">
      <c r="D1071" t="s">
        <v>2263</v>
      </c>
    </row>
    <row r="1072" spans="3:4" x14ac:dyDescent="0.25">
      <c r="D1072" t="s">
        <v>2074</v>
      </c>
    </row>
    <row r="1073" spans="2:4" x14ac:dyDescent="0.25">
      <c r="D1073" t="s">
        <v>2236</v>
      </c>
    </row>
    <row r="1074" spans="2:4" x14ac:dyDescent="0.25">
      <c r="C1074" t="s">
        <v>559</v>
      </c>
    </row>
    <row r="1075" spans="2:4" x14ac:dyDescent="0.25">
      <c r="B1075" t="s">
        <v>559</v>
      </c>
    </row>
    <row r="1076" spans="2:4" x14ac:dyDescent="0.25">
      <c r="B1076" t="s">
        <v>1571</v>
      </c>
    </row>
    <row r="1077" spans="2:4" x14ac:dyDescent="0.25">
      <c r="B1077" t="s">
        <v>558</v>
      </c>
    </row>
    <row r="1078" spans="2:4" x14ac:dyDescent="0.25">
      <c r="C1078" t="s">
        <v>2133</v>
      </c>
    </row>
    <row r="1079" spans="2:4" x14ac:dyDescent="0.25">
      <c r="C1079" t="s">
        <v>2134</v>
      </c>
    </row>
    <row r="1081" spans="2:4" x14ac:dyDescent="0.25">
      <c r="C1081" t="s">
        <v>1365</v>
      </c>
    </row>
    <row r="1082" spans="2:4" x14ac:dyDescent="0.25">
      <c r="C1082" t="s">
        <v>1366</v>
      </c>
    </row>
    <row r="1084" spans="2:4" x14ac:dyDescent="0.25">
      <c r="C1084" t="s">
        <v>1572</v>
      </c>
    </row>
    <row r="1085" spans="2:4" x14ac:dyDescent="0.25">
      <c r="C1085" t="s">
        <v>1573</v>
      </c>
    </row>
    <row r="1087" spans="2:4" x14ac:dyDescent="0.25">
      <c r="C1087" t="s">
        <v>1362</v>
      </c>
    </row>
    <row r="1088" spans="2:4" x14ac:dyDescent="0.25">
      <c r="C1088" t="s">
        <v>1362</v>
      </c>
    </row>
    <row r="1089" spans="2:4" x14ac:dyDescent="0.25">
      <c r="C1089" t="s">
        <v>1362</v>
      </c>
    </row>
    <row r="1090" spans="2:4" x14ac:dyDescent="0.25">
      <c r="C1090" t="s">
        <v>823</v>
      </c>
    </row>
    <row r="1091" spans="2:4" x14ac:dyDescent="0.25">
      <c r="C1091" t="s">
        <v>558</v>
      </c>
    </row>
    <row r="1092" spans="2:4" x14ac:dyDescent="0.25">
      <c r="D1092" t="s">
        <v>2264</v>
      </c>
    </row>
    <row r="1093" spans="2:4" x14ac:dyDescent="0.25">
      <c r="D1093" t="s">
        <v>2074</v>
      </c>
    </row>
    <row r="1094" spans="2:4" x14ac:dyDescent="0.25">
      <c r="D1094" t="s">
        <v>2236</v>
      </c>
    </row>
    <row r="1095" spans="2:4" x14ac:dyDescent="0.25">
      <c r="C1095" t="s">
        <v>559</v>
      </c>
    </row>
    <row r="1096" spans="2:4" x14ac:dyDescent="0.25">
      <c r="B1096" t="s">
        <v>559</v>
      </c>
    </row>
    <row r="1097" spans="2:4" x14ac:dyDescent="0.25">
      <c r="B1097" t="s">
        <v>1564</v>
      </c>
    </row>
    <row r="1098" spans="2:4" x14ac:dyDescent="0.25">
      <c r="B1098" t="s">
        <v>558</v>
      </c>
    </row>
    <row r="1099" spans="2:4" x14ac:dyDescent="0.25">
      <c r="C1099" t="s">
        <v>2135</v>
      </c>
    </row>
    <row r="1100" spans="2:4" x14ac:dyDescent="0.25">
      <c r="C1100" t="s">
        <v>2136</v>
      </c>
    </row>
    <row r="1102" spans="2:4" x14ac:dyDescent="0.25">
      <c r="C1102" t="s">
        <v>1550</v>
      </c>
    </row>
    <row r="1103" spans="2:4" x14ac:dyDescent="0.25">
      <c r="C1103" t="s">
        <v>1551</v>
      </c>
    </row>
    <row r="1105" spans="2:3" x14ac:dyDescent="0.25">
      <c r="C1105" t="s">
        <v>1565</v>
      </c>
    </row>
    <row r="1106" spans="2:3" x14ac:dyDescent="0.25">
      <c r="C1106" t="s">
        <v>1566</v>
      </c>
    </row>
    <row r="1108" spans="2:3" x14ac:dyDescent="0.25">
      <c r="C1108" t="s">
        <v>1567</v>
      </c>
    </row>
    <row r="1109" spans="2:3" x14ac:dyDescent="0.25">
      <c r="C1109" t="s">
        <v>1568</v>
      </c>
    </row>
    <row r="1111" spans="2:3" x14ac:dyDescent="0.25">
      <c r="C1111" t="s">
        <v>1569</v>
      </c>
    </row>
    <row r="1112" spans="2:3" x14ac:dyDescent="0.25">
      <c r="C1112" t="s">
        <v>1570</v>
      </c>
    </row>
    <row r="1114" spans="2:3" x14ac:dyDescent="0.25">
      <c r="C1114" t="s">
        <v>1362</v>
      </c>
    </row>
    <row r="1115" spans="2:3" x14ac:dyDescent="0.25">
      <c r="C1115" t="s">
        <v>1362</v>
      </c>
    </row>
    <row r="1116" spans="2:3" x14ac:dyDescent="0.25">
      <c r="C1116" t="s">
        <v>1362</v>
      </c>
    </row>
    <row r="1117" spans="2:3" x14ac:dyDescent="0.25">
      <c r="B1117" t="s">
        <v>559</v>
      </c>
    </row>
    <row r="1118" spans="2:3" x14ac:dyDescent="0.25">
      <c r="B1118" t="s">
        <v>1470</v>
      </c>
    </row>
    <row r="1119" spans="2:3" x14ac:dyDescent="0.25">
      <c r="B1119" t="s">
        <v>558</v>
      </c>
    </row>
    <row r="1120" spans="2:3" x14ac:dyDescent="0.25">
      <c r="C1120" t="s">
        <v>2137</v>
      </c>
    </row>
    <row r="1121" spans="3:4" x14ac:dyDescent="0.25">
      <c r="C1121" t="s">
        <v>2138</v>
      </c>
    </row>
    <row r="1123" spans="3:4" x14ac:dyDescent="0.25">
      <c r="C1123" t="s">
        <v>1354</v>
      </c>
    </row>
    <row r="1124" spans="3:4" x14ac:dyDescent="0.25">
      <c r="C1124" t="s">
        <v>1355</v>
      </c>
    </row>
    <row r="1126" spans="3:4" x14ac:dyDescent="0.25">
      <c r="C1126" t="s">
        <v>1471</v>
      </c>
    </row>
    <row r="1127" spans="3:4" x14ac:dyDescent="0.25">
      <c r="C1127" t="s">
        <v>1472</v>
      </c>
    </row>
    <row r="1129" spans="3:4" x14ac:dyDescent="0.25">
      <c r="C1129" t="s">
        <v>1362</v>
      </c>
    </row>
    <row r="1130" spans="3:4" x14ac:dyDescent="0.25">
      <c r="C1130" t="s">
        <v>1362</v>
      </c>
    </row>
    <row r="1131" spans="3:4" x14ac:dyDescent="0.25">
      <c r="C1131" t="s">
        <v>1362</v>
      </c>
    </row>
    <row r="1132" spans="3:4" x14ac:dyDescent="0.25">
      <c r="C1132" t="s">
        <v>823</v>
      </c>
    </row>
    <row r="1133" spans="3:4" x14ac:dyDescent="0.25">
      <c r="C1133" t="s">
        <v>558</v>
      </c>
    </row>
    <row r="1134" spans="3:4" x14ac:dyDescent="0.25">
      <c r="D1134" t="s">
        <v>2264</v>
      </c>
    </row>
    <row r="1135" spans="3:4" x14ac:dyDescent="0.25">
      <c r="D1135" t="s">
        <v>2074</v>
      </c>
    </row>
    <row r="1136" spans="3:4" x14ac:dyDescent="0.25">
      <c r="D1136" t="s">
        <v>2236</v>
      </c>
    </row>
    <row r="1137" spans="2:3" x14ac:dyDescent="0.25">
      <c r="C1137" t="s">
        <v>559</v>
      </c>
    </row>
    <row r="1138" spans="2:3" x14ac:dyDescent="0.25">
      <c r="B1138" t="s">
        <v>559</v>
      </c>
    </row>
    <row r="1139" spans="2:3" x14ac:dyDescent="0.25">
      <c r="B1139" t="s">
        <v>1679</v>
      </c>
    </row>
    <row r="1140" spans="2:3" x14ac:dyDescent="0.25">
      <c r="B1140" t="s">
        <v>558</v>
      </c>
    </row>
    <row r="1141" spans="2:3" x14ac:dyDescent="0.25">
      <c r="C1141" t="s">
        <v>2139</v>
      </c>
    </row>
    <row r="1142" spans="2:3" x14ac:dyDescent="0.25">
      <c r="C1142" t="s">
        <v>2140</v>
      </c>
    </row>
    <row r="1144" spans="2:3" x14ac:dyDescent="0.25">
      <c r="C1144" t="s">
        <v>1454</v>
      </c>
    </row>
    <row r="1145" spans="2:3" x14ac:dyDescent="0.25">
      <c r="C1145" t="s">
        <v>1455</v>
      </c>
    </row>
    <row r="1147" spans="2:3" x14ac:dyDescent="0.25">
      <c r="C1147" t="s">
        <v>1680</v>
      </c>
    </row>
    <row r="1148" spans="2:3" x14ac:dyDescent="0.25">
      <c r="C1148" t="s">
        <v>1681</v>
      </c>
    </row>
    <row r="1150" spans="2:3" x14ac:dyDescent="0.25">
      <c r="C1150" t="s">
        <v>1682</v>
      </c>
    </row>
    <row r="1151" spans="2:3" x14ac:dyDescent="0.25">
      <c r="C1151" t="s">
        <v>1683</v>
      </c>
    </row>
    <row r="1153" spans="2:4" x14ac:dyDescent="0.25">
      <c r="C1153" t="s">
        <v>1684</v>
      </c>
    </row>
    <row r="1154" spans="2:4" x14ac:dyDescent="0.25">
      <c r="C1154" t="s">
        <v>1685</v>
      </c>
    </row>
    <row r="1156" spans="2:4" x14ac:dyDescent="0.25">
      <c r="C1156" t="s">
        <v>1362</v>
      </c>
    </row>
    <row r="1157" spans="2:4" x14ac:dyDescent="0.25">
      <c r="C1157" t="s">
        <v>1362</v>
      </c>
    </row>
    <row r="1158" spans="2:4" x14ac:dyDescent="0.25">
      <c r="C1158" t="s">
        <v>1362</v>
      </c>
    </row>
    <row r="1159" spans="2:4" x14ac:dyDescent="0.25">
      <c r="C1159" t="s">
        <v>823</v>
      </c>
    </row>
    <row r="1160" spans="2:4" x14ac:dyDescent="0.25">
      <c r="C1160" t="s">
        <v>558</v>
      </c>
    </row>
    <row r="1161" spans="2:4" x14ac:dyDescent="0.25">
      <c r="D1161" t="s">
        <v>2266</v>
      </c>
    </row>
    <row r="1162" spans="2:4" x14ac:dyDescent="0.25">
      <c r="D1162" t="s">
        <v>2074</v>
      </c>
    </row>
    <row r="1163" spans="2:4" x14ac:dyDescent="0.25">
      <c r="D1163" t="s">
        <v>2236</v>
      </c>
    </row>
    <row r="1164" spans="2:4" x14ac:dyDescent="0.25">
      <c r="C1164" t="s">
        <v>559</v>
      </c>
    </row>
    <row r="1165" spans="2:4" x14ac:dyDescent="0.25">
      <c r="B1165" t="s">
        <v>559</v>
      </c>
    </row>
    <row r="1166" spans="2:4" x14ac:dyDescent="0.25">
      <c r="B1166" t="s">
        <v>1686</v>
      </c>
    </row>
    <row r="1167" spans="2:4" x14ac:dyDescent="0.25">
      <c r="B1167" t="s">
        <v>558</v>
      </c>
    </row>
    <row r="1168" spans="2:4" x14ac:dyDescent="0.25">
      <c r="C1168" t="s">
        <v>2141</v>
      </c>
    </row>
    <row r="1169" spans="3:3" x14ac:dyDescent="0.25">
      <c r="C1169" t="s">
        <v>2142</v>
      </c>
    </row>
    <row r="1171" spans="3:3" x14ac:dyDescent="0.25">
      <c r="C1171" t="s">
        <v>1478</v>
      </c>
    </row>
    <row r="1172" spans="3:3" x14ac:dyDescent="0.25">
      <c r="C1172" t="s">
        <v>1479</v>
      </c>
    </row>
    <row r="1174" spans="3:3" x14ac:dyDescent="0.25">
      <c r="C1174" t="s">
        <v>1687</v>
      </c>
    </row>
    <row r="1175" spans="3:3" x14ac:dyDescent="0.25">
      <c r="C1175" t="s">
        <v>1688</v>
      </c>
    </row>
    <row r="1177" spans="3:3" x14ac:dyDescent="0.25">
      <c r="C1177" t="s">
        <v>1689</v>
      </c>
    </row>
    <row r="1178" spans="3:3" x14ac:dyDescent="0.25">
      <c r="C1178" t="s">
        <v>1690</v>
      </c>
    </row>
    <row r="1180" spans="3:3" x14ac:dyDescent="0.25">
      <c r="C1180" t="s">
        <v>1691</v>
      </c>
    </row>
    <row r="1181" spans="3:3" x14ac:dyDescent="0.25">
      <c r="C1181" t="s">
        <v>1692</v>
      </c>
    </row>
    <row r="1183" spans="3:3" x14ac:dyDescent="0.25">
      <c r="C1183" t="s">
        <v>1362</v>
      </c>
    </row>
    <row r="1184" spans="3:3" x14ac:dyDescent="0.25">
      <c r="C1184" t="s">
        <v>1362</v>
      </c>
    </row>
    <row r="1185" spans="2:4" x14ac:dyDescent="0.25">
      <c r="C1185" t="s">
        <v>1362</v>
      </c>
    </row>
    <row r="1186" spans="2:4" x14ac:dyDescent="0.25">
      <c r="C1186" t="s">
        <v>823</v>
      </c>
    </row>
    <row r="1187" spans="2:4" x14ac:dyDescent="0.25">
      <c r="C1187" t="s">
        <v>558</v>
      </c>
    </row>
    <row r="1188" spans="2:4" x14ac:dyDescent="0.25">
      <c r="D1188" t="s">
        <v>2267</v>
      </c>
    </row>
    <row r="1189" spans="2:4" x14ac:dyDescent="0.25">
      <c r="D1189" t="s">
        <v>2074</v>
      </c>
    </row>
    <row r="1190" spans="2:4" x14ac:dyDescent="0.25">
      <c r="D1190" t="s">
        <v>2236</v>
      </c>
    </row>
    <row r="1191" spans="2:4" x14ac:dyDescent="0.25">
      <c r="C1191" t="s">
        <v>559</v>
      </c>
    </row>
    <row r="1192" spans="2:4" x14ac:dyDescent="0.25">
      <c r="B1192" t="s">
        <v>559</v>
      </c>
    </row>
    <row r="1193" spans="2:4" x14ac:dyDescent="0.25">
      <c r="B1193" t="s">
        <v>1655</v>
      </c>
    </row>
    <row r="1194" spans="2:4" x14ac:dyDescent="0.25">
      <c r="B1194" t="s">
        <v>558</v>
      </c>
    </row>
    <row r="1195" spans="2:4" x14ac:dyDescent="0.25">
      <c r="C1195" t="s">
        <v>2143</v>
      </c>
    </row>
    <row r="1196" spans="2:4" x14ac:dyDescent="0.25">
      <c r="C1196" t="s">
        <v>2144</v>
      </c>
    </row>
    <row r="1198" spans="2:4" x14ac:dyDescent="0.25">
      <c r="C1198" t="s">
        <v>1473</v>
      </c>
    </row>
    <row r="1199" spans="2:4" x14ac:dyDescent="0.25">
      <c r="C1199" t="s">
        <v>1474</v>
      </c>
    </row>
    <row r="1201" spans="3:4" x14ac:dyDescent="0.25">
      <c r="C1201" t="s">
        <v>1656</v>
      </c>
    </row>
    <row r="1202" spans="3:4" x14ac:dyDescent="0.25">
      <c r="C1202" t="s">
        <v>1657</v>
      </c>
    </row>
    <row r="1204" spans="3:4" x14ac:dyDescent="0.25">
      <c r="C1204" t="s">
        <v>1658</v>
      </c>
    </row>
    <row r="1205" spans="3:4" x14ac:dyDescent="0.25">
      <c r="C1205" t="s">
        <v>1659</v>
      </c>
    </row>
    <row r="1207" spans="3:4" x14ac:dyDescent="0.25">
      <c r="C1207" t="s">
        <v>1660</v>
      </c>
    </row>
    <row r="1208" spans="3:4" x14ac:dyDescent="0.25">
      <c r="C1208" t="s">
        <v>1661</v>
      </c>
    </row>
    <row r="1210" spans="3:4" x14ac:dyDescent="0.25">
      <c r="C1210" t="s">
        <v>1362</v>
      </c>
    </row>
    <row r="1211" spans="3:4" x14ac:dyDescent="0.25">
      <c r="C1211" t="s">
        <v>1362</v>
      </c>
    </row>
    <row r="1212" spans="3:4" x14ac:dyDescent="0.25">
      <c r="C1212" t="s">
        <v>1362</v>
      </c>
    </row>
    <row r="1213" spans="3:4" x14ac:dyDescent="0.25">
      <c r="C1213" t="s">
        <v>823</v>
      </c>
    </row>
    <row r="1214" spans="3:4" x14ac:dyDescent="0.25">
      <c r="C1214" t="s">
        <v>558</v>
      </c>
    </row>
    <row r="1215" spans="3:4" x14ac:dyDescent="0.25">
      <c r="D1215" t="s">
        <v>2268</v>
      </c>
    </row>
    <row r="1216" spans="3:4" x14ac:dyDescent="0.25">
      <c r="D1216" t="s">
        <v>2074</v>
      </c>
    </row>
    <row r="1217" spans="2:4" x14ac:dyDescent="0.25">
      <c r="D1217" t="s">
        <v>2236</v>
      </c>
    </row>
    <row r="1218" spans="2:4" x14ac:dyDescent="0.25">
      <c r="C1218" t="s">
        <v>559</v>
      </c>
    </row>
    <row r="1219" spans="2:4" x14ac:dyDescent="0.25">
      <c r="C1219" t="s">
        <v>823</v>
      </c>
    </row>
    <row r="1220" spans="2:4" x14ac:dyDescent="0.25">
      <c r="C1220" t="s">
        <v>558</v>
      </c>
    </row>
    <row r="1221" spans="2:4" x14ac:dyDescent="0.25">
      <c r="D1221" t="s">
        <v>2269</v>
      </c>
    </row>
    <row r="1222" spans="2:4" x14ac:dyDescent="0.25">
      <c r="D1222" t="s">
        <v>851</v>
      </c>
    </row>
    <row r="1223" spans="2:4" x14ac:dyDescent="0.25">
      <c r="D1223" t="s">
        <v>852</v>
      </c>
    </row>
    <row r="1224" spans="2:4" x14ac:dyDescent="0.25">
      <c r="C1224" t="s">
        <v>559</v>
      </c>
    </row>
    <row r="1225" spans="2:4" x14ac:dyDescent="0.25">
      <c r="B1225" t="s">
        <v>559</v>
      </c>
    </row>
    <row r="1226" spans="2:4" x14ac:dyDescent="0.25">
      <c r="B1226" t="s">
        <v>1642</v>
      </c>
    </row>
    <row r="1227" spans="2:4" x14ac:dyDescent="0.25">
      <c r="B1227" t="s">
        <v>558</v>
      </c>
    </row>
    <row r="1228" spans="2:4" x14ac:dyDescent="0.25">
      <c r="C1228" t="s">
        <v>2145</v>
      </c>
    </row>
    <row r="1229" spans="2:4" x14ac:dyDescent="0.25">
      <c r="C1229" t="s">
        <v>2146</v>
      </c>
    </row>
    <row r="1231" spans="2:4" x14ac:dyDescent="0.25">
      <c r="C1231" t="s">
        <v>1414</v>
      </c>
    </row>
    <row r="1232" spans="2:4" x14ac:dyDescent="0.25">
      <c r="C1232" t="s">
        <v>1415</v>
      </c>
    </row>
    <row r="1234" spans="3:4" x14ac:dyDescent="0.25">
      <c r="C1234" t="s">
        <v>1643</v>
      </c>
    </row>
    <row r="1235" spans="3:4" x14ac:dyDescent="0.25">
      <c r="C1235" t="s">
        <v>1644</v>
      </c>
    </row>
    <row r="1237" spans="3:4" x14ac:dyDescent="0.25">
      <c r="C1237" t="s">
        <v>1362</v>
      </c>
    </row>
    <row r="1238" spans="3:4" x14ac:dyDescent="0.25">
      <c r="C1238" t="s">
        <v>1362</v>
      </c>
    </row>
    <row r="1239" spans="3:4" x14ac:dyDescent="0.25">
      <c r="C1239" t="s">
        <v>1362</v>
      </c>
    </row>
    <row r="1240" spans="3:4" x14ac:dyDescent="0.25">
      <c r="C1240" t="s">
        <v>823</v>
      </c>
    </row>
    <row r="1241" spans="3:4" x14ac:dyDescent="0.25">
      <c r="C1241" t="s">
        <v>558</v>
      </c>
    </row>
    <row r="1242" spans="3:4" x14ac:dyDescent="0.25">
      <c r="D1242" t="s">
        <v>2275</v>
      </c>
    </row>
    <row r="1243" spans="3:4" x14ac:dyDescent="0.25">
      <c r="D1243" t="s">
        <v>2074</v>
      </c>
    </row>
    <row r="1244" spans="3:4" x14ac:dyDescent="0.25">
      <c r="D1244" t="s">
        <v>2236</v>
      </c>
    </row>
    <row r="1245" spans="3:4" x14ac:dyDescent="0.25">
      <c r="C1245" t="s">
        <v>559</v>
      </c>
    </row>
    <row r="1246" spans="3:4" x14ac:dyDescent="0.25">
      <c r="C1246" t="s">
        <v>823</v>
      </c>
    </row>
    <row r="1247" spans="3:4" x14ac:dyDescent="0.25">
      <c r="C1247" t="s">
        <v>558</v>
      </c>
    </row>
    <row r="1248" spans="3:4" x14ac:dyDescent="0.25">
      <c r="D1248" t="s">
        <v>2270</v>
      </c>
    </row>
    <row r="1249" spans="2:4" x14ac:dyDescent="0.25">
      <c r="D1249" t="s">
        <v>851</v>
      </c>
    </row>
    <row r="1250" spans="2:4" x14ac:dyDescent="0.25">
      <c r="D1250" t="s">
        <v>852</v>
      </c>
    </row>
    <row r="1251" spans="2:4" x14ac:dyDescent="0.25">
      <c r="C1251" t="s">
        <v>559</v>
      </c>
    </row>
    <row r="1252" spans="2:4" x14ac:dyDescent="0.25">
      <c r="B1252" t="s">
        <v>559</v>
      </c>
    </row>
    <row r="1253" spans="2:4" x14ac:dyDescent="0.25">
      <c r="B1253" t="s">
        <v>1463</v>
      </c>
    </row>
    <row r="1254" spans="2:4" x14ac:dyDescent="0.25">
      <c r="B1254" t="s">
        <v>558</v>
      </c>
    </row>
    <row r="1255" spans="2:4" x14ac:dyDescent="0.25">
      <c r="C1255" t="s">
        <v>2147</v>
      </c>
    </row>
    <row r="1256" spans="2:4" x14ac:dyDescent="0.25">
      <c r="C1256" t="s">
        <v>2148</v>
      </c>
    </row>
    <row r="1258" spans="2:4" x14ac:dyDescent="0.25">
      <c r="C1258" t="s">
        <v>1442</v>
      </c>
    </row>
    <row r="1259" spans="2:4" x14ac:dyDescent="0.25">
      <c r="C1259" t="s">
        <v>1443</v>
      </c>
    </row>
    <row r="1261" spans="2:4" x14ac:dyDescent="0.25">
      <c r="C1261" t="s">
        <v>1464</v>
      </c>
    </row>
    <row r="1262" spans="2:4" x14ac:dyDescent="0.25">
      <c r="C1262" t="s">
        <v>1465</v>
      </c>
    </row>
    <row r="1264" spans="2:4" x14ac:dyDescent="0.25">
      <c r="C1264" t="s">
        <v>1466</v>
      </c>
    </row>
    <row r="1265" spans="2:4" x14ac:dyDescent="0.25">
      <c r="C1265" t="s">
        <v>1467</v>
      </c>
    </row>
    <row r="1267" spans="2:4" x14ac:dyDescent="0.25">
      <c r="C1267" t="s">
        <v>1468</v>
      </c>
    </row>
    <row r="1268" spans="2:4" x14ac:dyDescent="0.25">
      <c r="C1268" t="s">
        <v>1469</v>
      </c>
    </row>
    <row r="1270" spans="2:4" x14ac:dyDescent="0.25">
      <c r="C1270" t="s">
        <v>1362</v>
      </c>
    </row>
    <row r="1271" spans="2:4" x14ac:dyDescent="0.25">
      <c r="C1271" t="s">
        <v>1362</v>
      </c>
    </row>
    <row r="1272" spans="2:4" x14ac:dyDescent="0.25">
      <c r="C1272" t="s">
        <v>1362</v>
      </c>
    </row>
    <row r="1273" spans="2:4" x14ac:dyDescent="0.25">
      <c r="C1273" t="s">
        <v>823</v>
      </c>
    </row>
    <row r="1274" spans="2:4" x14ac:dyDescent="0.25">
      <c r="C1274" t="s">
        <v>558</v>
      </c>
    </row>
    <row r="1275" spans="2:4" x14ac:dyDescent="0.25">
      <c r="D1275" t="s">
        <v>2283</v>
      </c>
    </row>
    <row r="1276" spans="2:4" x14ac:dyDescent="0.25">
      <c r="D1276" t="s">
        <v>851</v>
      </c>
    </row>
    <row r="1277" spans="2:4" x14ac:dyDescent="0.25">
      <c r="D1277" t="s">
        <v>852</v>
      </c>
    </row>
    <row r="1278" spans="2:4" x14ac:dyDescent="0.25">
      <c r="C1278" t="s">
        <v>559</v>
      </c>
    </row>
    <row r="1279" spans="2:4" x14ac:dyDescent="0.25">
      <c r="B1279" t="s">
        <v>559</v>
      </c>
    </row>
    <row r="1280" spans="2:4" x14ac:dyDescent="0.25">
      <c r="B1280" t="s">
        <v>1585</v>
      </c>
    </row>
    <row r="1281" spans="2:4" x14ac:dyDescent="0.25">
      <c r="B1281" t="s">
        <v>558</v>
      </c>
    </row>
    <row r="1282" spans="2:4" x14ac:dyDescent="0.25">
      <c r="C1282" t="s">
        <v>2153</v>
      </c>
    </row>
    <row r="1283" spans="2:4" x14ac:dyDescent="0.25">
      <c r="C1283" t="s">
        <v>2154</v>
      </c>
    </row>
    <row r="1285" spans="2:4" x14ac:dyDescent="0.25">
      <c r="C1285" t="s">
        <v>1509</v>
      </c>
    </row>
    <row r="1286" spans="2:4" x14ac:dyDescent="0.25">
      <c r="C1286" t="s">
        <v>1510</v>
      </c>
    </row>
    <row r="1288" spans="2:4" x14ac:dyDescent="0.25">
      <c r="C1288" t="s">
        <v>1586</v>
      </c>
    </row>
    <row r="1289" spans="2:4" x14ac:dyDescent="0.25">
      <c r="C1289" t="s">
        <v>1587</v>
      </c>
    </row>
    <row r="1291" spans="2:4" x14ac:dyDescent="0.25">
      <c r="C1291" t="s">
        <v>1362</v>
      </c>
    </row>
    <row r="1292" spans="2:4" x14ac:dyDescent="0.25">
      <c r="C1292" t="s">
        <v>1362</v>
      </c>
    </row>
    <row r="1293" spans="2:4" x14ac:dyDescent="0.25">
      <c r="C1293" t="s">
        <v>1362</v>
      </c>
    </row>
    <row r="1294" spans="2:4" x14ac:dyDescent="0.25">
      <c r="C1294" t="s">
        <v>823</v>
      </c>
    </row>
    <row r="1295" spans="2:4" x14ac:dyDescent="0.25">
      <c r="C1295" t="s">
        <v>558</v>
      </c>
    </row>
    <row r="1296" spans="2:4" x14ac:dyDescent="0.25">
      <c r="D1296" t="s">
        <v>2284</v>
      </c>
    </row>
    <row r="1297" spans="2:4" x14ac:dyDescent="0.25">
      <c r="D1297" t="s">
        <v>851</v>
      </c>
    </row>
    <row r="1298" spans="2:4" x14ac:dyDescent="0.25">
      <c r="D1298" t="s">
        <v>852</v>
      </c>
    </row>
    <row r="1299" spans="2:4" x14ac:dyDescent="0.25">
      <c r="C1299" t="s">
        <v>559</v>
      </c>
    </row>
    <row r="1300" spans="2:4" x14ac:dyDescent="0.25">
      <c r="B1300" t="s">
        <v>559</v>
      </c>
    </row>
    <row r="1301" spans="2:4" x14ac:dyDescent="0.25">
      <c r="B1301" t="s">
        <v>1986</v>
      </c>
    </row>
    <row r="1302" spans="2:4" x14ac:dyDescent="0.25">
      <c r="B1302" t="s">
        <v>558</v>
      </c>
    </row>
    <row r="1303" spans="2:4" x14ac:dyDescent="0.25">
      <c r="C1303" t="s">
        <v>2151</v>
      </c>
    </row>
    <row r="1304" spans="2:4" x14ac:dyDescent="0.25">
      <c r="C1304" t="s">
        <v>2152</v>
      </c>
    </row>
    <row r="1306" spans="2:4" x14ac:dyDescent="0.25">
      <c r="C1306" t="s">
        <v>1550</v>
      </c>
    </row>
    <row r="1307" spans="2:4" x14ac:dyDescent="0.25">
      <c r="C1307" t="s">
        <v>1551</v>
      </c>
    </row>
    <row r="1309" spans="2:4" x14ac:dyDescent="0.25">
      <c r="C1309" t="s">
        <v>1987</v>
      </c>
    </row>
    <row r="1310" spans="2:4" x14ac:dyDescent="0.25">
      <c r="C1310" t="s">
        <v>1988</v>
      </c>
    </row>
    <row r="1312" spans="2:4" x14ac:dyDescent="0.25">
      <c r="C1312" t="s">
        <v>1989</v>
      </c>
    </row>
    <row r="1313" spans="2:3" x14ac:dyDescent="0.25">
      <c r="C1313" t="s">
        <v>1990</v>
      </c>
    </row>
    <row r="1315" spans="2:3" x14ac:dyDescent="0.25">
      <c r="C1315" t="s">
        <v>1991</v>
      </c>
    </row>
    <row r="1316" spans="2:3" x14ac:dyDescent="0.25">
      <c r="C1316" t="s">
        <v>1992</v>
      </c>
    </row>
    <row r="1318" spans="2:3" x14ac:dyDescent="0.25">
      <c r="C1318" t="s">
        <v>1362</v>
      </c>
    </row>
    <row r="1319" spans="2:3" x14ac:dyDescent="0.25">
      <c r="C1319" t="s">
        <v>1362</v>
      </c>
    </row>
    <row r="1320" spans="2:3" x14ac:dyDescent="0.25">
      <c r="C1320" t="s">
        <v>1362</v>
      </c>
    </row>
    <row r="1321" spans="2:3" x14ac:dyDescent="0.25">
      <c r="B1321" t="s">
        <v>559</v>
      </c>
    </row>
    <row r="1322" spans="2:3" x14ac:dyDescent="0.25">
      <c r="B1322" t="s">
        <v>1592</v>
      </c>
    </row>
    <row r="1323" spans="2:3" x14ac:dyDescent="0.25">
      <c r="B1323" t="s">
        <v>558</v>
      </c>
    </row>
    <row r="1324" spans="2:3" x14ac:dyDescent="0.25">
      <c r="C1324" t="s">
        <v>2252</v>
      </c>
    </row>
    <row r="1325" spans="2:3" x14ac:dyDescent="0.25">
      <c r="C1325" t="s">
        <v>2253</v>
      </c>
    </row>
    <row r="1327" spans="2:3" x14ac:dyDescent="0.25">
      <c r="C1327" t="s">
        <v>1593</v>
      </c>
    </row>
    <row r="1328" spans="2:3" x14ac:dyDescent="0.25">
      <c r="C1328" t="s">
        <v>1594</v>
      </c>
    </row>
    <row r="1330" spans="2:4" x14ac:dyDescent="0.25">
      <c r="C1330" t="s">
        <v>1595</v>
      </c>
    </row>
    <row r="1331" spans="2:4" x14ac:dyDescent="0.25">
      <c r="C1331" t="s">
        <v>1596</v>
      </c>
    </row>
    <row r="1333" spans="2:4" x14ac:dyDescent="0.25">
      <c r="C1333" t="s">
        <v>1362</v>
      </c>
    </row>
    <row r="1334" spans="2:4" x14ac:dyDescent="0.25">
      <c r="C1334" t="s">
        <v>1362</v>
      </c>
    </row>
    <row r="1335" spans="2:4" x14ac:dyDescent="0.25">
      <c r="C1335" t="s">
        <v>1362</v>
      </c>
    </row>
    <row r="1336" spans="2:4" x14ac:dyDescent="0.25">
      <c r="C1336" t="s">
        <v>823</v>
      </c>
    </row>
    <row r="1337" spans="2:4" x14ac:dyDescent="0.25">
      <c r="C1337" t="s">
        <v>558</v>
      </c>
    </row>
    <row r="1338" spans="2:4" x14ac:dyDescent="0.25">
      <c r="D1338" t="s">
        <v>2235</v>
      </c>
    </row>
    <row r="1339" spans="2:4" x14ac:dyDescent="0.25">
      <c r="D1339" t="s">
        <v>2074</v>
      </c>
    </row>
    <row r="1340" spans="2:4" x14ac:dyDescent="0.25">
      <c r="D1340" t="s">
        <v>2236</v>
      </c>
    </row>
    <row r="1341" spans="2:4" x14ac:dyDescent="0.25">
      <c r="C1341" t="s">
        <v>559</v>
      </c>
    </row>
    <row r="1342" spans="2:4" x14ac:dyDescent="0.25">
      <c r="B1342" t="s">
        <v>559</v>
      </c>
    </row>
    <row r="1343" spans="2:4" x14ac:dyDescent="0.25">
      <c r="B1343" t="s">
        <v>1993</v>
      </c>
    </row>
    <row r="1344" spans="2:4" x14ac:dyDescent="0.25">
      <c r="B1344" t="s">
        <v>558</v>
      </c>
    </row>
    <row r="1345" spans="3:3" x14ac:dyDescent="0.25">
      <c r="C1345" t="s">
        <v>2230</v>
      </c>
    </row>
    <row r="1346" spans="3:3" x14ac:dyDescent="0.25">
      <c r="C1346" t="s">
        <v>2231</v>
      </c>
    </row>
    <row r="1348" spans="3:3" x14ac:dyDescent="0.25">
      <c r="C1348" t="s">
        <v>1442</v>
      </c>
    </row>
    <row r="1349" spans="3:3" x14ac:dyDescent="0.25">
      <c r="C1349" t="s">
        <v>1443</v>
      </c>
    </row>
    <row r="1351" spans="3:3" x14ac:dyDescent="0.25">
      <c r="C1351" t="s">
        <v>1994</v>
      </c>
    </row>
    <row r="1352" spans="3:3" x14ac:dyDescent="0.25">
      <c r="C1352" t="s">
        <v>1995</v>
      </c>
    </row>
    <row r="1354" spans="3:3" x14ac:dyDescent="0.25">
      <c r="C1354" t="s">
        <v>1996</v>
      </c>
    </row>
    <row r="1355" spans="3:3" x14ac:dyDescent="0.25">
      <c r="C1355" t="s">
        <v>1997</v>
      </c>
    </row>
    <row r="1357" spans="3:3" x14ac:dyDescent="0.25">
      <c r="C1357" t="s">
        <v>1998</v>
      </c>
    </row>
    <row r="1358" spans="3:3" x14ac:dyDescent="0.25">
      <c r="C1358" t="s">
        <v>1999</v>
      </c>
    </row>
    <row r="1360" spans="3:3" x14ac:dyDescent="0.25">
      <c r="C1360" t="s">
        <v>1362</v>
      </c>
    </row>
    <row r="1361" spans="2:4" x14ac:dyDescent="0.25">
      <c r="C1361" t="s">
        <v>1362</v>
      </c>
    </row>
    <row r="1362" spans="2:4" x14ac:dyDescent="0.25">
      <c r="C1362" t="s">
        <v>1362</v>
      </c>
    </row>
    <row r="1363" spans="2:4" x14ac:dyDescent="0.25">
      <c r="C1363" t="s">
        <v>823</v>
      </c>
    </row>
    <row r="1364" spans="2:4" x14ac:dyDescent="0.25">
      <c r="C1364" t="s">
        <v>558</v>
      </c>
    </row>
    <row r="1365" spans="2:4" x14ac:dyDescent="0.25">
      <c r="D1365" t="s">
        <v>2238</v>
      </c>
    </row>
    <row r="1366" spans="2:4" x14ac:dyDescent="0.25">
      <c r="D1366" t="s">
        <v>2074</v>
      </c>
    </row>
    <row r="1367" spans="2:4" x14ac:dyDescent="0.25">
      <c r="D1367" t="s">
        <v>2236</v>
      </c>
    </row>
    <row r="1368" spans="2:4" x14ac:dyDescent="0.25">
      <c r="C1368" t="s">
        <v>559</v>
      </c>
    </row>
    <row r="1369" spans="2:4" x14ac:dyDescent="0.25">
      <c r="B1369" t="s">
        <v>559</v>
      </c>
    </row>
    <row r="1370" spans="2:4" x14ac:dyDescent="0.25">
      <c r="B1370" t="s">
        <v>1511</v>
      </c>
    </row>
    <row r="1371" spans="2:4" x14ac:dyDescent="0.25">
      <c r="B1371" t="s">
        <v>558</v>
      </c>
    </row>
    <row r="1372" spans="2:4" x14ac:dyDescent="0.25">
      <c r="C1372" t="s">
        <v>2218</v>
      </c>
    </row>
    <row r="1373" spans="2:4" x14ac:dyDescent="0.25">
      <c r="C1373" t="s">
        <v>2219</v>
      </c>
    </row>
    <row r="1375" spans="2:4" x14ac:dyDescent="0.25">
      <c r="C1375" t="s">
        <v>1454</v>
      </c>
    </row>
    <row r="1376" spans="2:4" x14ac:dyDescent="0.25">
      <c r="C1376" t="s">
        <v>1455</v>
      </c>
    </row>
    <row r="1378" spans="2:4" x14ac:dyDescent="0.25">
      <c r="C1378" t="s">
        <v>1512</v>
      </c>
    </row>
    <row r="1379" spans="2:4" x14ac:dyDescent="0.25">
      <c r="C1379" t="s">
        <v>1513</v>
      </c>
    </row>
    <row r="1381" spans="2:4" x14ac:dyDescent="0.25">
      <c r="C1381" t="s">
        <v>1362</v>
      </c>
    </row>
    <row r="1382" spans="2:4" x14ac:dyDescent="0.25">
      <c r="C1382" t="s">
        <v>1362</v>
      </c>
    </row>
    <row r="1383" spans="2:4" x14ac:dyDescent="0.25">
      <c r="C1383" t="s">
        <v>1362</v>
      </c>
    </row>
    <row r="1384" spans="2:4" x14ac:dyDescent="0.25">
      <c r="C1384" t="s">
        <v>823</v>
      </c>
    </row>
    <row r="1385" spans="2:4" x14ac:dyDescent="0.25">
      <c r="C1385" t="s">
        <v>558</v>
      </c>
    </row>
    <row r="1386" spans="2:4" x14ac:dyDescent="0.25">
      <c r="D1386" t="s">
        <v>2233</v>
      </c>
    </row>
    <row r="1387" spans="2:4" x14ac:dyDescent="0.25">
      <c r="D1387" t="s">
        <v>2074</v>
      </c>
    </row>
    <row r="1388" spans="2:4" x14ac:dyDescent="0.25">
      <c r="D1388" t="s">
        <v>2236</v>
      </c>
    </row>
    <row r="1389" spans="2:4" x14ac:dyDescent="0.25">
      <c r="C1389" t="s">
        <v>559</v>
      </c>
    </row>
    <row r="1390" spans="2:4" x14ac:dyDescent="0.25">
      <c r="B1390" t="s">
        <v>559</v>
      </c>
    </row>
    <row r="1391" spans="2:4" x14ac:dyDescent="0.25">
      <c r="B1391" t="s">
        <v>1589</v>
      </c>
    </row>
    <row r="1392" spans="2:4" x14ac:dyDescent="0.25">
      <c r="B1392" t="s">
        <v>558</v>
      </c>
    </row>
    <row r="1393" spans="3:4" x14ac:dyDescent="0.25">
      <c r="C1393" t="s">
        <v>2149</v>
      </c>
    </row>
    <row r="1394" spans="3:4" x14ac:dyDescent="0.25">
      <c r="C1394" t="s">
        <v>2150</v>
      </c>
    </row>
    <row r="1396" spans="3:4" x14ac:dyDescent="0.25">
      <c r="C1396" t="s">
        <v>1395</v>
      </c>
    </row>
    <row r="1397" spans="3:4" x14ac:dyDescent="0.25">
      <c r="C1397" t="s">
        <v>1396</v>
      </c>
    </row>
    <row r="1399" spans="3:4" x14ac:dyDescent="0.25">
      <c r="C1399" t="s">
        <v>1590</v>
      </c>
    </row>
    <row r="1400" spans="3:4" x14ac:dyDescent="0.25">
      <c r="C1400" t="s">
        <v>1591</v>
      </c>
    </row>
    <row r="1402" spans="3:4" x14ac:dyDescent="0.25">
      <c r="C1402" t="s">
        <v>1362</v>
      </c>
    </row>
    <row r="1403" spans="3:4" x14ac:dyDescent="0.25">
      <c r="C1403" t="s">
        <v>1362</v>
      </c>
    </row>
    <row r="1404" spans="3:4" x14ac:dyDescent="0.25">
      <c r="C1404" t="s">
        <v>1362</v>
      </c>
    </row>
    <row r="1405" spans="3:4" x14ac:dyDescent="0.25">
      <c r="C1405" t="s">
        <v>823</v>
      </c>
    </row>
    <row r="1406" spans="3:4" x14ac:dyDescent="0.25">
      <c r="C1406" t="s">
        <v>558</v>
      </c>
    </row>
    <row r="1407" spans="3:4" x14ac:dyDescent="0.25">
      <c r="D1407" t="s">
        <v>2234</v>
      </c>
    </row>
    <row r="1408" spans="3:4" x14ac:dyDescent="0.25">
      <c r="D1408" t="s">
        <v>2074</v>
      </c>
    </row>
    <row r="1409" spans="2:4" x14ac:dyDescent="0.25">
      <c r="D1409" t="s">
        <v>2236</v>
      </c>
    </row>
    <row r="1410" spans="2:4" x14ac:dyDescent="0.25">
      <c r="C1410" t="s">
        <v>559</v>
      </c>
    </row>
    <row r="1411" spans="2:4" x14ac:dyDescent="0.25">
      <c r="C1411" t="s">
        <v>823</v>
      </c>
    </row>
    <row r="1412" spans="2:4" x14ac:dyDescent="0.25">
      <c r="C1412" t="s">
        <v>558</v>
      </c>
    </row>
    <row r="1413" spans="2:4" x14ac:dyDescent="0.25">
      <c r="D1413" t="s">
        <v>2284</v>
      </c>
    </row>
    <row r="1414" spans="2:4" x14ac:dyDescent="0.25">
      <c r="D1414" t="s">
        <v>2074</v>
      </c>
    </row>
    <row r="1415" spans="2:4" x14ac:dyDescent="0.25">
      <c r="D1415" t="s">
        <v>852</v>
      </c>
    </row>
    <row r="1416" spans="2:4" x14ac:dyDescent="0.25">
      <c r="C1416" t="s">
        <v>559</v>
      </c>
    </row>
    <row r="1417" spans="2:4" x14ac:dyDescent="0.25">
      <c r="B1417" t="s">
        <v>559</v>
      </c>
    </row>
    <row r="1420" spans="2:4" x14ac:dyDescent="0.25">
      <c r="B1420" t="s">
        <v>822</v>
      </c>
    </row>
    <row r="1421" spans="2:4" x14ac:dyDescent="0.25">
      <c r="B1421" t="s">
        <v>2354</v>
      </c>
    </row>
    <row r="1422" spans="2:4" x14ac:dyDescent="0.25">
      <c r="B1422" t="s">
        <v>822</v>
      </c>
    </row>
    <row r="1424" spans="2:4" x14ac:dyDescent="0.25">
      <c r="B1424" t="s">
        <v>830</v>
      </c>
    </row>
    <row r="1425" spans="2:4" x14ac:dyDescent="0.25">
      <c r="B1425" t="s">
        <v>558</v>
      </c>
    </row>
    <row r="1426" spans="2:4" x14ac:dyDescent="0.25">
      <c r="C1426" t="s">
        <v>2355</v>
      </c>
    </row>
    <row r="1427" spans="2:4" x14ac:dyDescent="0.25">
      <c r="C1427" t="s">
        <v>2787</v>
      </c>
    </row>
    <row r="1428" spans="2:4" x14ac:dyDescent="0.25">
      <c r="C1428" t="s">
        <v>2356</v>
      </c>
    </row>
    <row r="1429" spans="2:4" x14ac:dyDescent="0.25">
      <c r="C1429" t="s">
        <v>1844</v>
      </c>
    </row>
    <row r="1430" spans="2:4" x14ac:dyDescent="0.25">
      <c r="C1430" t="s">
        <v>832</v>
      </c>
    </row>
    <row r="1431" spans="2:4" x14ac:dyDescent="0.25">
      <c r="C1431" t="s">
        <v>2357</v>
      </c>
    </row>
    <row r="1432" spans="2:4" x14ac:dyDescent="0.25">
      <c r="C1432" t="s">
        <v>833</v>
      </c>
    </row>
    <row r="1433" spans="2:4" x14ac:dyDescent="0.25">
      <c r="C1433" t="s">
        <v>2358</v>
      </c>
    </row>
    <row r="1434" spans="2:4" x14ac:dyDescent="0.25">
      <c r="C1434" t="s">
        <v>2359</v>
      </c>
    </row>
    <row r="1435" spans="2:4" x14ac:dyDescent="0.25">
      <c r="C1435" t="s">
        <v>835</v>
      </c>
    </row>
    <row r="1436" spans="2:4" x14ac:dyDescent="0.25">
      <c r="C1436" t="s">
        <v>823</v>
      </c>
    </row>
    <row r="1437" spans="2:4" x14ac:dyDescent="0.25">
      <c r="C1437" t="s">
        <v>558</v>
      </c>
    </row>
    <row r="1438" spans="2:4" x14ac:dyDescent="0.25">
      <c r="D1438" t="s">
        <v>2309</v>
      </c>
    </row>
    <row r="1439" spans="2:4" x14ac:dyDescent="0.25">
      <c r="D1439" t="s">
        <v>851</v>
      </c>
    </row>
    <row r="1440" spans="2:4" x14ac:dyDescent="0.25">
      <c r="D1440" t="s">
        <v>852</v>
      </c>
    </row>
    <row r="1441" spans="2:3" x14ac:dyDescent="0.25">
      <c r="C1441" t="s">
        <v>559</v>
      </c>
    </row>
    <row r="1442" spans="2:3" x14ac:dyDescent="0.25">
      <c r="B1442" t="s">
        <v>559</v>
      </c>
    </row>
    <row r="1443" spans="2:3" x14ac:dyDescent="0.25">
      <c r="B1443" t="s">
        <v>830</v>
      </c>
    </row>
    <row r="1444" spans="2:3" x14ac:dyDescent="0.25">
      <c r="B1444" t="s">
        <v>558</v>
      </c>
    </row>
    <row r="1445" spans="2:3" x14ac:dyDescent="0.25">
      <c r="C1445" t="s">
        <v>2360</v>
      </c>
    </row>
    <row r="1446" spans="2:3" x14ac:dyDescent="0.25">
      <c r="C1446" t="s">
        <v>2822</v>
      </c>
    </row>
    <row r="1447" spans="2:3" x14ac:dyDescent="0.25">
      <c r="C1447" t="s">
        <v>2361</v>
      </c>
    </row>
    <row r="1448" spans="2:3" x14ac:dyDescent="0.25">
      <c r="C1448" t="s">
        <v>1706</v>
      </c>
    </row>
    <row r="1449" spans="2:3" x14ac:dyDescent="0.25">
      <c r="C1449" t="s">
        <v>832</v>
      </c>
    </row>
    <row r="1450" spans="2:3" x14ac:dyDescent="0.25">
      <c r="C1450" t="s">
        <v>2362</v>
      </c>
    </row>
    <row r="1451" spans="2:3" x14ac:dyDescent="0.25">
      <c r="C1451" t="s">
        <v>833</v>
      </c>
    </row>
    <row r="1452" spans="2:3" x14ac:dyDescent="0.25">
      <c r="C1452" t="s">
        <v>2358</v>
      </c>
    </row>
    <row r="1453" spans="2:3" x14ac:dyDescent="0.25">
      <c r="C1453" t="s">
        <v>2363</v>
      </c>
    </row>
    <row r="1454" spans="2:3" x14ac:dyDescent="0.25">
      <c r="C1454" t="s">
        <v>835</v>
      </c>
    </row>
    <row r="1455" spans="2:3" x14ac:dyDescent="0.25">
      <c r="C1455" t="s">
        <v>823</v>
      </c>
    </row>
    <row r="1456" spans="2:3" x14ac:dyDescent="0.25">
      <c r="C1456" t="s">
        <v>558</v>
      </c>
    </row>
    <row r="1457" spans="2:4" x14ac:dyDescent="0.25">
      <c r="D1457" t="s">
        <v>2311</v>
      </c>
    </row>
    <row r="1458" spans="2:4" x14ac:dyDescent="0.25">
      <c r="D1458" t="s">
        <v>851</v>
      </c>
    </row>
    <row r="1459" spans="2:4" x14ac:dyDescent="0.25">
      <c r="D1459" t="s">
        <v>852</v>
      </c>
    </row>
    <row r="1460" spans="2:4" x14ac:dyDescent="0.25">
      <c r="C1460" t="s">
        <v>559</v>
      </c>
    </row>
    <row r="1461" spans="2:4" x14ac:dyDescent="0.25">
      <c r="B1461" t="s">
        <v>559</v>
      </c>
    </row>
    <row r="1462" spans="2:4" x14ac:dyDescent="0.25">
      <c r="B1462" t="s">
        <v>830</v>
      </c>
    </row>
    <row r="1463" spans="2:4" x14ac:dyDescent="0.25">
      <c r="B1463" t="s">
        <v>558</v>
      </c>
    </row>
    <row r="1464" spans="2:4" x14ac:dyDescent="0.25">
      <c r="C1464" t="s">
        <v>2364</v>
      </c>
    </row>
    <row r="1465" spans="2:4" x14ac:dyDescent="0.25">
      <c r="C1465" t="s">
        <v>2806</v>
      </c>
    </row>
    <row r="1466" spans="2:4" x14ac:dyDescent="0.25">
      <c r="C1466" t="s">
        <v>2365</v>
      </c>
    </row>
    <row r="1467" spans="2:4" x14ac:dyDescent="0.25">
      <c r="C1467" t="s">
        <v>1721</v>
      </c>
    </row>
    <row r="1468" spans="2:4" x14ac:dyDescent="0.25">
      <c r="C1468" t="s">
        <v>832</v>
      </c>
    </row>
    <row r="1469" spans="2:4" x14ac:dyDescent="0.25">
      <c r="C1469" t="s">
        <v>2366</v>
      </c>
    </row>
    <row r="1470" spans="2:4" x14ac:dyDescent="0.25">
      <c r="C1470" t="s">
        <v>833</v>
      </c>
    </row>
    <row r="1471" spans="2:4" x14ac:dyDescent="0.25">
      <c r="C1471" t="s">
        <v>2367</v>
      </c>
    </row>
    <row r="1472" spans="2:4" x14ac:dyDescent="0.25">
      <c r="C1472" t="s">
        <v>2368</v>
      </c>
    </row>
    <row r="1473" spans="2:4" x14ac:dyDescent="0.25">
      <c r="C1473" t="s">
        <v>835</v>
      </c>
    </row>
    <row r="1474" spans="2:4" x14ac:dyDescent="0.25">
      <c r="C1474" t="s">
        <v>823</v>
      </c>
    </row>
    <row r="1475" spans="2:4" x14ac:dyDescent="0.25">
      <c r="C1475" t="s">
        <v>558</v>
      </c>
    </row>
    <row r="1476" spans="2:4" x14ac:dyDescent="0.25">
      <c r="D1476" t="s">
        <v>2312</v>
      </c>
    </row>
    <row r="1477" spans="2:4" x14ac:dyDescent="0.25">
      <c r="D1477" t="s">
        <v>2074</v>
      </c>
    </row>
    <row r="1478" spans="2:4" x14ac:dyDescent="0.25">
      <c r="D1478" t="s">
        <v>2236</v>
      </c>
    </row>
    <row r="1479" spans="2:4" x14ac:dyDescent="0.25">
      <c r="C1479" t="s">
        <v>559</v>
      </c>
    </row>
    <row r="1480" spans="2:4" x14ac:dyDescent="0.25">
      <c r="B1480" t="s">
        <v>559</v>
      </c>
    </row>
    <row r="1481" spans="2:4" x14ac:dyDescent="0.25">
      <c r="B1481" t="s">
        <v>830</v>
      </c>
    </row>
    <row r="1482" spans="2:4" x14ac:dyDescent="0.25">
      <c r="B1482" t="s">
        <v>558</v>
      </c>
    </row>
    <row r="1483" spans="2:4" x14ac:dyDescent="0.25">
      <c r="C1483" t="s">
        <v>2369</v>
      </c>
    </row>
    <row r="1484" spans="2:4" x14ac:dyDescent="0.25">
      <c r="C1484" t="s">
        <v>2370</v>
      </c>
    </row>
    <row r="1485" spans="2:4" x14ac:dyDescent="0.25">
      <c r="C1485" t="s">
        <v>2371</v>
      </c>
    </row>
    <row r="1486" spans="2:4" x14ac:dyDescent="0.25">
      <c r="C1486" t="s">
        <v>1748</v>
      </c>
    </row>
    <row r="1487" spans="2:4" x14ac:dyDescent="0.25">
      <c r="C1487" t="s">
        <v>832</v>
      </c>
    </row>
    <row r="1488" spans="2:4" x14ac:dyDescent="0.25">
      <c r="C1488" t="s">
        <v>2372</v>
      </c>
    </row>
    <row r="1489" spans="2:4" x14ac:dyDescent="0.25">
      <c r="C1489" t="s">
        <v>833</v>
      </c>
    </row>
    <row r="1490" spans="2:4" x14ac:dyDescent="0.25">
      <c r="C1490" t="s">
        <v>2373</v>
      </c>
    </row>
    <row r="1491" spans="2:4" x14ac:dyDescent="0.25">
      <c r="C1491" t="s">
        <v>2374</v>
      </c>
    </row>
    <row r="1492" spans="2:4" x14ac:dyDescent="0.25">
      <c r="C1492" t="s">
        <v>835</v>
      </c>
    </row>
    <row r="1493" spans="2:4" x14ac:dyDescent="0.25">
      <c r="C1493" t="s">
        <v>823</v>
      </c>
    </row>
    <row r="1494" spans="2:4" x14ac:dyDescent="0.25">
      <c r="C1494" t="s">
        <v>558</v>
      </c>
    </row>
    <row r="1495" spans="2:4" x14ac:dyDescent="0.25">
      <c r="D1495" t="s">
        <v>2313</v>
      </c>
    </row>
    <row r="1496" spans="2:4" x14ac:dyDescent="0.25">
      <c r="D1496" t="s">
        <v>2074</v>
      </c>
    </row>
    <row r="1497" spans="2:4" x14ac:dyDescent="0.25">
      <c r="D1497" t="s">
        <v>2236</v>
      </c>
    </row>
    <row r="1498" spans="2:4" x14ac:dyDescent="0.25">
      <c r="C1498" t="s">
        <v>559</v>
      </c>
    </row>
    <row r="1499" spans="2:4" x14ac:dyDescent="0.25">
      <c r="B1499" t="s">
        <v>559</v>
      </c>
    </row>
    <row r="1500" spans="2:4" x14ac:dyDescent="0.25">
      <c r="B1500" t="s">
        <v>830</v>
      </c>
    </row>
    <row r="1501" spans="2:4" x14ac:dyDescent="0.25">
      <c r="B1501" t="s">
        <v>558</v>
      </c>
    </row>
    <row r="1502" spans="2:4" x14ac:dyDescent="0.25">
      <c r="C1502" t="s">
        <v>2000</v>
      </c>
    </row>
    <row r="1503" spans="2:4" x14ac:dyDescent="0.25">
      <c r="C1503" t="s">
        <v>2001</v>
      </c>
    </row>
    <row r="1504" spans="2:4" x14ac:dyDescent="0.25">
      <c r="C1504" t="s">
        <v>2002</v>
      </c>
    </row>
    <row r="1505" spans="2:4" x14ac:dyDescent="0.25">
      <c r="C1505" t="s">
        <v>1711</v>
      </c>
    </row>
    <row r="1506" spans="2:4" x14ac:dyDescent="0.25">
      <c r="C1506" t="s">
        <v>832</v>
      </c>
    </row>
    <row r="1507" spans="2:4" x14ac:dyDescent="0.25">
      <c r="C1507" t="s">
        <v>2003</v>
      </c>
    </row>
    <row r="1508" spans="2:4" x14ac:dyDescent="0.25">
      <c r="C1508" t="s">
        <v>833</v>
      </c>
    </row>
    <row r="1509" spans="2:4" x14ac:dyDescent="0.25">
      <c r="C1509" t="s">
        <v>1701</v>
      </c>
    </row>
    <row r="1510" spans="2:4" x14ac:dyDescent="0.25">
      <c r="C1510" t="s">
        <v>2155</v>
      </c>
    </row>
    <row r="1511" spans="2:4" x14ac:dyDescent="0.25">
      <c r="C1511" t="s">
        <v>835</v>
      </c>
    </row>
    <row r="1512" spans="2:4" x14ac:dyDescent="0.25">
      <c r="C1512" t="s">
        <v>823</v>
      </c>
    </row>
    <row r="1513" spans="2:4" x14ac:dyDescent="0.25">
      <c r="C1513" t="s">
        <v>558</v>
      </c>
    </row>
    <row r="1514" spans="2:4" x14ac:dyDescent="0.25">
      <c r="D1514" t="s">
        <v>2308</v>
      </c>
    </row>
    <row r="1515" spans="2:4" x14ac:dyDescent="0.25">
      <c r="D1515" t="s">
        <v>2074</v>
      </c>
    </row>
    <row r="1516" spans="2:4" x14ac:dyDescent="0.25">
      <c r="D1516" t="s">
        <v>852</v>
      </c>
    </row>
    <row r="1517" spans="2:4" x14ac:dyDescent="0.25">
      <c r="C1517" t="s">
        <v>559</v>
      </c>
    </row>
    <row r="1518" spans="2:4" x14ac:dyDescent="0.25">
      <c r="B1518" t="s">
        <v>559</v>
      </c>
    </row>
    <row r="1519" spans="2:4" x14ac:dyDescent="0.25">
      <c r="B1519" t="s">
        <v>830</v>
      </c>
    </row>
    <row r="1520" spans="2:4" x14ac:dyDescent="0.25">
      <c r="B1520" t="s">
        <v>558</v>
      </c>
    </row>
    <row r="1521" spans="3:4" x14ac:dyDescent="0.25">
      <c r="C1521" t="s">
        <v>1759</v>
      </c>
    </row>
    <row r="1522" spans="3:4" x14ac:dyDescent="0.25">
      <c r="C1522" t="s">
        <v>1760</v>
      </c>
    </row>
    <row r="1523" spans="3:4" x14ac:dyDescent="0.25">
      <c r="C1523" t="s">
        <v>1761</v>
      </c>
    </row>
    <row r="1524" spans="3:4" x14ac:dyDescent="0.25">
      <c r="C1524" t="s">
        <v>1706</v>
      </c>
    </row>
    <row r="1525" spans="3:4" x14ac:dyDescent="0.25">
      <c r="C1525" t="s">
        <v>832</v>
      </c>
    </row>
    <row r="1526" spans="3:4" x14ac:dyDescent="0.25">
      <c r="C1526" t="s">
        <v>1762</v>
      </c>
    </row>
    <row r="1527" spans="3:4" x14ac:dyDescent="0.25">
      <c r="C1527" t="s">
        <v>833</v>
      </c>
    </row>
    <row r="1528" spans="3:4" x14ac:dyDescent="0.25">
      <c r="C1528" t="s">
        <v>1701</v>
      </c>
    </row>
    <row r="1529" spans="3:4" x14ac:dyDescent="0.25">
      <c r="C1529" t="s">
        <v>2156</v>
      </c>
    </row>
    <row r="1530" spans="3:4" x14ac:dyDescent="0.25">
      <c r="C1530" t="s">
        <v>835</v>
      </c>
    </row>
    <row r="1531" spans="3:4" x14ac:dyDescent="0.25">
      <c r="C1531" t="s">
        <v>823</v>
      </c>
    </row>
    <row r="1532" spans="3:4" x14ac:dyDescent="0.25">
      <c r="C1532" t="s">
        <v>558</v>
      </c>
    </row>
    <row r="1533" spans="3:4" x14ac:dyDescent="0.25">
      <c r="D1533" t="s">
        <v>2319</v>
      </c>
    </row>
    <row r="1534" spans="3:4" x14ac:dyDescent="0.25">
      <c r="D1534" t="s">
        <v>851</v>
      </c>
    </row>
    <row r="1535" spans="3:4" x14ac:dyDescent="0.25">
      <c r="D1535" t="s">
        <v>852</v>
      </c>
    </row>
    <row r="1536" spans="3:4" x14ac:dyDescent="0.25">
      <c r="C1536" t="s">
        <v>559</v>
      </c>
    </row>
    <row r="1537" spans="2:4" x14ac:dyDescent="0.25">
      <c r="B1537" t="s">
        <v>559</v>
      </c>
    </row>
    <row r="1538" spans="2:4" x14ac:dyDescent="0.25">
      <c r="B1538" t="s">
        <v>830</v>
      </c>
    </row>
    <row r="1539" spans="2:4" x14ac:dyDescent="0.25">
      <c r="B1539" t="s">
        <v>558</v>
      </c>
    </row>
    <row r="1540" spans="2:4" x14ac:dyDescent="0.25">
      <c r="C1540" t="s">
        <v>2375</v>
      </c>
    </row>
    <row r="1541" spans="2:4" x14ac:dyDescent="0.25">
      <c r="C1541" t="s">
        <v>2824</v>
      </c>
    </row>
    <row r="1542" spans="2:4" x14ac:dyDescent="0.25">
      <c r="C1542" t="s">
        <v>2376</v>
      </c>
    </row>
    <row r="1543" spans="2:4" x14ac:dyDescent="0.25">
      <c r="C1543" t="s">
        <v>1908</v>
      </c>
    </row>
    <row r="1544" spans="2:4" x14ac:dyDescent="0.25">
      <c r="C1544" t="s">
        <v>832</v>
      </c>
    </row>
    <row r="1545" spans="2:4" x14ac:dyDescent="0.25">
      <c r="C1545" t="s">
        <v>2377</v>
      </c>
    </row>
    <row r="1546" spans="2:4" x14ac:dyDescent="0.25">
      <c r="C1546" t="s">
        <v>833</v>
      </c>
    </row>
    <row r="1547" spans="2:4" x14ac:dyDescent="0.25">
      <c r="C1547" t="s">
        <v>2378</v>
      </c>
    </row>
    <row r="1548" spans="2:4" x14ac:dyDescent="0.25">
      <c r="C1548" t="s">
        <v>2379</v>
      </c>
    </row>
    <row r="1549" spans="2:4" x14ac:dyDescent="0.25">
      <c r="C1549" t="s">
        <v>835</v>
      </c>
    </row>
    <row r="1550" spans="2:4" x14ac:dyDescent="0.25">
      <c r="C1550" t="s">
        <v>823</v>
      </c>
    </row>
    <row r="1551" spans="2:4" x14ac:dyDescent="0.25">
      <c r="C1551" t="s">
        <v>558</v>
      </c>
    </row>
    <row r="1552" spans="2:4" x14ac:dyDescent="0.25">
      <c r="D1552" t="s">
        <v>2838</v>
      </c>
    </row>
    <row r="1553" spans="2:4" x14ac:dyDescent="0.25">
      <c r="D1553" t="s">
        <v>2074</v>
      </c>
    </row>
    <row r="1554" spans="2:4" x14ac:dyDescent="0.25">
      <c r="D1554" t="s">
        <v>2236</v>
      </c>
    </row>
    <row r="1555" spans="2:4" x14ac:dyDescent="0.25">
      <c r="C1555" t="s">
        <v>559</v>
      </c>
    </row>
    <row r="1556" spans="2:4" x14ac:dyDescent="0.25">
      <c r="C1556" t="s">
        <v>823</v>
      </c>
    </row>
    <row r="1557" spans="2:4" x14ac:dyDescent="0.25">
      <c r="C1557" t="s">
        <v>558</v>
      </c>
    </row>
    <row r="1558" spans="2:4" x14ac:dyDescent="0.25">
      <c r="D1558" t="s">
        <v>2314</v>
      </c>
    </row>
    <row r="1559" spans="2:4" x14ac:dyDescent="0.25">
      <c r="D1559" t="s">
        <v>851</v>
      </c>
    </row>
    <row r="1560" spans="2:4" x14ac:dyDescent="0.25">
      <c r="D1560" t="s">
        <v>852</v>
      </c>
    </row>
    <row r="1561" spans="2:4" x14ac:dyDescent="0.25">
      <c r="C1561" t="s">
        <v>559</v>
      </c>
    </row>
    <row r="1562" spans="2:4" x14ac:dyDescent="0.25">
      <c r="B1562" t="s">
        <v>559</v>
      </c>
    </row>
    <row r="1563" spans="2:4" x14ac:dyDescent="0.25">
      <c r="B1563" t="s">
        <v>830</v>
      </c>
    </row>
    <row r="1564" spans="2:4" x14ac:dyDescent="0.25">
      <c r="B1564" t="s">
        <v>558</v>
      </c>
    </row>
    <row r="1565" spans="2:4" x14ac:dyDescent="0.25">
      <c r="C1565" t="s">
        <v>2004</v>
      </c>
    </row>
    <row r="1566" spans="2:4" x14ac:dyDescent="0.25">
      <c r="C1566" t="s">
        <v>2005</v>
      </c>
    </row>
    <row r="1567" spans="2:4" x14ac:dyDescent="0.25">
      <c r="C1567" t="s">
        <v>2006</v>
      </c>
    </row>
    <row r="1568" spans="2:4" x14ac:dyDescent="0.25">
      <c r="C1568" t="s">
        <v>836</v>
      </c>
    </row>
    <row r="1569" spans="2:4" x14ac:dyDescent="0.25">
      <c r="C1569" t="s">
        <v>832</v>
      </c>
    </row>
    <row r="1570" spans="2:4" x14ac:dyDescent="0.25">
      <c r="C1570" t="s">
        <v>2007</v>
      </c>
    </row>
    <row r="1571" spans="2:4" x14ac:dyDescent="0.25">
      <c r="C1571" t="s">
        <v>833</v>
      </c>
    </row>
    <row r="1572" spans="2:4" x14ac:dyDescent="0.25">
      <c r="C1572" t="s">
        <v>1701</v>
      </c>
    </row>
    <row r="1573" spans="2:4" x14ac:dyDescent="0.25">
      <c r="C1573" t="s">
        <v>2342</v>
      </c>
    </row>
    <row r="1574" spans="2:4" x14ac:dyDescent="0.25">
      <c r="C1574" t="s">
        <v>835</v>
      </c>
    </row>
    <row r="1575" spans="2:4" x14ac:dyDescent="0.25">
      <c r="C1575" t="s">
        <v>823</v>
      </c>
    </row>
    <row r="1576" spans="2:4" x14ac:dyDescent="0.25">
      <c r="C1576" t="s">
        <v>558</v>
      </c>
    </row>
    <row r="1577" spans="2:4" x14ac:dyDescent="0.25">
      <c r="D1577" t="s">
        <v>2308</v>
      </c>
    </row>
    <row r="1578" spans="2:4" x14ac:dyDescent="0.25">
      <c r="D1578" t="s">
        <v>2074</v>
      </c>
    </row>
    <row r="1579" spans="2:4" x14ac:dyDescent="0.25">
      <c r="D1579" t="s">
        <v>852</v>
      </c>
    </row>
    <row r="1580" spans="2:4" x14ac:dyDescent="0.25">
      <c r="C1580" t="s">
        <v>559</v>
      </c>
    </row>
    <row r="1581" spans="2:4" x14ac:dyDescent="0.25">
      <c r="B1581" t="s">
        <v>559</v>
      </c>
    </row>
    <row r="1582" spans="2:4" x14ac:dyDescent="0.25">
      <c r="B1582" t="s">
        <v>830</v>
      </c>
    </row>
    <row r="1583" spans="2:4" x14ac:dyDescent="0.25">
      <c r="B1583" t="s">
        <v>558</v>
      </c>
    </row>
    <row r="1584" spans="2:4" x14ac:dyDescent="0.25">
      <c r="C1584" t="s">
        <v>1911</v>
      </c>
    </row>
    <row r="1585" spans="2:4" x14ac:dyDescent="0.25">
      <c r="C1585" t="s">
        <v>1912</v>
      </c>
    </row>
    <row r="1586" spans="2:4" x14ac:dyDescent="0.25">
      <c r="C1586" t="s">
        <v>1913</v>
      </c>
    </row>
    <row r="1587" spans="2:4" x14ac:dyDescent="0.25">
      <c r="C1587" t="s">
        <v>1726</v>
      </c>
    </row>
    <row r="1588" spans="2:4" x14ac:dyDescent="0.25">
      <c r="C1588" t="s">
        <v>832</v>
      </c>
    </row>
    <row r="1589" spans="2:4" x14ac:dyDescent="0.25">
      <c r="C1589" t="s">
        <v>1914</v>
      </c>
    </row>
    <row r="1590" spans="2:4" x14ac:dyDescent="0.25">
      <c r="C1590" t="s">
        <v>833</v>
      </c>
    </row>
    <row r="1591" spans="2:4" x14ac:dyDescent="0.25">
      <c r="C1591" t="s">
        <v>1701</v>
      </c>
    </row>
    <row r="1592" spans="2:4" x14ac:dyDescent="0.25">
      <c r="C1592" t="s">
        <v>2157</v>
      </c>
    </row>
    <row r="1593" spans="2:4" x14ac:dyDescent="0.25">
      <c r="C1593" t="s">
        <v>835</v>
      </c>
    </row>
    <row r="1594" spans="2:4" x14ac:dyDescent="0.25">
      <c r="C1594" t="s">
        <v>823</v>
      </c>
    </row>
    <row r="1595" spans="2:4" x14ac:dyDescent="0.25">
      <c r="C1595" t="s">
        <v>558</v>
      </c>
    </row>
    <row r="1596" spans="2:4" x14ac:dyDescent="0.25">
      <c r="D1596" t="s">
        <v>2320</v>
      </c>
    </row>
    <row r="1597" spans="2:4" x14ac:dyDescent="0.25">
      <c r="D1597" t="s">
        <v>851</v>
      </c>
    </row>
    <row r="1598" spans="2:4" x14ac:dyDescent="0.25">
      <c r="D1598" t="s">
        <v>852</v>
      </c>
    </row>
    <row r="1599" spans="2:4" x14ac:dyDescent="0.25">
      <c r="C1599" t="s">
        <v>559</v>
      </c>
    </row>
    <row r="1600" spans="2:4" x14ac:dyDescent="0.25">
      <c r="B1600" t="s">
        <v>559</v>
      </c>
    </row>
    <row r="1601" spans="2:4" x14ac:dyDescent="0.25">
      <c r="B1601" t="s">
        <v>830</v>
      </c>
    </row>
    <row r="1602" spans="2:4" x14ac:dyDescent="0.25">
      <c r="B1602" t="s">
        <v>558</v>
      </c>
    </row>
    <row r="1603" spans="2:4" x14ac:dyDescent="0.25">
      <c r="C1603" t="s">
        <v>2008</v>
      </c>
    </row>
    <row r="1604" spans="2:4" x14ac:dyDescent="0.25">
      <c r="C1604" t="s">
        <v>2009</v>
      </c>
    </row>
    <row r="1605" spans="2:4" x14ac:dyDescent="0.25">
      <c r="C1605" t="s">
        <v>2010</v>
      </c>
    </row>
    <row r="1606" spans="2:4" x14ac:dyDescent="0.25">
      <c r="C1606" t="s">
        <v>1890</v>
      </c>
    </row>
    <row r="1607" spans="2:4" x14ac:dyDescent="0.25">
      <c r="C1607" t="s">
        <v>832</v>
      </c>
    </row>
    <row r="1608" spans="2:4" x14ac:dyDescent="0.25">
      <c r="C1608" t="s">
        <v>2011</v>
      </c>
    </row>
    <row r="1609" spans="2:4" x14ac:dyDescent="0.25">
      <c r="C1609" t="s">
        <v>833</v>
      </c>
    </row>
    <row r="1610" spans="2:4" x14ac:dyDescent="0.25">
      <c r="C1610" t="s">
        <v>1701</v>
      </c>
    </row>
    <row r="1611" spans="2:4" x14ac:dyDescent="0.25">
      <c r="C1611" t="s">
        <v>2192</v>
      </c>
    </row>
    <row r="1612" spans="2:4" x14ac:dyDescent="0.25">
      <c r="C1612" t="s">
        <v>835</v>
      </c>
    </row>
    <row r="1613" spans="2:4" x14ac:dyDescent="0.25">
      <c r="C1613" t="s">
        <v>823</v>
      </c>
    </row>
    <row r="1614" spans="2:4" x14ac:dyDescent="0.25">
      <c r="C1614" t="s">
        <v>558</v>
      </c>
    </row>
    <row r="1615" spans="2:4" x14ac:dyDescent="0.25">
      <c r="D1615" t="s">
        <v>2321</v>
      </c>
    </row>
    <row r="1616" spans="2:4" x14ac:dyDescent="0.25">
      <c r="D1616" t="s">
        <v>851</v>
      </c>
    </row>
    <row r="1617" spans="2:4" x14ac:dyDescent="0.25">
      <c r="D1617" t="s">
        <v>852</v>
      </c>
    </row>
    <row r="1618" spans="2:4" x14ac:dyDescent="0.25">
      <c r="C1618" t="s">
        <v>559</v>
      </c>
    </row>
    <row r="1619" spans="2:4" x14ac:dyDescent="0.25">
      <c r="B1619" t="s">
        <v>559</v>
      </c>
    </row>
    <row r="1620" spans="2:4" x14ac:dyDescent="0.25">
      <c r="B1620" t="s">
        <v>830</v>
      </c>
    </row>
    <row r="1621" spans="2:4" x14ac:dyDescent="0.25">
      <c r="B1621" t="s">
        <v>558</v>
      </c>
    </row>
    <row r="1622" spans="2:4" x14ac:dyDescent="0.25">
      <c r="C1622" t="s">
        <v>2380</v>
      </c>
    </row>
    <row r="1623" spans="2:4" x14ac:dyDescent="0.25">
      <c r="C1623" t="s">
        <v>2381</v>
      </c>
    </row>
    <row r="1624" spans="2:4" x14ac:dyDescent="0.25">
      <c r="C1624" t="s">
        <v>2382</v>
      </c>
    </row>
    <row r="1625" spans="2:4" x14ac:dyDescent="0.25">
      <c r="C1625" t="s">
        <v>1706</v>
      </c>
    </row>
    <row r="1626" spans="2:4" x14ac:dyDescent="0.25">
      <c r="C1626" t="s">
        <v>832</v>
      </c>
    </row>
    <row r="1627" spans="2:4" x14ac:dyDescent="0.25">
      <c r="C1627" t="s">
        <v>2383</v>
      </c>
    </row>
    <row r="1628" spans="2:4" x14ac:dyDescent="0.25">
      <c r="C1628" t="s">
        <v>833</v>
      </c>
    </row>
    <row r="1629" spans="2:4" x14ac:dyDescent="0.25">
      <c r="C1629" t="s">
        <v>2384</v>
      </c>
    </row>
    <row r="1630" spans="2:4" x14ac:dyDescent="0.25">
      <c r="C1630" t="s">
        <v>2385</v>
      </c>
    </row>
    <row r="1631" spans="2:4" x14ac:dyDescent="0.25">
      <c r="C1631" t="s">
        <v>835</v>
      </c>
    </row>
    <row r="1632" spans="2:4" x14ac:dyDescent="0.25">
      <c r="C1632" t="s">
        <v>823</v>
      </c>
    </row>
    <row r="1633" spans="2:4" x14ac:dyDescent="0.25">
      <c r="C1633" t="s">
        <v>558</v>
      </c>
    </row>
    <row r="1634" spans="2:4" x14ac:dyDescent="0.25">
      <c r="D1634" t="s">
        <v>2315</v>
      </c>
    </row>
    <row r="1635" spans="2:4" x14ac:dyDescent="0.25">
      <c r="D1635" t="s">
        <v>851</v>
      </c>
    </row>
    <row r="1636" spans="2:4" x14ac:dyDescent="0.25">
      <c r="D1636" t="s">
        <v>852</v>
      </c>
    </row>
    <row r="1637" spans="2:4" x14ac:dyDescent="0.25">
      <c r="C1637" t="s">
        <v>559</v>
      </c>
    </row>
    <row r="1638" spans="2:4" x14ac:dyDescent="0.25">
      <c r="C1638" t="s">
        <v>823</v>
      </c>
    </row>
    <row r="1639" spans="2:4" x14ac:dyDescent="0.25">
      <c r="C1639" t="s">
        <v>558</v>
      </c>
    </row>
    <row r="1640" spans="2:4" x14ac:dyDescent="0.25">
      <c r="D1640" t="s">
        <v>2256</v>
      </c>
    </row>
    <row r="1641" spans="2:4" x14ac:dyDescent="0.25">
      <c r="D1641" t="s">
        <v>851</v>
      </c>
    </row>
    <row r="1642" spans="2:4" x14ac:dyDescent="0.25">
      <c r="D1642" t="s">
        <v>852</v>
      </c>
    </row>
    <row r="1643" spans="2:4" x14ac:dyDescent="0.25">
      <c r="C1643" t="s">
        <v>559</v>
      </c>
    </row>
    <row r="1644" spans="2:4" x14ac:dyDescent="0.25">
      <c r="B1644" t="s">
        <v>559</v>
      </c>
    </row>
    <row r="1645" spans="2:4" x14ac:dyDescent="0.25">
      <c r="B1645" t="s">
        <v>830</v>
      </c>
    </row>
    <row r="1646" spans="2:4" x14ac:dyDescent="0.25">
      <c r="B1646" t="s">
        <v>558</v>
      </c>
    </row>
    <row r="1647" spans="2:4" x14ac:dyDescent="0.25">
      <c r="C1647" t="s">
        <v>2386</v>
      </c>
    </row>
    <row r="1648" spans="2:4" x14ac:dyDescent="0.25">
      <c r="C1648" t="s">
        <v>2387</v>
      </c>
    </row>
    <row r="1649" spans="2:4" x14ac:dyDescent="0.25">
      <c r="C1649" t="s">
        <v>2388</v>
      </c>
    </row>
    <row r="1650" spans="2:4" x14ac:dyDescent="0.25">
      <c r="C1650" t="s">
        <v>1748</v>
      </c>
    </row>
    <row r="1651" spans="2:4" x14ac:dyDescent="0.25">
      <c r="C1651" t="s">
        <v>832</v>
      </c>
    </row>
    <row r="1652" spans="2:4" x14ac:dyDescent="0.25">
      <c r="C1652" t="s">
        <v>2389</v>
      </c>
    </row>
    <row r="1653" spans="2:4" x14ac:dyDescent="0.25">
      <c r="C1653" t="s">
        <v>833</v>
      </c>
    </row>
    <row r="1654" spans="2:4" x14ac:dyDescent="0.25">
      <c r="C1654" t="s">
        <v>2390</v>
      </c>
    </row>
    <row r="1655" spans="2:4" x14ac:dyDescent="0.25">
      <c r="C1655" t="s">
        <v>2391</v>
      </c>
    </row>
    <row r="1656" spans="2:4" x14ac:dyDescent="0.25">
      <c r="C1656" t="s">
        <v>835</v>
      </c>
    </row>
    <row r="1657" spans="2:4" x14ac:dyDescent="0.25">
      <c r="C1657" t="s">
        <v>823</v>
      </c>
    </row>
    <row r="1658" spans="2:4" x14ac:dyDescent="0.25">
      <c r="C1658" t="s">
        <v>558</v>
      </c>
    </row>
    <row r="1659" spans="2:4" x14ac:dyDescent="0.25">
      <c r="D1659" t="s">
        <v>2316</v>
      </c>
    </row>
    <row r="1660" spans="2:4" x14ac:dyDescent="0.25">
      <c r="D1660" t="s">
        <v>851</v>
      </c>
    </row>
    <row r="1661" spans="2:4" x14ac:dyDescent="0.25">
      <c r="D1661" t="s">
        <v>852</v>
      </c>
    </row>
    <row r="1662" spans="2:4" x14ac:dyDescent="0.25">
      <c r="C1662" t="s">
        <v>559</v>
      </c>
    </row>
    <row r="1663" spans="2:4" x14ac:dyDescent="0.25">
      <c r="B1663" t="s">
        <v>559</v>
      </c>
    </row>
    <row r="1664" spans="2:4" x14ac:dyDescent="0.25">
      <c r="B1664" t="s">
        <v>830</v>
      </c>
    </row>
    <row r="1665" spans="2:4" x14ac:dyDescent="0.25">
      <c r="B1665" t="s">
        <v>558</v>
      </c>
    </row>
    <row r="1666" spans="2:4" x14ac:dyDescent="0.25">
      <c r="C1666" t="s">
        <v>2392</v>
      </c>
    </row>
    <row r="1667" spans="2:4" x14ac:dyDescent="0.25">
      <c r="C1667" t="s">
        <v>2825</v>
      </c>
    </row>
    <row r="1668" spans="2:4" x14ac:dyDescent="0.25">
      <c r="C1668" t="s">
        <v>2393</v>
      </c>
    </row>
    <row r="1669" spans="2:4" x14ac:dyDescent="0.25">
      <c r="C1669" t="s">
        <v>2394</v>
      </c>
    </row>
    <row r="1670" spans="2:4" x14ac:dyDescent="0.25">
      <c r="C1670" t="s">
        <v>832</v>
      </c>
    </row>
    <row r="1671" spans="2:4" x14ac:dyDescent="0.25">
      <c r="C1671" t="s">
        <v>2395</v>
      </c>
    </row>
    <row r="1672" spans="2:4" x14ac:dyDescent="0.25">
      <c r="C1672" t="s">
        <v>833</v>
      </c>
    </row>
    <row r="1673" spans="2:4" x14ac:dyDescent="0.25">
      <c r="C1673" t="s">
        <v>2396</v>
      </c>
    </row>
    <row r="1674" spans="2:4" x14ac:dyDescent="0.25">
      <c r="C1674" t="s">
        <v>2397</v>
      </c>
    </row>
    <row r="1675" spans="2:4" x14ac:dyDescent="0.25">
      <c r="C1675" t="s">
        <v>835</v>
      </c>
    </row>
    <row r="1676" spans="2:4" x14ac:dyDescent="0.25">
      <c r="C1676" t="s">
        <v>823</v>
      </c>
    </row>
    <row r="1677" spans="2:4" x14ac:dyDescent="0.25">
      <c r="C1677" t="s">
        <v>558</v>
      </c>
    </row>
    <row r="1678" spans="2:4" x14ac:dyDescent="0.25">
      <c r="D1678" t="s">
        <v>2317</v>
      </c>
    </row>
    <row r="1679" spans="2:4" x14ac:dyDescent="0.25">
      <c r="D1679" t="s">
        <v>2074</v>
      </c>
    </row>
    <row r="1680" spans="2:4" x14ac:dyDescent="0.25">
      <c r="D1680" t="s">
        <v>2236</v>
      </c>
    </row>
    <row r="1681" spans="2:3" x14ac:dyDescent="0.25">
      <c r="C1681" t="s">
        <v>559</v>
      </c>
    </row>
    <row r="1682" spans="2:3" x14ac:dyDescent="0.25">
      <c r="B1682" t="s">
        <v>559</v>
      </c>
    </row>
    <row r="1683" spans="2:3" x14ac:dyDescent="0.25">
      <c r="B1683" t="s">
        <v>830</v>
      </c>
    </row>
    <row r="1684" spans="2:3" x14ac:dyDescent="0.25">
      <c r="B1684" t="s">
        <v>558</v>
      </c>
    </row>
    <row r="1685" spans="2:3" x14ac:dyDescent="0.25">
      <c r="C1685" t="s">
        <v>2012</v>
      </c>
    </row>
    <row r="1686" spans="2:3" x14ac:dyDescent="0.25">
      <c r="C1686" t="s">
        <v>2013</v>
      </c>
    </row>
    <row r="1687" spans="2:3" x14ac:dyDescent="0.25">
      <c r="C1687" t="s">
        <v>2014</v>
      </c>
    </row>
    <row r="1688" spans="2:3" x14ac:dyDescent="0.25">
      <c r="C1688" t="s">
        <v>1918</v>
      </c>
    </row>
    <row r="1689" spans="2:3" x14ac:dyDescent="0.25">
      <c r="C1689" t="s">
        <v>832</v>
      </c>
    </row>
    <row r="1690" spans="2:3" x14ac:dyDescent="0.25">
      <c r="C1690" t="s">
        <v>2015</v>
      </c>
    </row>
    <row r="1691" spans="2:3" x14ac:dyDescent="0.25">
      <c r="C1691" t="s">
        <v>833</v>
      </c>
    </row>
    <row r="1692" spans="2:3" x14ac:dyDescent="0.25">
      <c r="C1692" t="s">
        <v>1701</v>
      </c>
    </row>
    <row r="1693" spans="2:3" x14ac:dyDescent="0.25">
      <c r="C1693" t="s">
        <v>2343</v>
      </c>
    </row>
    <row r="1694" spans="2:3" x14ac:dyDescent="0.25">
      <c r="C1694" t="s">
        <v>835</v>
      </c>
    </row>
    <row r="1695" spans="2:3" x14ac:dyDescent="0.25">
      <c r="B1695" t="s">
        <v>559</v>
      </c>
    </row>
    <row r="1696" spans="2:3" x14ac:dyDescent="0.25">
      <c r="B1696" t="s">
        <v>830</v>
      </c>
    </row>
    <row r="1697" spans="2:3" x14ac:dyDescent="0.25">
      <c r="B1697" t="s">
        <v>558</v>
      </c>
    </row>
    <row r="1698" spans="2:3" x14ac:dyDescent="0.25">
      <c r="C1698" t="s">
        <v>1763</v>
      </c>
    </row>
    <row r="1699" spans="2:3" x14ac:dyDescent="0.25">
      <c r="C1699" t="s">
        <v>1764</v>
      </c>
    </row>
    <row r="1700" spans="2:3" x14ac:dyDescent="0.25">
      <c r="C1700" t="s">
        <v>1765</v>
      </c>
    </row>
    <row r="1701" spans="2:3" x14ac:dyDescent="0.25">
      <c r="C1701" t="s">
        <v>1711</v>
      </c>
    </row>
    <row r="1702" spans="2:3" x14ac:dyDescent="0.25">
      <c r="C1702" t="s">
        <v>832</v>
      </c>
    </row>
    <row r="1703" spans="2:3" x14ac:dyDescent="0.25">
      <c r="C1703" t="s">
        <v>1766</v>
      </c>
    </row>
    <row r="1704" spans="2:3" x14ac:dyDescent="0.25">
      <c r="C1704" t="s">
        <v>833</v>
      </c>
    </row>
    <row r="1705" spans="2:3" x14ac:dyDescent="0.25">
      <c r="C1705" t="s">
        <v>1701</v>
      </c>
    </row>
    <row r="1706" spans="2:3" x14ac:dyDescent="0.25">
      <c r="C1706" t="s">
        <v>2168</v>
      </c>
    </row>
    <row r="1707" spans="2:3" x14ac:dyDescent="0.25">
      <c r="C1707" t="s">
        <v>835</v>
      </c>
    </row>
    <row r="1708" spans="2:3" x14ac:dyDescent="0.25">
      <c r="B1708" t="s">
        <v>559</v>
      </c>
    </row>
    <row r="1709" spans="2:3" x14ac:dyDescent="0.25">
      <c r="B1709" t="s">
        <v>830</v>
      </c>
    </row>
    <row r="1710" spans="2:3" x14ac:dyDescent="0.25">
      <c r="B1710" t="s">
        <v>558</v>
      </c>
    </row>
    <row r="1711" spans="2:3" x14ac:dyDescent="0.25">
      <c r="C1711" t="s">
        <v>1887</v>
      </c>
    </row>
    <row r="1712" spans="2:3" x14ac:dyDescent="0.25">
      <c r="C1712" t="s">
        <v>1888</v>
      </c>
    </row>
    <row r="1713" spans="2:3" x14ac:dyDescent="0.25">
      <c r="C1713" t="s">
        <v>1889</v>
      </c>
    </row>
    <row r="1714" spans="2:3" x14ac:dyDescent="0.25">
      <c r="C1714" t="s">
        <v>1890</v>
      </c>
    </row>
    <row r="1715" spans="2:3" x14ac:dyDescent="0.25">
      <c r="C1715" t="s">
        <v>832</v>
      </c>
    </row>
    <row r="1716" spans="2:3" x14ac:dyDescent="0.25">
      <c r="C1716" t="s">
        <v>1891</v>
      </c>
    </row>
    <row r="1717" spans="2:3" x14ac:dyDescent="0.25">
      <c r="C1717" t="s">
        <v>833</v>
      </c>
    </row>
    <row r="1718" spans="2:3" x14ac:dyDescent="0.25">
      <c r="C1718" t="s">
        <v>1701</v>
      </c>
    </row>
    <row r="1719" spans="2:3" x14ac:dyDescent="0.25">
      <c r="C1719" t="s">
        <v>2344</v>
      </c>
    </row>
    <row r="1720" spans="2:3" x14ac:dyDescent="0.25">
      <c r="C1720" t="s">
        <v>835</v>
      </c>
    </row>
    <row r="1721" spans="2:3" x14ac:dyDescent="0.25">
      <c r="B1721" t="s">
        <v>559</v>
      </c>
    </row>
    <row r="1722" spans="2:3" x14ac:dyDescent="0.25">
      <c r="B1722" t="s">
        <v>830</v>
      </c>
    </row>
    <row r="1723" spans="2:3" x14ac:dyDescent="0.25">
      <c r="B1723" t="s">
        <v>558</v>
      </c>
    </row>
    <row r="1724" spans="2:3" x14ac:dyDescent="0.25">
      <c r="C1724" t="s">
        <v>2398</v>
      </c>
    </row>
    <row r="1725" spans="2:3" x14ac:dyDescent="0.25">
      <c r="C1725" t="s">
        <v>2399</v>
      </c>
    </row>
    <row r="1726" spans="2:3" x14ac:dyDescent="0.25">
      <c r="C1726" t="s">
        <v>2400</v>
      </c>
    </row>
    <row r="1727" spans="2:3" x14ac:dyDescent="0.25">
      <c r="C1727" t="s">
        <v>2401</v>
      </c>
    </row>
    <row r="1728" spans="2:3" x14ac:dyDescent="0.25">
      <c r="C1728" t="s">
        <v>832</v>
      </c>
    </row>
    <row r="1729" spans="2:4" x14ac:dyDescent="0.25">
      <c r="C1729" t="s">
        <v>2402</v>
      </c>
    </row>
    <row r="1730" spans="2:4" x14ac:dyDescent="0.25">
      <c r="C1730" t="s">
        <v>833</v>
      </c>
    </row>
    <row r="1731" spans="2:4" x14ac:dyDescent="0.25">
      <c r="C1731" t="s">
        <v>2373</v>
      </c>
    </row>
    <row r="1732" spans="2:4" x14ac:dyDescent="0.25">
      <c r="C1732" t="s">
        <v>2403</v>
      </c>
    </row>
    <row r="1733" spans="2:4" x14ac:dyDescent="0.25">
      <c r="C1733" t="s">
        <v>835</v>
      </c>
    </row>
    <row r="1734" spans="2:4" x14ac:dyDescent="0.25">
      <c r="C1734" t="s">
        <v>823</v>
      </c>
    </row>
    <row r="1735" spans="2:4" x14ac:dyDescent="0.25">
      <c r="C1735" t="s">
        <v>558</v>
      </c>
    </row>
    <row r="1736" spans="2:4" x14ac:dyDescent="0.25">
      <c r="D1736" t="s">
        <v>2318</v>
      </c>
    </row>
    <row r="1737" spans="2:4" x14ac:dyDescent="0.25">
      <c r="D1737" t="s">
        <v>2074</v>
      </c>
    </row>
    <row r="1738" spans="2:4" x14ac:dyDescent="0.25">
      <c r="D1738" t="s">
        <v>2236</v>
      </c>
    </row>
    <row r="1739" spans="2:4" x14ac:dyDescent="0.25">
      <c r="C1739" t="s">
        <v>559</v>
      </c>
    </row>
    <row r="1740" spans="2:4" x14ac:dyDescent="0.25">
      <c r="B1740" t="s">
        <v>559</v>
      </c>
    </row>
    <row r="1741" spans="2:4" x14ac:dyDescent="0.25">
      <c r="B1741" t="s">
        <v>830</v>
      </c>
    </row>
    <row r="1742" spans="2:4" x14ac:dyDescent="0.25">
      <c r="B1742" t="s">
        <v>558</v>
      </c>
    </row>
    <row r="1743" spans="2:4" x14ac:dyDescent="0.25">
      <c r="C1743" t="s">
        <v>1937</v>
      </c>
    </row>
    <row r="1744" spans="2:4" x14ac:dyDescent="0.25">
      <c r="C1744" t="s">
        <v>1938</v>
      </c>
    </row>
    <row r="1745" spans="2:3" x14ac:dyDescent="0.25">
      <c r="C1745" t="s">
        <v>1939</v>
      </c>
    </row>
    <row r="1746" spans="2:3" x14ac:dyDescent="0.25">
      <c r="C1746" t="s">
        <v>1940</v>
      </c>
    </row>
    <row r="1747" spans="2:3" x14ac:dyDescent="0.25">
      <c r="C1747" t="s">
        <v>832</v>
      </c>
    </row>
    <row r="1748" spans="2:3" x14ac:dyDescent="0.25">
      <c r="C1748" t="s">
        <v>1941</v>
      </c>
    </row>
    <row r="1749" spans="2:3" x14ac:dyDescent="0.25">
      <c r="C1749" t="s">
        <v>833</v>
      </c>
    </row>
    <row r="1750" spans="2:3" x14ac:dyDescent="0.25">
      <c r="C1750" t="s">
        <v>1701</v>
      </c>
    </row>
    <row r="1751" spans="2:3" x14ac:dyDescent="0.25">
      <c r="C1751" t="s">
        <v>2345</v>
      </c>
    </row>
    <row r="1752" spans="2:3" x14ac:dyDescent="0.25">
      <c r="C1752" t="s">
        <v>835</v>
      </c>
    </row>
    <row r="1753" spans="2:3" x14ac:dyDescent="0.25">
      <c r="B1753" t="s">
        <v>559</v>
      </c>
    </row>
    <row r="1754" spans="2:3" x14ac:dyDescent="0.25">
      <c r="B1754" t="s">
        <v>830</v>
      </c>
    </row>
    <row r="1755" spans="2:3" x14ac:dyDescent="0.25">
      <c r="B1755" t="s">
        <v>558</v>
      </c>
    </row>
    <row r="1756" spans="2:3" x14ac:dyDescent="0.25">
      <c r="C1756" t="s">
        <v>1929</v>
      </c>
    </row>
    <row r="1757" spans="2:3" x14ac:dyDescent="0.25">
      <c r="C1757" t="s">
        <v>1930</v>
      </c>
    </row>
    <row r="1758" spans="2:3" x14ac:dyDescent="0.25">
      <c r="C1758" t="s">
        <v>1931</v>
      </c>
    </row>
    <row r="1759" spans="2:3" x14ac:dyDescent="0.25">
      <c r="C1759" t="s">
        <v>838</v>
      </c>
    </row>
    <row r="1760" spans="2:3" x14ac:dyDescent="0.25">
      <c r="C1760" t="s">
        <v>832</v>
      </c>
    </row>
    <row r="1761" spans="2:4" x14ac:dyDescent="0.25">
      <c r="C1761" t="s">
        <v>1932</v>
      </c>
    </row>
    <row r="1762" spans="2:4" x14ac:dyDescent="0.25">
      <c r="C1762" t="s">
        <v>833</v>
      </c>
    </row>
    <row r="1763" spans="2:4" x14ac:dyDescent="0.25">
      <c r="C1763" t="s">
        <v>1701</v>
      </c>
    </row>
    <row r="1764" spans="2:4" x14ac:dyDescent="0.25">
      <c r="C1764" t="s">
        <v>2346</v>
      </c>
    </row>
    <row r="1765" spans="2:4" x14ac:dyDescent="0.25">
      <c r="C1765" t="s">
        <v>835</v>
      </c>
    </row>
    <row r="1766" spans="2:4" x14ac:dyDescent="0.25">
      <c r="C1766" t="s">
        <v>823</v>
      </c>
    </row>
    <row r="1767" spans="2:4" x14ac:dyDescent="0.25">
      <c r="C1767" t="s">
        <v>558</v>
      </c>
    </row>
    <row r="1768" spans="2:4" x14ac:dyDescent="0.25">
      <c r="D1768" t="s">
        <v>2298</v>
      </c>
    </row>
    <row r="1769" spans="2:4" x14ac:dyDescent="0.25">
      <c r="D1769" t="s">
        <v>2071</v>
      </c>
    </row>
    <row r="1770" spans="2:4" x14ac:dyDescent="0.25">
      <c r="D1770" t="s">
        <v>2072</v>
      </c>
    </row>
    <row r="1771" spans="2:4" x14ac:dyDescent="0.25">
      <c r="C1771" t="s">
        <v>559</v>
      </c>
    </row>
    <row r="1772" spans="2:4" x14ac:dyDescent="0.25">
      <c r="B1772" t="s">
        <v>559</v>
      </c>
    </row>
    <row r="1773" spans="2:4" x14ac:dyDescent="0.25">
      <c r="B1773" t="s">
        <v>830</v>
      </c>
    </row>
    <row r="1774" spans="2:4" x14ac:dyDescent="0.25">
      <c r="B1774" t="s">
        <v>558</v>
      </c>
    </row>
    <row r="1775" spans="2:4" x14ac:dyDescent="0.25">
      <c r="C1775" t="s">
        <v>1807</v>
      </c>
    </row>
    <row r="1776" spans="2:4" x14ac:dyDescent="0.25">
      <c r="C1776" t="s">
        <v>1808</v>
      </c>
    </row>
    <row r="1777" spans="2:4" x14ac:dyDescent="0.25">
      <c r="C1777" t="s">
        <v>1809</v>
      </c>
    </row>
    <row r="1778" spans="2:4" x14ac:dyDescent="0.25">
      <c r="C1778" t="s">
        <v>1711</v>
      </c>
    </row>
    <row r="1779" spans="2:4" x14ac:dyDescent="0.25">
      <c r="C1779" t="s">
        <v>832</v>
      </c>
    </row>
    <row r="1780" spans="2:4" x14ac:dyDescent="0.25">
      <c r="C1780" t="s">
        <v>1810</v>
      </c>
    </row>
    <row r="1781" spans="2:4" x14ac:dyDescent="0.25">
      <c r="C1781" t="s">
        <v>833</v>
      </c>
    </row>
    <row r="1782" spans="2:4" x14ac:dyDescent="0.25">
      <c r="C1782" t="s">
        <v>1701</v>
      </c>
    </row>
    <row r="1783" spans="2:4" x14ac:dyDescent="0.25">
      <c r="C1783" t="s">
        <v>2347</v>
      </c>
    </row>
    <row r="1784" spans="2:4" x14ac:dyDescent="0.25">
      <c r="C1784" t="s">
        <v>835</v>
      </c>
    </row>
    <row r="1785" spans="2:4" x14ac:dyDescent="0.25">
      <c r="C1785" t="s">
        <v>823</v>
      </c>
    </row>
    <row r="1786" spans="2:4" x14ac:dyDescent="0.25">
      <c r="C1786" t="s">
        <v>558</v>
      </c>
    </row>
    <row r="1787" spans="2:4" x14ac:dyDescent="0.25">
      <c r="D1787" t="s">
        <v>2840</v>
      </c>
    </row>
    <row r="1788" spans="2:4" x14ac:dyDescent="0.25">
      <c r="D1788" t="s">
        <v>2073</v>
      </c>
    </row>
    <row r="1789" spans="2:4" x14ac:dyDescent="0.25">
      <c r="D1789" t="s">
        <v>2072</v>
      </c>
    </row>
    <row r="1790" spans="2:4" x14ac:dyDescent="0.25">
      <c r="C1790" t="s">
        <v>559</v>
      </c>
    </row>
    <row r="1791" spans="2:4" x14ac:dyDescent="0.25">
      <c r="B1791" t="s">
        <v>559</v>
      </c>
    </row>
    <row r="1792" spans="2:4" x14ac:dyDescent="0.25">
      <c r="B1792" t="s">
        <v>830</v>
      </c>
    </row>
    <row r="1793" spans="2:4" x14ac:dyDescent="0.25">
      <c r="B1793" t="s">
        <v>558</v>
      </c>
    </row>
    <row r="1794" spans="2:4" x14ac:dyDescent="0.25">
      <c r="C1794" t="s">
        <v>1878</v>
      </c>
    </row>
    <row r="1795" spans="2:4" x14ac:dyDescent="0.25">
      <c r="C1795" t="s">
        <v>1879</v>
      </c>
    </row>
    <row r="1796" spans="2:4" x14ac:dyDescent="0.25">
      <c r="C1796" t="s">
        <v>1880</v>
      </c>
    </row>
    <row r="1797" spans="2:4" x14ac:dyDescent="0.25">
      <c r="C1797" t="s">
        <v>1721</v>
      </c>
    </row>
    <row r="1798" spans="2:4" x14ac:dyDescent="0.25">
      <c r="C1798" t="s">
        <v>832</v>
      </c>
    </row>
    <row r="1799" spans="2:4" x14ac:dyDescent="0.25">
      <c r="C1799" t="s">
        <v>1881</v>
      </c>
    </row>
    <row r="1800" spans="2:4" x14ac:dyDescent="0.25">
      <c r="C1800" t="s">
        <v>833</v>
      </c>
    </row>
    <row r="1801" spans="2:4" x14ac:dyDescent="0.25">
      <c r="C1801" t="s">
        <v>1701</v>
      </c>
    </row>
    <row r="1802" spans="2:4" x14ac:dyDescent="0.25">
      <c r="C1802" t="s">
        <v>2165</v>
      </c>
    </row>
    <row r="1803" spans="2:4" x14ac:dyDescent="0.25">
      <c r="C1803" t="s">
        <v>835</v>
      </c>
    </row>
    <row r="1804" spans="2:4" x14ac:dyDescent="0.25">
      <c r="C1804" t="s">
        <v>823</v>
      </c>
    </row>
    <row r="1805" spans="2:4" x14ac:dyDescent="0.25">
      <c r="C1805" t="s">
        <v>558</v>
      </c>
    </row>
    <row r="1806" spans="2:4" x14ac:dyDescent="0.25">
      <c r="D1806" t="s">
        <v>2841</v>
      </c>
    </row>
    <row r="1807" spans="2:4" x14ac:dyDescent="0.25">
      <c r="D1807" t="s">
        <v>2073</v>
      </c>
    </row>
    <row r="1808" spans="2:4" x14ac:dyDescent="0.25">
      <c r="D1808" t="s">
        <v>2072</v>
      </c>
    </row>
    <row r="1809" spans="2:3" x14ac:dyDescent="0.25">
      <c r="C1809" t="s">
        <v>559</v>
      </c>
    </row>
    <row r="1810" spans="2:3" x14ac:dyDescent="0.25">
      <c r="B1810" t="s">
        <v>559</v>
      </c>
    </row>
    <row r="1811" spans="2:3" x14ac:dyDescent="0.25">
      <c r="B1811" t="s">
        <v>830</v>
      </c>
    </row>
    <row r="1812" spans="2:3" x14ac:dyDescent="0.25">
      <c r="B1812" t="s">
        <v>558</v>
      </c>
    </row>
    <row r="1813" spans="2:3" x14ac:dyDescent="0.25">
      <c r="C1813" t="s">
        <v>2404</v>
      </c>
    </row>
    <row r="1814" spans="2:3" x14ac:dyDescent="0.25">
      <c r="C1814" t="s">
        <v>2797</v>
      </c>
    </row>
    <row r="1815" spans="2:3" x14ac:dyDescent="0.25">
      <c r="C1815" t="s">
        <v>2405</v>
      </c>
    </row>
    <row r="1816" spans="2:3" x14ac:dyDescent="0.25">
      <c r="C1816" t="s">
        <v>2406</v>
      </c>
    </row>
    <row r="1817" spans="2:3" x14ac:dyDescent="0.25">
      <c r="C1817" t="s">
        <v>832</v>
      </c>
    </row>
    <row r="1818" spans="2:3" x14ac:dyDescent="0.25">
      <c r="C1818" t="s">
        <v>2407</v>
      </c>
    </row>
    <row r="1819" spans="2:3" x14ac:dyDescent="0.25">
      <c r="C1819" t="s">
        <v>833</v>
      </c>
    </row>
    <row r="1820" spans="2:3" x14ac:dyDescent="0.25">
      <c r="C1820" t="s">
        <v>2390</v>
      </c>
    </row>
    <row r="1821" spans="2:3" x14ac:dyDescent="0.25">
      <c r="C1821" t="s">
        <v>2408</v>
      </c>
    </row>
    <row r="1822" spans="2:3" x14ac:dyDescent="0.25">
      <c r="C1822" t="s">
        <v>835</v>
      </c>
    </row>
    <row r="1823" spans="2:3" x14ac:dyDescent="0.25">
      <c r="B1823" t="s">
        <v>559</v>
      </c>
    </row>
    <row r="1824" spans="2:3" x14ac:dyDescent="0.25">
      <c r="B1824" t="s">
        <v>830</v>
      </c>
    </row>
    <row r="1825" spans="2:3" x14ac:dyDescent="0.25">
      <c r="B1825" t="s">
        <v>558</v>
      </c>
    </row>
    <row r="1826" spans="2:3" x14ac:dyDescent="0.25">
      <c r="C1826" t="s">
        <v>2409</v>
      </c>
    </row>
    <row r="1827" spans="2:3" x14ac:dyDescent="0.25">
      <c r="C1827" t="s">
        <v>2789</v>
      </c>
    </row>
    <row r="1828" spans="2:3" x14ac:dyDescent="0.25">
      <c r="C1828" t="s">
        <v>2410</v>
      </c>
    </row>
    <row r="1829" spans="2:3" x14ac:dyDescent="0.25">
      <c r="C1829" t="s">
        <v>1770</v>
      </c>
    </row>
    <row r="1830" spans="2:3" x14ac:dyDescent="0.25">
      <c r="C1830" t="s">
        <v>832</v>
      </c>
    </row>
    <row r="1831" spans="2:3" x14ac:dyDescent="0.25">
      <c r="C1831" t="s">
        <v>2411</v>
      </c>
    </row>
    <row r="1832" spans="2:3" x14ac:dyDescent="0.25">
      <c r="C1832" t="s">
        <v>833</v>
      </c>
    </row>
    <row r="1833" spans="2:3" x14ac:dyDescent="0.25">
      <c r="C1833" t="s">
        <v>2390</v>
      </c>
    </row>
    <row r="1834" spans="2:3" x14ac:dyDescent="0.25">
      <c r="C1834" t="s">
        <v>2412</v>
      </c>
    </row>
    <row r="1835" spans="2:3" x14ac:dyDescent="0.25">
      <c r="C1835" t="s">
        <v>835</v>
      </c>
    </row>
    <row r="1836" spans="2:3" x14ac:dyDescent="0.25">
      <c r="B1836" t="s">
        <v>559</v>
      </c>
    </row>
    <row r="1837" spans="2:3" x14ac:dyDescent="0.25">
      <c r="B1837" t="s">
        <v>830</v>
      </c>
    </row>
    <row r="1838" spans="2:3" x14ac:dyDescent="0.25">
      <c r="B1838" t="s">
        <v>558</v>
      </c>
    </row>
    <row r="1839" spans="2:3" x14ac:dyDescent="0.25">
      <c r="C1839" t="s">
        <v>2413</v>
      </c>
    </row>
    <row r="1840" spans="2:3" x14ac:dyDescent="0.25">
      <c r="C1840" t="s">
        <v>2800</v>
      </c>
    </row>
    <row r="1841" spans="2:3" x14ac:dyDescent="0.25">
      <c r="C1841" t="s">
        <v>2414</v>
      </c>
    </row>
    <row r="1842" spans="2:3" x14ac:dyDescent="0.25">
      <c r="C1842" t="s">
        <v>1706</v>
      </c>
    </row>
    <row r="1843" spans="2:3" x14ac:dyDescent="0.25">
      <c r="C1843" t="s">
        <v>832</v>
      </c>
    </row>
    <row r="1844" spans="2:3" x14ac:dyDescent="0.25">
      <c r="C1844" t="s">
        <v>2415</v>
      </c>
    </row>
    <row r="1845" spans="2:3" x14ac:dyDescent="0.25">
      <c r="C1845" t="s">
        <v>833</v>
      </c>
    </row>
    <row r="1846" spans="2:3" x14ac:dyDescent="0.25">
      <c r="C1846" t="s">
        <v>2416</v>
      </c>
    </row>
    <row r="1847" spans="2:3" x14ac:dyDescent="0.25">
      <c r="C1847" t="s">
        <v>2417</v>
      </c>
    </row>
    <row r="1848" spans="2:3" x14ac:dyDescent="0.25">
      <c r="C1848" t="s">
        <v>835</v>
      </c>
    </row>
    <row r="1849" spans="2:3" x14ac:dyDescent="0.25">
      <c r="B1849" t="s">
        <v>559</v>
      </c>
    </row>
    <row r="1850" spans="2:3" x14ac:dyDescent="0.25">
      <c r="B1850" t="s">
        <v>830</v>
      </c>
    </row>
    <row r="1851" spans="2:3" x14ac:dyDescent="0.25">
      <c r="B1851" t="s">
        <v>558</v>
      </c>
    </row>
    <row r="1852" spans="2:3" x14ac:dyDescent="0.25">
      <c r="C1852" t="s">
        <v>2418</v>
      </c>
    </row>
    <row r="1853" spans="2:3" x14ac:dyDescent="0.25">
      <c r="C1853" t="s">
        <v>2419</v>
      </c>
    </row>
    <row r="1854" spans="2:3" x14ac:dyDescent="0.25">
      <c r="C1854" t="s">
        <v>2420</v>
      </c>
    </row>
    <row r="1855" spans="2:3" x14ac:dyDescent="0.25">
      <c r="C1855" t="s">
        <v>1699</v>
      </c>
    </row>
    <row r="1856" spans="2:3" x14ac:dyDescent="0.25">
      <c r="C1856" t="s">
        <v>832</v>
      </c>
    </row>
    <row r="1857" spans="2:3" x14ac:dyDescent="0.25">
      <c r="C1857" t="s">
        <v>2421</v>
      </c>
    </row>
    <row r="1858" spans="2:3" x14ac:dyDescent="0.25">
      <c r="C1858" t="s">
        <v>833</v>
      </c>
    </row>
    <row r="1859" spans="2:3" x14ac:dyDescent="0.25">
      <c r="C1859" t="s">
        <v>2422</v>
      </c>
    </row>
    <row r="1860" spans="2:3" x14ac:dyDescent="0.25">
      <c r="C1860" t="s">
        <v>2423</v>
      </c>
    </row>
    <row r="1861" spans="2:3" x14ac:dyDescent="0.25">
      <c r="C1861" t="s">
        <v>835</v>
      </c>
    </row>
    <row r="1862" spans="2:3" x14ac:dyDescent="0.25">
      <c r="B1862" t="s">
        <v>559</v>
      </c>
    </row>
    <row r="1863" spans="2:3" x14ac:dyDescent="0.25">
      <c r="B1863" t="s">
        <v>830</v>
      </c>
    </row>
    <row r="1864" spans="2:3" x14ac:dyDescent="0.25">
      <c r="B1864" t="s">
        <v>558</v>
      </c>
    </row>
    <row r="1865" spans="2:3" x14ac:dyDescent="0.25">
      <c r="C1865" t="s">
        <v>2424</v>
      </c>
    </row>
    <row r="1866" spans="2:3" x14ac:dyDescent="0.25">
      <c r="C1866" t="s">
        <v>2788</v>
      </c>
    </row>
    <row r="1867" spans="2:3" x14ac:dyDescent="0.25">
      <c r="C1867" t="s">
        <v>2425</v>
      </c>
    </row>
    <row r="1868" spans="2:3" x14ac:dyDescent="0.25">
      <c r="C1868" t="s">
        <v>2401</v>
      </c>
    </row>
    <row r="1869" spans="2:3" x14ac:dyDescent="0.25">
      <c r="C1869" t="s">
        <v>832</v>
      </c>
    </row>
    <row r="1870" spans="2:3" x14ac:dyDescent="0.25">
      <c r="C1870" t="s">
        <v>2426</v>
      </c>
    </row>
    <row r="1871" spans="2:3" x14ac:dyDescent="0.25">
      <c r="C1871" t="s">
        <v>833</v>
      </c>
    </row>
    <row r="1872" spans="2:3" x14ac:dyDescent="0.25">
      <c r="C1872" t="s">
        <v>2427</v>
      </c>
    </row>
    <row r="1873" spans="2:3" x14ac:dyDescent="0.25">
      <c r="C1873" t="s">
        <v>2428</v>
      </c>
    </row>
    <row r="1874" spans="2:3" x14ac:dyDescent="0.25">
      <c r="C1874" t="s">
        <v>835</v>
      </c>
    </row>
    <row r="1875" spans="2:3" x14ac:dyDescent="0.25">
      <c r="B1875" t="s">
        <v>559</v>
      </c>
    </row>
    <row r="1876" spans="2:3" x14ac:dyDescent="0.25">
      <c r="B1876" t="s">
        <v>830</v>
      </c>
    </row>
    <row r="1877" spans="2:3" x14ac:dyDescent="0.25">
      <c r="B1877" t="s">
        <v>558</v>
      </c>
    </row>
    <row r="1878" spans="2:3" x14ac:dyDescent="0.25">
      <c r="C1878" t="s">
        <v>2016</v>
      </c>
    </row>
    <row r="1879" spans="2:3" x14ac:dyDescent="0.25">
      <c r="C1879" t="s">
        <v>2017</v>
      </c>
    </row>
    <row r="1880" spans="2:3" x14ac:dyDescent="0.25">
      <c r="C1880" t="s">
        <v>2018</v>
      </c>
    </row>
    <row r="1881" spans="2:3" x14ac:dyDescent="0.25">
      <c r="C1881" t="s">
        <v>1699</v>
      </c>
    </row>
    <row r="1882" spans="2:3" x14ac:dyDescent="0.25">
      <c r="C1882" t="s">
        <v>832</v>
      </c>
    </row>
    <row r="1883" spans="2:3" x14ac:dyDescent="0.25">
      <c r="C1883" t="s">
        <v>2019</v>
      </c>
    </row>
    <row r="1884" spans="2:3" x14ac:dyDescent="0.25">
      <c r="C1884" t="s">
        <v>833</v>
      </c>
    </row>
    <row r="1885" spans="2:3" x14ac:dyDescent="0.25">
      <c r="C1885" t="s">
        <v>1701</v>
      </c>
    </row>
    <row r="1886" spans="2:3" x14ac:dyDescent="0.25">
      <c r="C1886" t="s">
        <v>2160</v>
      </c>
    </row>
    <row r="1887" spans="2:3" x14ac:dyDescent="0.25">
      <c r="C1887" t="s">
        <v>835</v>
      </c>
    </row>
    <row r="1888" spans="2:3" x14ac:dyDescent="0.25">
      <c r="B1888" t="s">
        <v>559</v>
      </c>
    </row>
    <row r="1889" spans="2:3" x14ac:dyDescent="0.25">
      <c r="B1889" t="s">
        <v>830</v>
      </c>
    </row>
    <row r="1890" spans="2:3" x14ac:dyDescent="0.25">
      <c r="B1890" t="s">
        <v>558</v>
      </c>
    </row>
    <row r="1891" spans="2:3" x14ac:dyDescent="0.25">
      <c r="C1891" t="s">
        <v>1708</v>
      </c>
    </row>
    <row r="1892" spans="2:3" x14ac:dyDescent="0.25">
      <c r="C1892" t="s">
        <v>1709</v>
      </c>
    </row>
    <row r="1893" spans="2:3" x14ac:dyDescent="0.25">
      <c r="C1893" t="s">
        <v>1710</v>
      </c>
    </row>
    <row r="1894" spans="2:3" x14ac:dyDescent="0.25">
      <c r="C1894" t="s">
        <v>1711</v>
      </c>
    </row>
    <row r="1895" spans="2:3" x14ac:dyDescent="0.25">
      <c r="C1895" t="s">
        <v>832</v>
      </c>
    </row>
    <row r="1896" spans="2:3" x14ac:dyDescent="0.25">
      <c r="C1896" t="s">
        <v>1712</v>
      </c>
    </row>
    <row r="1897" spans="2:3" x14ac:dyDescent="0.25">
      <c r="C1897" t="s">
        <v>833</v>
      </c>
    </row>
    <row r="1898" spans="2:3" x14ac:dyDescent="0.25">
      <c r="C1898" t="s">
        <v>1701</v>
      </c>
    </row>
    <row r="1899" spans="2:3" x14ac:dyDescent="0.25">
      <c r="C1899" t="s">
        <v>2161</v>
      </c>
    </row>
    <row r="1900" spans="2:3" x14ac:dyDescent="0.25">
      <c r="C1900" t="s">
        <v>835</v>
      </c>
    </row>
    <row r="1901" spans="2:3" x14ac:dyDescent="0.25">
      <c r="B1901" t="s">
        <v>559</v>
      </c>
    </row>
    <row r="1902" spans="2:3" x14ac:dyDescent="0.25">
      <c r="B1902" t="s">
        <v>830</v>
      </c>
    </row>
    <row r="1903" spans="2:3" x14ac:dyDescent="0.25">
      <c r="B1903" t="s">
        <v>558</v>
      </c>
    </row>
    <row r="1904" spans="2:3" x14ac:dyDescent="0.25">
      <c r="C1904" t="s">
        <v>1713</v>
      </c>
    </row>
    <row r="1905" spans="2:3" x14ac:dyDescent="0.25">
      <c r="C1905" t="s">
        <v>1714</v>
      </c>
    </row>
    <row r="1906" spans="2:3" x14ac:dyDescent="0.25">
      <c r="C1906" t="s">
        <v>1715</v>
      </c>
    </row>
    <row r="1907" spans="2:3" x14ac:dyDescent="0.25">
      <c r="C1907" t="s">
        <v>1716</v>
      </c>
    </row>
    <row r="1908" spans="2:3" x14ac:dyDescent="0.25">
      <c r="C1908" t="s">
        <v>832</v>
      </c>
    </row>
    <row r="1909" spans="2:3" x14ac:dyDescent="0.25">
      <c r="C1909" t="s">
        <v>1717</v>
      </c>
    </row>
    <row r="1910" spans="2:3" x14ac:dyDescent="0.25">
      <c r="C1910" t="s">
        <v>833</v>
      </c>
    </row>
    <row r="1911" spans="2:3" x14ac:dyDescent="0.25">
      <c r="C1911" t="s">
        <v>1701</v>
      </c>
    </row>
    <row r="1912" spans="2:3" x14ac:dyDescent="0.25">
      <c r="C1912" t="s">
        <v>2162</v>
      </c>
    </row>
    <row r="1913" spans="2:3" x14ac:dyDescent="0.25">
      <c r="C1913" t="s">
        <v>835</v>
      </c>
    </row>
    <row r="1914" spans="2:3" x14ac:dyDescent="0.25">
      <c r="B1914" t="s">
        <v>559</v>
      </c>
    </row>
    <row r="1915" spans="2:3" x14ac:dyDescent="0.25">
      <c r="B1915" t="s">
        <v>830</v>
      </c>
    </row>
    <row r="1916" spans="2:3" x14ac:dyDescent="0.25">
      <c r="B1916" t="s">
        <v>558</v>
      </c>
    </row>
    <row r="1917" spans="2:3" x14ac:dyDescent="0.25">
      <c r="C1917" t="s">
        <v>1703</v>
      </c>
    </row>
    <row r="1918" spans="2:3" x14ac:dyDescent="0.25">
      <c r="C1918" t="s">
        <v>1704</v>
      </c>
    </row>
    <row r="1919" spans="2:3" x14ac:dyDescent="0.25">
      <c r="C1919" t="s">
        <v>1705</v>
      </c>
    </row>
    <row r="1920" spans="2:3" x14ac:dyDescent="0.25">
      <c r="C1920" t="s">
        <v>1706</v>
      </c>
    </row>
    <row r="1921" spans="2:3" x14ac:dyDescent="0.25">
      <c r="C1921" t="s">
        <v>832</v>
      </c>
    </row>
    <row r="1922" spans="2:3" x14ac:dyDescent="0.25">
      <c r="C1922" t="s">
        <v>1707</v>
      </c>
    </row>
    <row r="1923" spans="2:3" x14ac:dyDescent="0.25">
      <c r="C1923" t="s">
        <v>833</v>
      </c>
    </row>
    <row r="1924" spans="2:3" x14ac:dyDescent="0.25">
      <c r="C1924" t="s">
        <v>1701</v>
      </c>
    </row>
    <row r="1925" spans="2:3" x14ac:dyDescent="0.25">
      <c r="C1925" t="s">
        <v>2163</v>
      </c>
    </row>
    <row r="1926" spans="2:3" x14ac:dyDescent="0.25">
      <c r="C1926" t="s">
        <v>835</v>
      </c>
    </row>
    <row r="1927" spans="2:3" x14ac:dyDescent="0.25">
      <c r="B1927" t="s">
        <v>559</v>
      </c>
    </row>
    <row r="1928" spans="2:3" x14ac:dyDescent="0.25">
      <c r="B1928" t="s">
        <v>830</v>
      </c>
    </row>
    <row r="1929" spans="2:3" x14ac:dyDescent="0.25">
      <c r="B1929" t="s">
        <v>558</v>
      </c>
    </row>
    <row r="1930" spans="2:3" x14ac:dyDescent="0.25">
      <c r="C1930" t="s">
        <v>1803</v>
      </c>
    </row>
    <row r="1931" spans="2:3" x14ac:dyDescent="0.25">
      <c r="C1931" t="s">
        <v>1804</v>
      </c>
    </row>
    <row r="1932" spans="2:3" x14ac:dyDescent="0.25">
      <c r="C1932" t="s">
        <v>1805</v>
      </c>
    </row>
    <row r="1933" spans="2:3" x14ac:dyDescent="0.25">
      <c r="C1933" t="s">
        <v>1726</v>
      </c>
    </row>
    <row r="1934" spans="2:3" x14ac:dyDescent="0.25">
      <c r="C1934" t="s">
        <v>832</v>
      </c>
    </row>
    <row r="1935" spans="2:3" x14ac:dyDescent="0.25">
      <c r="C1935" t="s">
        <v>1806</v>
      </c>
    </row>
    <row r="1936" spans="2:3" x14ac:dyDescent="0.25">
      <c r="C1936" t="s">
        <v>833</v>
      </c>
    </row>
    <row r="1937" spans="2:3" x14ac:dyDescent="0.25">
      <c r="C1937" t="s">
        <v>1701</v>
      </c>
    </row>
    <row r="1938" spans="2:3" x14ac:dyDescent="0.25">
      <c r="C1938" t="s">
        <v>2254</v>
      </c>
    </row>
    <row r="1939" spans="2:3" x14ac:dyDescent="0.25">
      <c r="C1939" t="s">
        <v>835</v>
      </c>
    </row>
    <row r="1940" spans="2:3" x14ac:dyDescent="0.25">
      <c r="B1940" t="s">
        <v>559</v>
      </c>
    </row>
    <row r="1941" spans="2:3" x14ac:dyDescent="0.25">
      <c r="B1941" t="s">
        <v>830</v>
      </c>
    </row>
    <row r="1942" spans="2:3" x14ac:dyDescent="0.25">
      <c r="B1942" t="s">
        <v>558</v>
      </c>
    </row>
    <row r="1943" spans="2:3" x14ac:dyDescent="0.25">
      <c r="C1943" t="s">
        <v>2429</v>
      </c>
    </row>
    <row r="1944" spans="2:3" x14ac:dyDescent="0.25">
      <c r="C1944" t="s">
        <v>2796</v>
      </c>
    </row>
    <row r="1945" spans="2:3" x14ac:dyDescent="0.25">
      <c r="C1945" t="s">
        <v>2430</v>
      </c>
    </row>
    <row r="1946" spans="2:3" x14ac:dyDescent="0.25">
      <c r="C1946" t="s">
        <v>1890</v>
      </c>
    </row>
    <row r="1947" spans="2:3" x14ac:dyDescent="0.25">
      <c r="C1947" t="s">
        <v>832</v>
      </c>
    </row>
    <row r="1948" spans="2:3" x14ac:dyDescent="0.25">
      <c r="C1948" t="s">
        <v>2431</v>
      </c>
    </row>
    <row r="1949" spans="2:3" x14ac:dyDescent="0.25">
      <c r="C1949" t="s">
        <v>833</v>
      </c>
    </row>
    <row r="1950" spans="2:3" x14ac:dyDescent="0.25">
      <c r="C1950" t="s">
        <v>2432</v>
      </c>
    </row>
    <row r="1951" spans="2:3" x14ac:dyDescent="0.25">
      <c r="C1951" t="s">
        <v>2433</v>
      </c>
    </row>
    <row r="1952" spans="2:3" x14ac:dyDescent="0.25">
      <c r="C1952" t="s">
        <v>835</v>
      </c>
    </row>
    <row r="1953" spans="2:3" x14ac:dyDescent="0.25">
      <c r="B1953" t="s">
        <v>559</v>
      </c>
    </row>
    <row r="1954" spans="2:3" x14ac:dyDescent="0.25">
      <c r="B1954" t="s">
        <v>830</v>
      </c>
    </row>
    <row r="1955" spans="2:3" x14ac:dyDescent="0.25">
      <c r="B1955" t="s">
        <v>558</v>
      </c>
    </row>
    <row r="1956" spans="2:3" x14ac:dyDescent="0.25">
      <c r="C1956" t="s">
        <v>2434</v>
      </c>
    </row>
    <row r="1957" spans="2:3" x14ac:dyDescent="0.25">
      <c r="C1957" t="s">
        <v>2826</v>
      </c>
    </row>
    <row r="1958" spans="2:3" x14ac:dyDescent="0.25">
      <c r="C1958" t="s">
        <v>2435</v>
      </c>
    </row>
    <row r="1959" spans="2:3" x14ac:dyDescent="0.25">
      <c r="C1959" t="s">
        <v>1748</v>
      </c>
    </row>
    <row r="1960" spans="2:3" x14ac:dyDescent="0.25">
      <c r="C1960" t="s">
        <v>832</v>
      </c>
    </row>
    <row r="1961" spans="2:3" x14ac:dyDescent="0.25">
      <c r="C1961" t="s">
        <v>2436</v>
      </c>
    </row>
    <row r="1962" spans="2:3" x14ac:dyDescent="0.25">
      <c r="C1962" t="s">
        <v>833</v>
      </c>
    </row>
    <row r="1963" spans="2:3" x14ac:dyDescent="0.25">
      <c r="C1963" t="s">
        <v>2437</v>
      </c>
    </row>
    <row r="1964" spans="2:3" x14ac:dyDescent="0.25">
      <c r="C1964" t="s">
        <v>2438</v>
      </c>
    </row>
    <row r="1965" spans="2:3" x14ac:dyDescent="0.25">
      <c r="C1965" t="s">
        <v>835</v>
      </c>
    </row>
    <row r="1966" spans="2:3" x14ac:dyDescent="0.25">
      <c r="B1966" t="s">
        <v>559</v>
      </c>
    </row>
    <row r="1967" spans="2:3" x14ac:dyDescent="0.25">
      <c r="B1967" t="s">
        <v>830</v>
      </c>
    </row>
    <row r="1968" spans="2:3" x14ac:dyDescent="0.25">
      <c r="B1968" t="s">
        <v>558</v>
      </c>
    </row>
    <row r="1969" spans="2:3" x14ac:dyDescent="0.25">
      <c r="C1969" t="s">
        <v>1866</v>
      </c>
    </row>
    <row r="1970" spans="2:3" x14ac:dyDescent="0.25">
      <c r="C1970" t="s">
        <v>1867</v>
      </c>
    </row>
    <row r="1971" spans="2:3" x14ac:dyDescent="0.25">
      <c r="C1971" t="s">
        <v>1868</v>
      </c>
    </row>
    <row r="1972" spans="2:3" x14ac:dyDescent="0.25">
      <c r="C1972" t="s">
        <v>1721</v>
      </c>
    </row>
    <row r="1973" spans="2:3" x14ac:dyDescent="0.25">
      <c r="C1973" t="s">
        <v>832</v>
      </c>
    </row>
    <row r="1974" spans="2:3" x14ac:dyDescent="0.25">
      <c r="C1974" t="s">
        <v>1869</v>
      </c>
    </row>
    <row r="1975" spans="2:3" x14ac:dyDescent="0.25">
      <c r="C1975" t="s">
        <v>833</v>
      </c>
    </row>
    <row r="1976" spans="2:3" x14ac:dyDescent="0.25">
      <c r="C1976" t="s">
        <v>1701</v>
      </c>
    </row>
    <row r="1977" spans="2:3" x14ac:dyDescent="0.25">
      <c r="C1977" t="s">
        <v>2303</v>
      </c>
    </row>
    <row r="1978" spans="2:3" x14ac:dyDescent="0.25">
      <c r="C1978" t="s">
        <v>835</v>
      </c>
    </row>
    <row r="1979" spans="2:3" x14ac:dyDescent="0.25">
      <c r="B1979" t="s">
        <v>559</v>
      </c>
    </row>
    <row r="1980" spans="2:3" x14ac:dyDescent="0.25">
      <c r="B1980" t="s">
        <v>830</v>
      </c>
    </row>
    <row r="1981" spans="2:3" x14ac:dyDescent="0.25">
      <c r="B1981" t="s">
        <v>558</v>
      </c>
    </row>
    <row r="1982" spans="2:3" x14ac:dyDescent="0.25">
      <c r="C1982" t="s">
        <v>1812</v>
      </c>
    </row>
    <row r="1983" spans="2:3" x14ac:dyDescent="0.25">
      <c r="C1983" t="s">
        <v>1813</v>
      </c>
    </row>
    <row r="1984" spans="2:3" x14ac:dyDescent="0.25">
      <c r="C1984" t="s">
        <v>1814</v>
      </c>
    </row>
    <row r="1985" spans="2:4" x14ac:dyDescent="0.25">
      <c r="C1985" t="s">
        <v>1726</v>
      </c>
    </row>
    <row r="1986" spans="2:4" x14ac:dyDescent="0.25">
      <c r="C1986" t="s">
        <v>832</v>
      </c>
    </row>
    <row r="1987" spans="2:4" x14ac:dyDescent="0.25">
      <c r="C1987" t="s">
        <v>1815</v>
      </c>
    </row>
    <row r="1988" spans="2:4" x14ac:dyDescent="0.25">
      <c r="C1988" t="s">
        <v>833</v>
      </c>
    </row>
    <row r="1989" spans="2:4" x14ac:dyDescent="0.25">
      <c r="C1989" t="s">
        <v>1701</v>
      </c>
    </row>
    <row r="1990" spans="2:4" x14ac:dyDescent="0.25">
      <c r="C1990" t="s">
        <v>2164</v>
      </c>
    </row>
    <row r="1991" spans="2:4" x14ac:dyDescent="0.25">
      <c r="C1991" t="s">
        <v>835</v>
      </c>
    </row>
    <row r="1992" spans="2:4" x14ac:dyDescent="0.25">
      <c r="C1992" t="s">
        <v>823</v>
      </c>
    </row>
    <row r="1993" spans="2:4" x14ac:dyDescent="0.25">
      <c r="C1993" t="s">
        <v>558</v>
      </c>
    </row>
    <row r="1994" spans="2:4" x14ac:dyDescent="0.25">
      <c r="D1994" t="s">
        <v>2296</v>
      </c>
    </row>
    <row r="1995" spans="2:4" x14ac:dyDescent="0.25">
      <c r="D1995" t="s">
        <v>2073</v>
      </c>
    </row>
    <row r="1996" spans="2:4" x14ac:dyDescent="0.25">
      <c r="D1996" t="s">
        <v>2072</v>
      </c>
    </row>
    <row r="1997" spans="2:4" x14ac:dyDescent="0.25">
      <c r="C1997" t="s">
        <v>559</v>
      </c>
    </row>
    <row r="1998" spans="2:4" x14ac:dyDescent="0.25">
      <c r="B1998" t="s">
        <v>559</v>
      </c>
    </row>
    <row r="1999" spans="2:4" x14ac:dyDescent="0.25">
      <c r="B1999" t="s">
        <v>830</v>
      </c>
    </row>
    <row r="2000" spans="2:4" x14ac:dyDescent="0.25">
      <c r="B2000" t="s">
        <v>558</v>
      </c>
    </row>
    <row r="2001" spans="3:4" x14ac:dyDescent="0.25">
      <c r="C2001" t="s">
        <v>1915</v>
      </c>
    </row>
    <row r="2002" spans="3:4" x14ac:dyDescent="0.25">
      <c r="C2002" t="s">
        <v>1916</v>
      </c>
    </row>
    <row r="2003" spans="3:4" x14ac:dyDescent="0.25">
      <c r="C2003" t="s">
        <v>1917</v>
      </c>
    </row>
    <row r="2004" spans="3:4" x14ac:dyDescent="0.25">
      <c r="C2004" t="s">
        <v>1918</v>
      </c>
    </row>
    <row r="2005" spans="3:4" x14ac:dyDescent="0.25">
      <c r="C2005" t="s">
        <v>832</v>
      </c>
    </row>
    <row r="2006" spans="3:4" x14ac:dyDescent="0.25">
      <c r="C2006" t="s">
        <v>1919</v>
      </c>
    </row>
    <row r="2007" spans="3:4" x14ac:dyDescent="0.25">
      <c r="C2007" t="s">
        <v>833</v>
      </c>
    </row>
    <row r="2008" spans="3:4" x14ac:dyDescent="0.25">
      <c r="C2008" t="s">
        <v>1701</v>
      </c>
    </row>
    <row r="2009" spans="3:4" x14ac:dyDescent="0.25">
      <c r="C2009" t="s">
        <v>2193</v>
      </c>
    </row>
    <row r="2010" spans="3:4" x14ac:dyDescent="0.25">
      <c r="C2010" t="s">
        <v>835</v>
      </c>
    </row>
    <row r="2011" spans="3:4" x14ac:dyDescent="0.25">
      <c r="C2011" t="s">
        <v>823</v>
      </c>
    </row>
    <row r="2012" spans="3:4" x14ac:dyDescent="0.25">
      <c r="C2012" t="s">
        <v>558</v>
      </c>
    </row>
    <row r="2013" spans="3:4" x14ac:dyDescent="0.25">
      <c r="D2013" t="s">
        <v>2842</v>
      </c>
    </row>
    <row r="2014" spans="3:4" x14ac:dyDescent="0.25">
      <c r="D2014" t="s">
        <v>2073</v>
      </c>
    </row>
    <row r="2015" spans="3:4" x14ac:dyDescent="0.25">
      <c r="D2015" t="s">
        <v>2072</v>
      </c>
    </row>
    <row r="2016" spans="3:4" x14ac:dyDescent="0.25">
      <c r="C2016" t="s">
        <v>559</v>
      </c>
    </row>
    <row r="2017" spans="2:4" x14ac:dyDescent="0.25">
      <c r="B2017" t="s">
        <v>559</v>
      </c>
    </row>
    <row r="2018" spans="2:4" x14ac:dyDescent="0.25">
      <c r="B2018" t="s">
        <v>830</v>
      </c>
    </row>
    <row r="2019" spans="2:4" x14ac:dyDescent="0.25">
      <c r="B2019" t="s">
        <v>558</v>
      </c>
    </row>
    <row r="2020" spans="2:4" x14ac:dyDescent="0.25">
      <c r="C2020" t="s">
        <v>1776</v>
      </c>
    </row>
    <row r="2021" spans="2:4" x14ac:dyDescent="0.25">
      <c r="C2021" t="s">
        <v>1777</v>
      </c>
    </row>
    <row r="2022" spans="2:4" x14ac:dyDescent="0.25">
      <c r="C2022" t="s">
        <v>1778</v>
      </c>
    </row>
    <row r="2023" spans="2:4" x14ac:dyDescent="0.25">
      <c r="C2023" t="s">
        <v>1699</v>
      </c>
    </row>
    <row r="2024" spans="2:4" x14ac:dyDescent="0.25">
      <c r="C2024" t="s">
        <v>832</v>
      </c>
    </row>
    <row r="2025" spans="2:4" x14ac:dyDescent="0.25">
      <c r="C2025" t="s">
        <v>1779</v>
      </c>
    </row>
    <row r="2026" spans="2:4" x14ac:dyDescent="0.25">
      <c r="C2026" t="s">
        <v>833</v>
      </c>
    </row>
    <row r="2027" spans="2:4" x14ac:dyDescent="0.25">
      <c r="C2027" t="s">
        <v>1701</v>
      </c>
    </row>
    <row r="2028" spans="2:4" x14ac:dyDescent="0.25">
      <c r="C2028" t="s">
        <v>2853</v>
      </c>
    </row>
    <row r="2029" spans="2:4" x14ac:dyDescent="0.25">
      <c r="C2029" t="s">
        <v>835</v>
      </c>
    </row>
    <row r="2030" spans="2:4" x14ac:dyDescent="0.25">
      <c r="C2030" t="s">
        <v>823</v>
      </c>
    </row>
    <row r="2031" spans="2:4" x14ac:dyDescent="0.25">
      <c r="C2031" t="s">
        <v>558</v>
      </c>
    </row>
    <row r="2032" spans="2:4" x14ac:dyDescent="0.25">
      <c r="D2032" t="s">
        <v>2843</v>
      </c>
    </row>
    <row r="2033" spans="2:4" x14ac:dyDescent="0.25">
      <c r="D2033" t="s">
        <v>2073</v>
      </c>
    </row>
    <row r="2034" spans="2:4" x14ac:dyDescent="0.25">
      <c r="D2034" t="s">
        <v>2072</v>
      </c>
    </row>
    <row r="2035" spans="2:4" x14ac:dyDescent="0.25">
      <c r="C2035" t="s">
        <v>559</v>
      </c>
    </row>
    <row r="2036" spans="2:4" x14ac:dyDescent="0.25">
      <c r="B2036" t="s">
        <v>559</v>
      </c>
    </row>
    <row r="2037" spans="2:4" x14ac:dyDescent="0.25">
      <c r="B2037" t="s">
        <v>830</v>
      </c>
    </row>
    <row r="2038" spans="2:4" x14ac:dyDescent="0.25">
      <c r="B2038" t="s">
        <v>558</v>
      </c>
    </row>
    <row r="2039" spans="2:4" x14ac:dyDescent="0.25">
      <c r="C2039" t="s">
        <v>2020</v>
      </c>
    </row>
    <row r="2040" spans="2:4" x14ac:dyDescent="0.25">
      <c r="C2040" t="s">
        <v>2021</v>
      </c>
    </row>
    <row r="2041" spans="2:4" x14ac:dyDescent="0.25">
      <c r="C2041" t="s">
        <v>2022</v>
      </c>
    </row>
    <row r="2042" spans="2:4" x14ac:dyDescent="0.25">
      <c r="C2042" t="s">
        <v>1711</v>
      </c>
    </row>
    <row r="2043" spans="2:4" x14ac:dyDescent="0.25">
      <c r="C2043" t="s">
        <v>832</v>
      </c>
    </row>
    <row r="2044" spans="2:4" x14ac:dyDescent="0.25">
      <c r="C2044" t="s">
        <v>2023</v>
      </c>
    </row>
    <row r="2045" spans="2:4" x14ac:dyDescent="0.25">
      <c r="C2045" t="s">
        <v>833</v>
      </c>
    </row>
    <row r="2046" spans="2:4" x14ac:dyDescent="0.25">
      <c r="C2046" t="s">
        <v>1701</v>
      </c>
    </row>
    <row r="2047" spans="2:4" x14ac:dyDescent="0.25">
      <c r="C2047" t="s">
        <v>2166</v>
      </c>
    </row>
    <row r="2048" spans="2:4" x14ac:dyDescent="0.25">
      <c r="C2048" t="s">
        <v>835</v>
      </c>
    </row>
    <row r="2049" spans="2:4" x14ac:dyDescent="0.25">
      <c r="C2049" t="s">
        <v>823</v>
      </c>
    </row>
    <row r="2050" spans="2:4" x14ac:dyDescent="0.25">
      <c r="C2050" t="s">
        <v>558</v>
      </c>
    </row>
    <row r="2051" spans="2:4" x14ac:dyDescent="0.25">
      <c r="D2051" t="s">
        <v>2844</v>
      </c>
    </row>
    <row r="2052" spans="2:4" x14ac:dyDescent="0.25">
      <c r="D2052" t="s">
        <v>851</v>
      </c>
    </row>
    <row r="2053" spans="2:4" x14ac:dyDescent="0.25">
      <c r="D2053" t="s">
        <v>852</v>
      </c>
    </row>
    <row r="2054" spans="2:4" x14ac:dyDescent="0.25">
      <c r="C2054" t="s">
        <v>559</v>
      </c>
    </row>
    <row r="2055" spans="2:4" x14ac:dyDescent="0.25">
      <c r="C2055" t="s">
        <v>823</v>
      </c>
    </row>
    <row r="2056" spans="2:4" x14ac:dyDescent="0.25">
      <c r="C2056" t="s">
        <v>558</v>
      </c>
    </row>
    <row r="2057" spans="2:4" x14ac:dyDescent="0.25">
      <c r="D2057" t="s">
        <v>2845</v>
      </c>
    </row>
    <row r="2058" spans="2:4" x14ac:dyDescent="0.25">
      <c r="D2058" t="s">
        <v>2071</v>
      </c>
    </row>
    <row r="2059" spans="2:4" x14ac:dyDescent="0.25">
      <c r="D2059" t="s">
        <v>2075</v>
      </c>
    </row>
    <row r="2060" spans="2:4" x14ac:dyDescent="0.25">
      <c r="C2060" t="s">
        <v>559</v>
      </c>
    </row>
    <row r="2061" spans="2:4" x14ac:dyDescent="0.25">
      <c r="B2061" t="s">
        <v>559</v>
      </c>
    </row>
    <row r="2062" spans="2:4" x14ac:dyDescent="0.25">
      <c r="B2062" t="s">
        <v>830</v>
      </c>
    </row>
    <row r="2063" spans="2:4" x14ac:dyDescent="0.25">
      <c r="B2063" t="s">
        <v>558</v>
      </c>
    </row>
    <row r="2064" spans="2:4" x14ac:dyDescent="0.25">
      <c r="C2064" t="s">
        <v>2024</v>
      </c>
    </row>
    <row r="2065" spans="2:4" x14ac:dyDescent="0.25">
      <c r="C2065" t="s">
        <v>2025</v>
      </c>
    </row>
    <row r="2066" spans="2:4" x14ac:dyDescent="0.25">
      <c r="C2066" t="s">
        <v>2026</v>
      </c>
    </row>
    <row r="2067" spans="2:4" x14ac:dyDescent="0.25">
      <c r="C2067" t="s">
        <v>1890</v>
      </c>
    </row>
    <row r="2068" spans="2:4" x14ac:dyDescent="0.25">
      <c r="C2068" t="s">
        <v>832</v>
      </c>
    </row>
    <row r="2069" spans="2:4" x14ac:dyDescent="0.25">
      <c r="C2069" t="s">
        <v>2027</v>
      </c>
    </row>
    <row r="2070" spans="2:4" x14ac:dyDescent="0.25">
      <c r="C2070" t="s">
        <v>833</v>
      </c>
    </row>
    <row r="2071" spans="2:4" x14ac:dyDescent="0.25">
      <c r="C2071" t="s">
        <v>1701</v>
      </c>
    </row>
    <row r="2072" spans="2:4" x14ac:dyDescent="0.25">
      <c r="C2072" t="s">
        <v>2444</v>
      </c>
    </row>
    <row r="2073" spans="2:4" x14ac:dyDescent="0.25">
      <c r="C2073" t="s">
        <v>835</v>
      </c>
    </row>
    <row r="2074" spans="2:4" x14ac:dyDescent="0.25">
      <c r="C2074" t="s">
        <v>823</v>
      </c>
    </row>
    <row r="2075" spans="2:4" x14ac:dyDescent="0.25">
      <c r="C2075" t="s">
        <v>558</v>
      </c>
    </row>
    <row r="2076" spans="2:4" x14ac:dyDescent="0.25">
      <c r="D2076" t="s">
        <v>2846</v>
      </c>
    </row>
    <row r="2077" spans="2:4" x14ac:dyDescent="0.25">
      <c r="D2077" t="s">
        <v>2071</v>
      </c>
    </row>
    <row r="2078" spans="2:4" x14ac:dyDescent="0.25">
      <c r="D2078" t="s">
        <v>2075</v>
      </c>
    </row>
    <row r="2079" spans="2:4" x14ac:dyDescent="0.25">
      <c r="C2079" t="s">
        <v>559</v>
      </c>
    </row>
    <row r="2080" spans="2:4" x14ac:dyDescent="0.25">
      <c r="B2080" t="s">
        <v>559</v>
      </c>
    </row>
    <row r="2081" spans="2:4" x14ac:dyDescent="0.25">
      <c r="B2081" t="s">
        <v>830</v>
      </c>
    </row>
    <row r="2082" spans="2:4" x14ac:dyDescent="0.25">
      <c r="B2082" t="s">
        <v>558</v>
      </c>
    </row>
    <row r="2083" spans="2:4" x14ac:dyDescent="0.25">
      <c r="C2083" t="s">
        <v>2028</v>
      </c>
    </row>
    <row r="2084" spans="2:4" x14ac:dyDescent="0.25">
      <c r="C2084" t="s">
        <v>2029</v>
      </c>
    </row>
    <row r="2085" spans="2:4" x14ac:dyDescent="0.25">
      <c r="C2085" t="s">
        <v>2030</v>
      </c>
    </row>
    <row r="2086" spans="2:4" x14ac:dyDescent="0.25">
      <c r="C2086" t="s">
        <v>2847</v>
      </c>
    </row>
    <row r="2087" spans="2:4" x14ac:dyDescent="0.25">
      <c r="C2087" t="s">
        <v>832</v>
      </c>
    </row>
    <row r="2088" spans="2:4" x14ac:dyDescent="0.25">
      <c r="C2088" t="s">
        <v>2031</v>
      </c>
    </row>
    <row r="2089" spans="2:4" x14ac:dyDescent="0.25">
      <c r="C2089" t="s">
        <v>833</v>
      </c>
    </row>
    <row r="2090" spans="2:4" x14ac:dyDescent="0.25">
      <c r="C2090" t="s">
        <v>1701</v>
      </c>
    </row>
    <row r="2091" spans="2:4" x14ac:dyDescent="0.25">
      <c r="C2091" t="s">
        <v>2854</v>
      </c>
    </row>
    <row r="2092" spans="2:4" x14ac:dyDescent="0.25">
      <c r="C2092" t="s">
        <v>835</v>
      </c>
    </row>
    <row r="2093" spans="2:4" x14ac:dyDescent="0.25">
      <c r="C2093" t="s">
        <v>823</v>
      </c>
    </row>
    <row r="2094" spans="2:4" x14ac:dyDescent="0.25">
      <c r="C2094" t="s">
        <v>558</v>
      </c>
    </row>
    <row r="2095" spans="2:4" x14ac:dyDescent="0.25">
      <c r="D2095" t="s">
        <v>2845</v>
      </c>
    </row>
    <row r="2096" spans="2:4" x14ac:dyDescent="0.25">
      <c r="D2096" t="s">
        <v>2073</v>
      </c>
    </row>
    <row r="2097" spans="2:4" x14ac:dyDescent="0.25">
      <c r="D2097" t="s">
        <v>2075</v>
      </c>
    </row>
    <row r="2098" spans="2:4" x14ac:dyDescent="0.25">
      <c r="C2098" t="s">
        <v>559</v>
      </c>
    </row>
    <row r="2099" spans="2:4" x14ac:dyDescent="0.25">
      <c r="B2099" t="s">
        <v>559</v>
      </c>
    </row>
    <row r="2100" spans="2:4" x14ac:dyDescent="0.25">
      <c r="B2100" t="s">
        <v>830</v>
      </c>
    </row>
    <row r="2101" spans="2:4" x14ac:dyDescent="0.25">
      <c r="B2101" t="s">
        <v>558</v>
      </c>
    </row>
    <row r="2102" spans="2:4" x14ac:dyDescent="0.25">
      <c r="C2102" t="s">
        <v>1925</v>
      </c>
    </row>
    <row r="2103" spans="2:4" x14ac:dyDescent="0.25">
      <c r="C2103" t="s">
        <v>1926</v>
      </c>
    </row>
    <row r="2104" spans="2:4" x14ac:dyDescent="0.25">
      <c r="C2104" t="s">
        <v>1927</v>
      </c>
    </row>
    <row r="2105" spans="2:4" x14ac:dyDescent="0.25">
      <c r="C2105" t="s">
        <v>1711</v>
      </c>
    </row>
    <row r="2106" spans="2:4" x14ac:dyDescent="0.25">
      <c r="C2106" t="s">
        <v>832</v>
      </c>
    </row>
    <row r="2107" spans="2:4" x14ac:dyDescent="0.25">
      <c r="C2107" t="s">
        <v>1928</v>
      </c>
    </row>
    <row r="2108" spans="2:4" x14ac:dyDescent="0.25">
      <c r="C2108" t="s">
        <v>833</v>
      </c>
    </row>
    <row r="2109" spans="2:4" x14ac:dyDescent="0.25">
      <c r="C2109" t="s">
        <v>1701</v>
      </c>
    </row>
    <row r="2110" spans="2:4" x14ac:dyDescent="0.25">
      <c r="C2110" t="s">
        <v>2855</v>
      </c>
    </row>
    <row r="2111" spans="2:4" x14ac:dyDescent="0.25">
      <c r="C2111" t="s">
        <v>835</v>
      </c>
    </row>
    <row r="2112" spans="2:4" x14ac:dyDescent="0.25">
      <c r="C2112" t="s">
        <v>823</v>
      </c>
    </row>
    <row r="2113" spans="2:4" x14ac:dyDescent="0.25">
      <c r="C2113" t="s">
        <v>558</v>
      </c>
    </row>
    <row r="2114" spans="2:4" x14ac:dyDescent="0.25">
      <c r="D2114" t="s">
        <v>2844</v>
      </c>
    </row>
    <row r="2115" spans="2:4" x14ac:dyDescent="0.25">
      <c r="D2115" t="s">
        <v>2071</v>
      </c>
    </row>
    <row r="2116" spans="2:4" x14ac:dyDescent="0.25">
      <c r="D2116" t="s">
        <v>2075</v>
      </c>
    </row>
    <row r="2117" spans="2:4" x14ac:dyDescent="0.25">
      <c r="C2117" t="s">
        <v>559</v>
      </c>
    </row>
    <row r="2118" spans="2:4" x14ac:dyDescent="0.25">
      <c r="B2118" t="s">
        <v>559</v>
      </c>
    </row>
    <row r="2119" spans="2:4" x14ac:dyDescent="0.25">
      <c r="B2119" t="s">
        <v>830</v>
      </c>
    </row>
    <row r="2120" spans="2:4" x14ac:dyDescent="0.25">
      <c r="B2120" t="s">
        <v>558</v>
      </c>
    </row>
    <row r="2121" spans="2:4" x14ac:dyDescent="0.25">
      <c r="C2121" t="s">
        <v>2439</v>
      </c>
    </row>
    <row r="2122" spans="2:4" x14ac:dyDescent="0.25">
      <c r="C2122" t="s">
        <v>2440</v>
      </c>
    </row>
    <row r="2123" spans="2:4" x14ac:dyDescent="0.25">
      <c r="C2123" t="s">
        <v>2441</v>
      </c>
    </row>
    <row r="2124" spans="2:4" x14ac:dyDescent="0.25">
      <c r="C2124" t="s">
        <v>1890</v>
      </c>
    </row>
    <row r="2125" spans="2:4" x14ac:dyDescent="0.25">
      <c r="C2125" t="s">
        <v>832</v>
      </c>
    </row>
    <row r="2126" spans="2:4" x14ac:dyDescent="0.25">
      <c r="C2126" t="s">
        <v>2442</v>
      </c>
    </row>
    <row r="2127" spans="2:4" x14ac:dyDescent="0.25">
      <c r="C2127" t="s">
        <v>833</v>
      </c>
    </row>
    <row r="2128" spans="2:4" x14ac:dyDescent="0.25">
      <c r="C2128" t="s">
        <v>2443</v>
      </c>
    </row>
    <row r="2129" spans="2:4" x14ac:dyDescent="0.25">
      <c r="C2129" t="s">
        <v>2856</v>
      </c>
    </row>
    <row r="2130" spans="2:4" x14ac:dyDescent="0.25">
      <c r="C2130" t="s">
        <v>835</v>
      </c>
    </row>
    <row r="2131" spans="2:4" x14ac:dyDescent="0.25">
      <c r="C2131" t="s">
        <v>823</v>
      </c>
    </row>
    <row r="2132" spans="2:4" x14ac:dyDescent="0.25">
      <c r="C2132" t="s">
        <v>558</v>
      </c>
    </row>
    <row r="2133" spans="2:4" x14ac:dyDescent="0.25">
      <c r="D2133" t="s">
        <v>2848</v>
      </c>
    </row>
    <row r="2134" spans="2:4" x14ac:dyDescent="0.25">
      <c r="D2134" t="s">
        <v>2071</v>
      </c>
    </row>
    <row r="2135" spans="2:4" x14ac:dyDescent="0.25">
      <c r="D2135" t="s">
        <v>2075</v>
      </c>
    </row>
    <row r="2136" spans="2:4" x14ac:dyDescent="0.25">
      <c r="C2136" t="s">
        <v>559</v>
      </c>
    </row>
    <row r="2137" spans="2:4" x14ac:dyDescent="0.25">
      <c r="B2137" t="s">
        <v>559</v>
      </c>
    </row>
    <row r="2138" spans="2:4" x14ac:dyDescent="0.25">
      <c r="B2138" t="s">
        <v>830</v>
      </c>
    </row>
    <row r="2139" spans="2:4" x14ac:dyDescent="0.25">
      <c r="B2139" t="s">
        <v>558</v>
      </c>
    </row>
    <row r="2140" spans="2:4" x14ac:dyDescent="0.25">
      <c r="C2140" t="s">
        <v>1897</v>
      </c>
    </row>
    <row r="2141" spans="2:4" x14ac:dyDescent="0.25">
      <c r="C2141" t="s">
        <v>1898</v>
      </c>
    </row>
    <row r="2142" spans="2:4" x14ac:dyDescent="0.25">
      <c r="C2142" t="s">
        <v>1899</v>
      </c>
    </row>
    <row r="2143" spans="2:4" x14ac:dyDescent="0.25">
      <c r="C2143" t="s">
        <v>1721</v>
      </c>
    </row>
    <row r="2144" spans="2:4" x14ac:dyDescent="0.25">
      <c r="C2144" t="s">
        <v>832</v>
      </c>
    </row>
    <row r="2145" spans="2:4" x14ac:dyDescent="0.25">
      <c r="C2145" t="s">
        <v>1900</v>
      </c>
    </row>
    <row r="2146" spans="2:4" x14ac:dyDescent="0.25">
      <c r="C2146" t="s">
        <v>833</v>
      </c>
    </row>
    <row r="2147" spans="2:4" x14ac:dyDescent="0.25">
      <c r="C2147" t="s">
        <v>1701</v>
      </c>
    </row>
    <row r="2148" spans="2:4" x14ac:dyDescent="0.25">
      <c r="C2148" t="s">
        <v>2857</v>
      </c>
    </row>
    <row r="2149" spans="2:4" x14ac:dyDescent="0.25">
      <c r="C2149" t="s">
        <v>835</v>
      </c>
    </row>
    <row r="2150" spans="2:4" x14ac:dyDescent="0.25">
      <c r="C2150" t="s">
        <v>823</v>
      </c>
    </row>
    <row r="2151" spans="2:4" x14ac:dyDescent="0.25">
      <c r="C2151" t="s">
        <v>558</v>
      </c>
    </row>
    <row r="2152" spans="2:4" x14ac:dyDescent="0.25">
      <c r="D2152" t="s">
        <v>2849</v>
      </c>
    </row>
    <row r="2153" spans="2:4" x14ac:dyDescent="0.25">
      <c r="D2153" t="s">
        <v>2071</v>
      </c>
    </row>
    <row r="2154" spans="2:4" x14ac:dyDescent="0.25">
      <c r="D2154" t="s">
        <v>2075</v>
      </c>
    </row>
    <row r="2155" spans="2:4" x14ac:dyDescent="0.25">
      <c r="C2155" t="s">
        <v>559</v>
      </c>
    </row>
    <row r="2156" spans="2:4" x14ac:dyDescent="0.25">
      <c r="B2156" t="s">
        <v>559</v>
      </c>
    </row>
    <row r="2157" spans="2:4" x14ac:dyDescent="0.25">
      <c r="B2157" t="s">
        <v>830</v>
      </c>
    </row>
    <row r="2158" spans="2:4" x14ac:dyDescent="0.25">
      <c r="B2158" t="s">
        <v>558</v>
      </c>
    </row>
    <row r="2159" spans="2:4" x14ac:dyDescent="0.25">
      <c r="C2159" t="s">
        <v>2445</v>
      </c>
    </row>
    <row r="2160" spans="2:4" x14ac:dyDescent="0.25">
      <c r="C2160" t="s">
        <v>2446</v>
      </c>
    </row>
    <row r="2161" spans="2:4" x14ac:dyDescent="0.25">
      <c r="C2161" t="s">
        <v>2447</v>
      </c>
    </row>
    <row r="2162" spans="2:4" x14ac:dyDescent="0.25">
      <c r="C2162" t="s">
        <v>1908</v>
      </c>
    </row>
    <row r="2163" spans="2:4" x14ac:dyDescent="0.25">
      <c r="C2163" t="s">
        <v>832</v>
      </c>
    </row>
    <row r="2164" spans="2:4" x14ac:dyDescent="0.25">
      <c r="C2164" t="s">
        <v>2448</v>
      </c>
    </row>
    <row r="2165" spans="2:4" x14ac:dyDescent="0.25">
      <c r="C2165" t="s">
        <v>833</v>
      </c>
    </row>
    <row r="2166" spans="2:4" x14ac:dyDescent="0.25">
      <c r="C2166" t="s">
        <v>2449</v>
      </c>
    </row>
    <row r="2167" spans="2:4" x14ac:dyDescent="0.25">
      <c r="C2167" t="s">
        <v>2858</v>
      </c>
    </row>
    <row r="2168" spans="2:4" x14ac:dyDescent="0.25">
      <c r="C2168" t="s">
        <v>835</v>
      </c>
    </row>
    <row r="2169" spans="2:4" x14ac:dyDescent="0.25">
      <c r="C2169" t="s">
        <v>823</v>
      </c>
    </row>
    <row r="2170" spans="2:4" x14ac:dyDescent="0.25">
      <c r="C2170" t="s">
        <v>558</v>
      </c>
    </row>
    <row r="2171" spans="2:4" x14ac:dyDescent="0.25">
      <c r="D2171" t="s">
        <v>2850</v>
      </c>
    </row>
    <row r="2172" spans="2:4" x14ac:dyDescent="0.25">
      <c r="D2172" t="s">
        <v>2071</v>
      </c>
    </row>
    <row r="2173" spans="2:4" x14ac:dyDescent="0.25">
      <c r="D2173" t="s">
        <v>2075</v>
      </c>
    </row>
    <row r="2174" spans="2:4" x14ac:dyDescent="0.25">
      <c r="C2174" t="s">
        <v>559</v>
      </c>
    </row>
    <row r="2175" spans="2:4" x14ac:dyDescent="0.25">
      <c r="B2175" t="s">
        <v>559</v>
      </c>
    </row>
    <row r="2176" spans="2:4" x14ac:dyDescent="0.25">
      <c r="B2176" t="s">
        <v>830</v>
      </c>
    </row>
    <row r="2177" spans="2:4" x14ac:dyDescent="0.25">
      <c r="B2177" t="s">
        <v>558</v>
      </c>
    </row>
    <row r="2178" spans="2:4" x14ac:dyDescent="0.25">
      <c r="C2178" t="s">
        <v>1826</v>
      </c>
    </row>
    <row r="2179" spans="2:4" x14ac:dyDescent="0.25">
      <c r="C2179" t="s">
        <v>1827</v>
      </c>
    </row>
    <row r="2180" spans="2:4" x14ac:dyDescent="0.25">
      <c r="C2180" t="s">
        <v>1828</v>
      </c>
    </row>
    <row r="2181" spans="2:4" x14ac:dyDescent="0.25">
      <c r="C2181" t="s">
        <v>1829</v>
      </c>
    </row>
    <row r="2182" spans="2:4" x14ac:dyDescent="0.25">
      <c r="C2182" t="s">
        <v>832</v>
      </c>
    </row>
    <row r="2183" spans="2:4" x14ac:dyDescent="0.25">
      <c r="C2183" t="s">
        <v>1830</v>
      </c>
    </row>
    <row r="2184" spans="2:4" x14ac:dyDescent="0.25">
      <c r="C2184" t="s">
        <v>833</v>
      </c>
    </row>
    <row r="2185" spans="2:4" x14ac:dyDescent="0.25">
      <c r="C2185" t="s">
        <v>1701</v>
      </c>
    </row>
    <row r="2186" spans="2:4" x14ac:dyDescent="0.25">
      <c r="C2186" t="s">
        <v>2454</v>
      </c>
    </row>
    <row r="2187" spans="2:4" x14ac:dyDescent="0.25">
      <c r="C2187" t="s">
        <v>835</v>
      </c>
    </row>
    <row r="2188" spans="2:4" x14ac:dyDescent="0.25">
      <c r="C2188" t="s">
        <v>823</v>
      </c>
    </row>
    <row r="2189" spans="2:4" x14ac:dyDescent="0.25">
      <c r="C2189" t="s">
        <v>558</v>
      </c>
    </row>
    <row r="2190" spans="2:4" x14ac:dyDescent="0.25">
      <c r="D2190" t="s">
        <v>2298</v>
      </c>
    </row>
    <row r="2191" spans="2:4" x14ac:dyDescent="0.25">
      <c r="D2191" t="s">
        <v>2071</v>
      </c>
    </row>
    <row r="2192" spans="2:4" x14ac:dyDescent="0.25">
      <c r="D2192" t="s">
        <v>2072</v>
      </c>
    </row>
    <row r="2193" spans="2:3" x14ac:dyDescent="0.25">
      <c r="C2193" t="s">
        <v>559</v>
      </c>
    </row>
    <row r="2194" spans="2:3" x14ac:dyDescent="0.25">
      <c r="B2194" t="s">
        <v>559</v>
      </c>
    </row>
    <row r="2195" spans="2:3" x14ac:dyDescent="0.25">
      <c r="B2195" t="s">
        <v>830</v>
      </c>
    </row>
    <row r="2196" spans="2:3" x14ac:dyDescent="0.25">
      <c r="B2196" t="s">
        <v>558</v>
      </c>
    </row>
    <row r="2197" spans="2:3" x14ac:dyDescent="0.25">
      <c r="C2197" t="s">
        <v>2450</v>
      </c>
    </row>
    <row r="2198" spans="2:3" x14ac:dyDescent="0.25">
      <c r="C2198" t="s">
        <v>2814</v>
      </c>
    </row>
    <row r="2199" spans="2:3" x14ac:dyDescent="0.25">
      <c r="C2199" t="s">
        <v>2451</v>
      </c>
    </row>
    <row r="2200" spans="2:3" x14ac:dyDescent="0.25">
      <c r="C2200" t="s">
        <v>1711</v>
      </c>
    </row>
    <row r="2201" spans="2:3" x14ac:dyDescent="0.25">
      <c r="C2201" t="s">
        <v>832</v>
      </c>
    </row>
    <row r="2202" spans="2:3" x14ac:dyDescent="0.25">
      <c r="C2202" t="s">
        <v>2452</v>
      </c>
    </row>
    <row r="2203" spans="2:3" x14ac:dyDescent="0.25">
      <c r="C2203" t="s">
        <v>833</v>
      </c>
    </row>
    <row r="2204" spans="2:3" x14ac:dyDescent="0.25">
      <c r="C2204" t="s">
        <v>2453</v>
      </c>
    </row>
    <row r="2205" spans="2:3" x14ac:dyDescent="0.25">
      <c r="C2205" t="s">
        <v>2859</v>
      </c>
    </row>
    <row r="2206" spans="2:3" x14ac:dyDescent="0.25">
      <c r="C2206" t="s">
        <v>835</v>
      </c>
    </row>
    <row r="2207" spans="2:3" x14ac:dyDescent="0.25">
      <c r="C2207" t="s">
        <v>823</v>
      </c>
    </row>
    <row r="2208" spans="2:3" x14ac:dyDescent="0.25">
      <c r="C2208" t="s">
        <v>558</v>
      </c>
    </row>
    <row r="2209" spans="2:4" x14ac:dyDescent="0.25">
      <c r="D2209" t="s">
        <v>2296</v>
      </c>
    </row>
    <row r="2210" spans="2:4" x14ac:dyDescent="0.25">
      <c r="D2210" t="s">
        <v>2073</v>
      </c>
    </row>
    <row r="2211" spans="2:4" x14ac:dyDescent="0.25">
      <c r="D2211" t="s">
        <v>2072</v>
      </c>
    </row>
    <row r="2212" spans="2:4" x14ac:dyDescent="0.25">
      <c r="C2212" t="s">
        <v>559</v>
      </c>
    </row>
    <row r="2213" spans="2:4" x14ac:dyDescent="0.25">
      <c r="B2213" t="s">
        <v>559</v>
      </c>
    </row>
    <row r="2214" spans="2:4" x14ac:dyDescent="0.25">
      <c r="B2214" t="s">
        <v>830</v>
      </c>
    </row>
    <row r="2215" spans="2:4" x14ac:dyDescent="0.25">
      <c r="B2215" t="s">
        <v>558</v>
      </c>
    </row>
    <row r="2216" spans="2:4" x14ac:dyDescent="0.25">
      <c r="C2216" t="s">
        <v>2455</v>
      </c>
    </row>
    <row r="2217" spans="2:4" x14ac:dyDescent="0.25">
      <c r="C2217" t="s">
        <v>2791</v>
      </c>
    </row>
    <row r="2218" spans="2:4" x14ac:dyDescent="0.25">
      <c r="C2218" t="s">
        <v>2456</v>
      </c>
    </row>
    <row r="2219" spans="2:4" x14ac:dyDescent="0.25">
      <c r="C2219" t="s">
        <v>1706</v>
      </c>
    </row>
    <row r="2220" spans="2:4" x14ac:dyDescent="0.25">
      <c r="C2220" t="s">
        <v>832</v>
      </c>
    </row>
    <row r="2221" spans="2:4" x14ac:dyDescent="0.25">
      <c r="C2221" t="s">
        <v>2457</v>
      </c>
    </row>
    <row r="2222" spans="2:4" x14ac:dyDescent="0.25">
      <c r="C2222" t="s">
        <v>833</v>
      </c>
    </row>
    <row r="2223" spans="2:4" x14ac:dyDescent="0.25">
      <c r="C2223" t="s">
        <v>2458</v>
      </c>
    </row>
    <row r="2224" spans="2:4" x14ac:dyDescent="0.25">
      <c r="C2224" t="s">
        <v>2860</v>
      </c>
    </row>
    <row r="2225" spans="2:4" x14ac:dyDescent="0.25">
      <c r="C2225" t="s">
        <v>835</v>
      </c>
    </row>
    <row r="2226" spans="2:4" x14ac:dyDescent="0.25">
      <c r="C2226" t="s">
        <v>823</v>
      </c>
    </row>
    <row r="2227" spans="2:4" x14ac:dyDescent="0.25">
      <c r="C2227" t="s">
        <v>558</v>
      </c>
    </row>
    <row r="2228" spans="2:4" x14ac:dyDescent="0.25">
      <c r="D2228" t="s">
        <v>2294</v>
      </c>
    </row>
    <row r="2229" spans="2:4" x14ac:dyDescent="0.25">
      <c r="D2229" t="s">
        <v>2071</v>
      </c>
    </row>
    <row r="2230" spans="2:4" x14ac:dyDescent="0.25">
      <c r="D2230" t="s">
        <v>2075</v>
      </c>
    </row>
    <row r="2231" spans="2:4" x14ac:dyDescent="0.25">
      <c r="C2231" t="s">
        <v>559</v>
      </c>
    </row>
    <row r="2232" spans="2:4" x14ac:dyDescent="0.25">
      <c r="B2232" t="s">
        <v>559</v>
      </c>
    </row>
    <row r="2233" spans="2:4" x14ac:dyDescent="0.25">
      <c r="B2233" t="s">
        <v>830</v>
      </c>
    </row>
    <row r="2234" spans="2:4" x14ac:dyDescent="0.25">
      <c r="B2234" t="s">
        <v>558</v>
      </c>
    </row>
    <row r="2235" spans="2:4" x14ac:dyDescent="0.25">
      <c r="C2235" t="s">
        <v>2460</v>
      </c>
    </row>
    <row r="2236" spans="2:4" x14ac:dyDescent="0.25">
      <c r="C2236" t="s">
        <v>2827</v>
      </c>
    </row>
    <row r="2237" spans="2:4" x14ac:dyDescent="0.25">
      <c r="C2237" t="s">
        <v>2461</v>
      </c>
    </row>
    <row r="2238" spans="2:4" x14ac:dyDescent="0.25">
      <c r="C2238" t="s">
        <v>1721</v>
      </c>
    </row>
    <row r="2239" spans="2:4" x14ac:dyDescent="0.25">
      <c r="C2239" t="s">
        <v>832</v>
      </c>
    </row>
    <row r="2240" spans="2:4" x14ac:dyDescent="0.25">
      <c r="C2240" t="s">
        <v>2462</v>
      </c>
    </row>
    <row r="2241" spans="2:4" x14ac:dyDescent="0.25">
      <c r="C2241" t="s">
        <v>833</v>
      </c>
    </row>
    <row r="2242" spans="2:4" x14ac:dyDescent="0.25">
      <c r="C2242" t="s">
        <v>2463</v>
      </c>
    </row>
    <row r="2243" spans="2:4" x14ac:dyDescent="0.25">
      <c r="C2243" t="s">
        <v>2861</v>
      </c>
    </row>
    <row r="2244" spans="2:4" x14ac:dyDescent="0.25">
      <c r="C2244" t="s">
        <v>835</v>
      </c>
    </row>
    <row r="2245" spans="2:4" x14ac:dyDescent="0.25">
      <c r="C2245" t="s">
        <v>823</v>
      </c>
    </row>
    <row r="2246" spans="2:4" x14ac:dyDescent="0.25">
      <c r="C2246" t="s">
        <v>558</v>
      </c>
    </row>
    <row r="2247" spans="2:4" x14ac:dyDescent="0.25">
      <c r="D2247" t="s">
        <v>2297</v>
      </c>
    </row>
    <row r="2248" spans="2:4" x14ac:dyDescent="0.25">
      <c r="D2248" t="s">
        <v>2071</v>
      </c>
    </row>
    <row r="2249" spans="2:4" x14ac:dyDescent="0.25">
      <c r="D2249" t="s">
        <v>2075</v>
      </c>
    </row>
    <row r="2250" spans="2:4" x14ac:dyDescent="0.25">
      <c r="C2250" t="s">
        <v>559</v>
      </c>
    </row>
    <row r="2251" spans="2:4" x14ac:dyDescent="0.25">
      <c r="B2251" t="s">
        <v>559</v>
      </c>
    </row>
    <row r="2252" spans="2:4" x14ac:dyDescent="0.25">
      <c r="B2252" t="s">
        <v>830</v>
      </c>
    </row>
    <row r="2253" spans="2:4" x14ac:dyDescent="0.25">
      <c r="B2253" t="s">
        <v>558</v>
      </c>
    </row>
    <row r="2254" spans="2:4" x14ac:dyDescent="0.25">
      <c r="C2254" t="s">
        <v>2465</v>
      </c>
    </row>
    <row r="2255" spans="2:4" x14ac:dyDescent="0.25">
      <c r="C2255" t="s">
        <v>2805</v>
      </c>
    </row>
    <row r="2256" spans="2:4" x14ac:dyDescent="0.25">
      <c r="C2256" t="s">
        <v>2466</v>
      </c>
    </row>
    <row r="2257" spans="2:4" x14ac:dyDescent="0.25">
      <c r="C2257" t="s">
        <v>1770</v>
      </c>
    </row>
    <row r="2258" spans="2:4" x14ac:dyDescent="0.25">
      <c r="C2258" t="s">
        <v>832</v>
      </c>
    </row>
    <row r="2259" spans="2:4" x14ac:dyDescent="0.25">
      <c r="C2259" t="s">
        <v>2467</v>
      </c>
    </row>
    <row r="2260" spans="2:4" x14ac:dyDescent="0.25">
      <c r="C2260" t="s">
        <v>833</v>
      </c>
    </row>
    <row r="2261" spans="2:4" x14ac:dyDescent="0.25">
      <c r="C2261" t="s">
        <v>2468</v>
      </c>
    </row>
    <row r="2262" spans="2:4" x14ac:dyDescent="0.25">
      <c r="C2262" t="s">
        <v>2862</v>
      </c>
    </row>
    <row r="2263" spans="2:4" x14ac:dyDescent="0.25">
      <c r="C2263" t="s">
        <v>835</v>
      </c>
    </row>
    <row r="2264" spans="2:4" x14ac:dyDescent="0.25">
      <c r="C2264" t="s">
        <v>823</v>
      </c>
    </row>
    <row r="2265" spans="2:4" x14ac:dyDescent="0.25">
      <c r="C2265" t="s">
        <v>558</v>
      </c>
    </row>
    <row r="2266" spans="2:4" x14ac:dyDescent="0.25">
      <c r="D2266" t="s">
        <v>2295</v>
      </c>
    </row>
    <row r="2267" spans="2:4" x14ac:dyDescent="0.25">
      <c r="D2267" t="s">
        <v>2071</v>
      </c>
    </row>
    <row r="2268" spans="2:4" x14ac:dyDescent="0.25">
      <c r="D2268" t="s">
        <v>2075</v>
      </c>
    </row>
    <row r="2269" spans="2:4" x14ac:dyDescent="0.25">
      <c r="C2269" t="s">
        <v>559</v>
      </c>
    </row>
    <row r="2270" spans="2:4" x14ac:dyDescent="0.25">
      <c r="B2270" t="s">
        <v>559</v>
      </c>
    </row>
    <row r="2271" spans="2:4" x14ac:dyDescent="0.25">
      <c r="B2271" t="s">
        <v>830</v>
      </c>
    </row>
    <row r="2272" spans="2:4" x14ac:dyDescent="0.25">
      <c r="B2272" t="s">
        <v>558</v>
      </c>
    </row>
    <row r="2273" spans="3:4" x14ac:dyDescent="0.25">
      <c r="C2273" t="s">
        <v>1723</v>
      </c>
    </row>
    <row r="2274" spans="3:4" x14ac:dyDescent="0.25">
      <c r="C2274" t="s">
        <v>1724</v>
      </c>
    </row>
    <row r="2275" spans="3:4" x14ac:dyDescent="0.25">
      <c r="C2275" t="s">
        <v>1725</v>
      </c>
    </row>
    <row r="2276" spans="3:4" x14ac:dyDescent="0.25">
      <c r="C2276" t="s">
        <v>1726</v>
      </c>
    </row>
    <row r="2277" spans="3:4" x14ac:dyDescent="0.25">
      <c r="C2277" t="s">
        <v>832</v>
      </c>
    </row>
    <row r="2278" spans="3:4" x14ac:dyDescent="0.25">
      <c r="C2278" t="s">
        <v>1727</v>
      </c>
    </row>
    <row r="2279" spans="3:4" x14ac:dyDescent="0.25">
      <c r="C2279" t="s">
        <v>833</v>
      </c>
    </row>
    <row r="2280" spans="3:4" x14ac:dyDescent="0.25">
      <c r="C2280" t="s">
        <v>1701</v>
      </c>
    </row>
    <row r="2281" spans="3:4" x14ac:dyDescent="0.25">
      <c r="C2281" t="s">
        <v>2459</v>
      </c>
    </row>
    <row r="2282" spans="3:4" x14ac:dyDescent="0.25">
      <c r="C2282" t="s">
        <v>835</v>
      </c>
    </row>
    <row r="2283" spans="3:4" x14ac:dyDescent="0.25">
      <c r="C2283" t="s">
        <v>823</v>
      </c>
    </row>
    <row r="2284" spans="3:4" x14ac:dyDescent="0.25">
      <c r="C2284" t="s">
        <v>558</v>
      </c>
    </row>
    <row r="2285" spans="3:4" x14ac:dyDescent="0.25">
      <c r="D2285" t="s">
        <v>2296</v>
      </c>
    </row>
    <row r="2286" spans="3:4" x14ac:dyDescent="0.25">
      <c r="D2286" t="s">
        <v>2071</v>
      </c>
    </row>
    <row r="2287" spans="3:4" x14ac:dyDescent="0.25">
      <c r="D2287" t="s">
        <v>2075</v>
      </c>
    </row>
    <row r="2288" spans="3:4" x14ac:dyDescent="0.25">
      <c r="C2288" t="s">
        <v>559</v>
      </c>
    </row>
    <row r="2289" spans="2:4" x14ac:dyDescent="0.25">
      <c r="B2289" t="s">
        <v>559</v>
      </c>
    </row>
    <row r="2290" spans="2:4" x14ac:dyDescent="0.25">
      <c r="B2290" t="s">
        <v>830</v>
      </c>
    </row>
    <row r="2291" spans="2:4" x14ac:dyDescent="0.25">
      <c r="B2291" t="s">
        <v>558</v>
      </c>
    </row>
    <row r="2292" spans="2:4" x14ac:dyDescent="0.25">
      <c r="C2292" t="s">
        <v>2470</v>
      </c>
    </row>
    <row r="2293" spans="2:4" x14ac:dyDescent="0.25">
      <c r="C2293" t="s">
        <v>2471</v>
      </c>
    </row>
    <row r="2294" spans="2:4" x14ac:dyDescent="0.25">
      <c r="C2294" t="s">
        <v>2472</v>
      </c>
    </row>
    <row r="2295" spans="2:4" x14ac:dyDescent="0.25">
      <c r="C2295" t="s">
        <v>1844</v>
      </c>
    </row>
    <row r="2296" spans="2:4" x14ac:dyDescent="0.25">
      <c r="C2296" t="s">
        <v>832</v>
      </c>
    </row>
    <row r="2297" spans="2:4" x14ac:dyDescent="0.25">
      <c r="C2297" t="s">
        <v>2473</v>
      </c>
    </row>
    <row r="2298" spans="2:4" x14ac:dyDescent="0.25">
      <c r="C2298" t="s">
        <v>833</v>
      </c>
    </row>
    <row r="2299" spans="2:4" x14ac:dyDescent="0.25">
      <c r="C2299" t="s">
        <v>2474</v>
      </c>
    </row>
    <row r="2300" spans="2:4" x14ac:dyDescent="0.25">
      <c r="C2300" t="s">
        <v>2475</v>
      </c>
    </row>
    <row r="2301" spans="2:4" x14ac:dyDescent="0.25">
      <c r="C2301" t="s">
        <v>835</v>
      </c>
    </row>
    <row r="2302" spans="2:4" x14ac:dyDescent="0.25">
      <c r="C2302" t="s">
        <v>823</v>
      </c>
    </row>
    <row r="2303" spans="2:4" x14ac:dyDescent="0.25">
      <c r="C2303" t="s">
        <v>558</v>
      </c>
    </row>
    <row r="2304" spans="2:4" x14ac:dyDescent="0.25">
      <c r="D2304" t="s">
        <v>2297</v>
      </c>
    </row>
    <row r="2305" spans="2:4" x14ac:dyDescent="0.25">
      <c r="D2305" t="s">
        <v>2073</v>
      </c>
    </row>
    <row r="2306" spans="2:4" x14ac:dyDescent="0.25">
      <c r="D2306" t="s">
        <v>2075</v>
      </c>
    </row>
    <row r="2307" spans="2:4" x14ac:dyDescent="0.25">
      <c r="C2307" t="s">
        <v>559</v>
      </c>
    </row>
    <row r="2308" spans="2:4" x14ac:dyDescent="0.25">
      <c r="B2308" t="s">
        <v>559</v>
      </c>
    </row>
    <row r="2309" spans="2:4" x14ac:dyDescent="0.25">
      <c r="B2309" t="s">
        <v>830</v>
      </c>
    </row>
    <row r="2310" spans="2:4" x14ac:dyDescent="0.25">
      <c r="B2310" t="s">
        <v>558</v>
      </c>
    </row>
    <row r="2311" spans="2:4" x14ac:dyDescent="0.25">
      <c r="C2311" t="s">
        <v>1755</v>
      </c>
    </row>
    <row r="2312" spans="2:4" x14ac:dyDescent="0.25">
      <c r="C2312" t="s">
        <v>1756</v>
      </c>
    </row>
    <row r="2313" spans="2:4" x14ac:dyDescent="0.25">
      <c r="C2313" t="s">
        <v>1757</v>
      </c>
    </row>
    <row r="2314" spans="2:4" x14ac:dyDescent="0.25">
      <c r="C2314" t="s">
        <v>1699</v>
      </c>
    </row>
    <row r="2315" spans="2:4" x14ac:dyDescent="0.25">
      <c r="C2315" t="s">
        <v>832</v>
      </c>
    </row>
    <row r="2316" spans="2:4" x14ac:dyDescent="0.25">
      <c r="C2316" t="s">
        <v>1758</v>
      </c>
    </row>
    <row r="2317" spans="2:4" x14ac:dyDescent="0.25">
      <c r="C2317" t="s">
        <v>833</v>
      </c>
    </row>
    <row r="2318" spans="2:4" x14ac:dyDescent="0.25">
      <c r="C2318" t="s">
        <v>1701</v>
      </c>
    </row>
    <row r="2319" spans="2:4" x14ac:dyDescent="0.25">
      <c r="C2319" t="s">
        <v>2464</v>
      </c>
    </row>
    <row r="2320" spans="2:4" x14ac:dyDescent="0.25">
      <c r="C2320" t="s">
        <v>835</v>
      </c>
    </row>
    <row r="2321" spans="2:4" x14ac:dyDescent="0.25">
      <c r="C2321" t="s">
        <v>823</v>
      </c>
    </row>
    <row r="2322" spans="2:4" x14ac:dyDescent="0.25">
      <c r="C2322" t="s">
        <v>558</v>
      </c>
    </row>
    <row r="2323" spans="2:4" x14ac:dyDescent="0.25">
      <c r="D2323" t="s">
        <v>2851</v>
      </c>
    </row>
    <row r="2324" spans="2:4" x14ac:dyDescent="0.25">
      <c r="D2324" t="s">
        <v>2071</v>
      </c>
    </row>
    <row r="2325" spans="2:4" x14ac:dyDescent="0.25">
      <c r="D2325" t="s">
        <v>2075</v>
      </c>
    </row>
    <row r="2326" spans="2:4" x14ac:dyDescent="0.25">
      <c r="C2326" t="s">
        <v>559</v>
      </c>
    </row>
    <row r="2327" spans="2:4" x14ac:dyDescent="0.25">
      <c r="B2327" t="s">
        <v>559</v>
      </c>
    </row>
    <row r="2328" spans="2:4" x14ac:dyDescent="0.25">
      <c r="B2328" t="s">
        <v>830</v>
      </c>
    </row>
    <row r="2329" spans="2:4" x14ac:dyDescent="0.25">
      <c r="B2329" t="s">
        <v>558</v>
      </c>
    </row>
    <row r="2330" spans="2:4" x14ac:dyDescent="0.25">
      <c r="C2330" t="s">
        <v>2476</v>
      </c>
    </row>
    <row r="2331" spans="2:4" x14ac:dyDescent="0.25">
      <c r="C2331" t="s">
        <v>2820</v>
      </c>
    </row>
    <row r="2332" spans="2:4" x14ac:dyDescent="0.25">
      <c r="C2332" t="s">
        <v>2477</v>
      </c>
    </row>
    <row r="2333" spans="2:4" x14ac:dyDescent="0.25">
      <c r="C2333" t="s">
        <v>1923</v>
      </c>
    </row>
    <row r="2334" spans="2:4" x14ac:dyDescent="0.25">
      <c r="C2334" t="s">
        <v>832</v>
      </c>
    </row>
    <row r="2335" spans="2:4" x14ac:dyDescent="0.25">
      <c r="C2335" t="s">
        <v>2478</v>
      </c>
    </row>
    <row r="2336" spans="2:4" x14ac:dyDescent="0.25">
      <c r="C2336" t="s">
        <v>833</v>
      </c>
    </row>
    <row r="2337" spans="2:4" x14ac:dyDescent="0.25">
      <c r="C2337" t="s">
        <v>2479</v>
      </c>
    </row>
    <row r="2338" spans="2:4" x14ac:dyDescent="0.25">
      <c r="C2338" t="s">
        <v>2480</v>
      </c>
    </row>
    <row r="2339" spans="2:4" x14ac:dyDescent="0.25">
      <c r="C2339" t="s">
        <v>835</v>
      </c>
    </row>
    <row r="2340" spans="2:4" x14ac:dyDescent="0.25">
      <c r="C2340" t="s">
        <v>823</v>
      </c>
    </row>
    <row r="2341" spans="2:4" x14ac:dyDescent="0.25">
      <c r="C2341" t="s">
        <v>558</v>
      </c>
    </row>
    <row r="2342" spans="2:4" x14ac:dyDescent="0.25">
      <c r="D2342" t="s">
        <v>2324</v>
      </c>
    </row>
    <row r="2343" spans="2:4" x14ac:dyDescent="0.25">
      <c r="D2343" t="s">
        <v>2071</v>
      </c>
    </row>
    <row r="2344" spans="2:4" x14ac:dyDescent="0.25">
      <c r="D2344" t="s">
        <v>2075</v>
      </c>
    </row>
    <row r="2345" spans="2:4" x14ac:dyDescent="0.25">
      <c r="C2345" t="s">
        <v>559</v>
      </c>
    </row>
    <row r="2346" spans="2:4" x14ac:dyDescent="0.25">
      <c r="B2346" t="s">
        <v>559</v>
      </c>
    </row>
    <row r="2347" spans="2:4" x14ac:dyDescent="0.25">
      <c r="B2347" t="s">
        <v>830</v>
      </c>
    </row>
    <row r="2348" spans="2:4" x14ac:dyDescent="0.25">
      <c r="B2348" t="s">
        <v>558</v>
      </c>
    </row>
    <row r="2349" spans="2:4" x14ac:dyDescent="0.25">
      <c r="C2349" t="s">
        <v>1862</v>
      </c>
    </row>
    <row r="2350" spans="2:4" x14ac:dyDescent="0.25">
      <c r="C2350" t="s">
        <v>1863</v>
      </c>
    </row>
    <row r="2351" spans="2:4" x14ac:dyDescent="0.25">
      <c r="C2351" t="s">
        <v>1864</v>
      </c>
    </row>
    <row r="2352" spans="2:4" x14ac:dyDescent="0.25">
      <c r="C2352" t="s">
        <v>1811</v>
      </c>
    </row>
    <row r="2353" spans="2:4" x14ac:dyDescent="0.25">
      <c r="C2353" t="s">
        <v>832</v>
      </c>
    </row>
    <row r="2354" spans="2:4" x14ac:dyDescent="0.25">
      <c r="C2354" t="s">
        <v>1865</v>
      </c>
    </row>
    <row r="2355" spans="2:4" x14ac:dyDescent="0.25">
      <c r="C2355" t="s">
        <v>833</v>
      </c>
    </row>
    <row r="2356" spans="2:4" x14ac:dyDescent="0.25">
      <c r="C2356" t="s">
        <v>1701</v>
      </c>
    </row>
    <row r="2357" spans="2:4" x14ac:dyDescent="0.25">
      <c r="C2357" t="s">
        <v>2469</v>
      </c>
    </row>
    <row r="2358" spans="2:4" x14ac:dyDescent="0.25">
      <c r="C2358" t="s">
        <v>835</v>
      </c>
    </row>
    <row r="2359" spans="2:4" x14ac:dyDescent="0.25">
      <c r="C2359" t="s">
        <v>823</v>
      </c>
    </row>
    <row r="2360" spans="2:4" x14ac:dyDescent="0.25">
      <c r="C2360" t="s">
        <v>558</v>
      </c>
    </row>
    <row r="2361" spans="2:4" x14ac:dyDescent="0.25">
      <c r="D2361" t="s">
        <v>2852</v>
      </c>
    </row>
    <row r="2362" spans="2:4" x14ac:dyDescent="0.25">
      <c r="D2362" t="s">
        <v>2071</v>
      </c>
    </row>
    <row r="2363" spans="2:4" x14ac:dyDescent="0.25">
      <c r="D2363" t="s">
        <v>2075</v>
      </c>
    </row>
    <row r="2364" spans="2:4" x14ac:dyDescent="0.25">
      <c r="C2364" t="s">
        <v>559</v>
      </c>
    </row>
    <row r="2365" spans="2:4" x14ac:dyDescent="0.25">
      <c r="B2365" t="s">
        <v>559</v>
      </c>
    </row>
    <row r="2366" spans="2:4" x14ac:dyDescent="0.25">
      <c r="B2366" t="s">
        <v>830</v>
      </c>
    </row>
    <row r="2367" spans="2:4" x14ac:dyDescent="0.25">
      <c r="B2367" t="s">
        <v>558</v>
      </c>
    </row>
    <row r="2368" spans="2:4" x14ac:dyDescent="0.25">
      <c r="C2368" t="s">
        <v>2481</v>
      </c>
    </row>
    <row r="2369" spans="2:4" x14ac:dyDescent="0.25">
      <c r="C2369" t="s">
        <v>2823</v>
      </c>
    </row>
    <row r="2370" spans="2:4" x14ac:dyDescent="0.25">
      <c r="C2370" t="s">
        <v>2482</v>
      </c>
    </row>
    <row r="2371" spans="2:4" x14ac:dyDescent="0.25">
      <c r="C2371" t="s">
        <v>1706</v>
      </c>
    </row>
    <row r="2372" spans="2:4" x14ac:dyDescent="0.25">
      <c r="C2372" t="s">
        <v>832</v>
      </c>
    </row>
    <row r="2373" spans="2:4" x14ac:dyDescent="0.25">
      <c r="C2373" t="s">
        <v>2483</v>
      </c>
    </row>
    <row r="2374" spans="2:4" x14ac:dyDescent="0.25">
      <c r="C2374" t="s">
        <v>833</v>
      </c>
    </row>
    <row r="2375" spans="2:4" x14ac:dyDescent="0.25">
      <c r="C2375" t="s">
        <v>2484</v>
      </c>
    </row>
    <row r="2376" spans="2:4" x14ac:dyDescent="0.25">
      <c r="C2376" t="s">
        <v>2485</v>
      </c>
    </row>
    <row r="2377" spans="2:4" x14ac:dyDescent="0.25">
      <c r="C2377" t="s">
        <v>835</v>
      </c>
    </row>
    <row r="2378" spans="2:4" x14ac:dyDescent="0.25">
      <c r="C2378" t="s">
        <v>823</v>
      </c>
    </row>
    <row r="2379" spans="2:4" x14ac:dyDescent="0.25">
      <c r="C2379" t="s">
        <v>558</v>
      </c>
    </row>
    <row r="2380" spans="2:4" x14ac:dyDescent="0.25">
      <c r="D2380" t="s">
        <v>2325</v>
      </c>
    </row>
    <row r="2381" spans="2:4" x14ac:dyDescent="0.25">
      <c r="D2381" t="s">
        <v>2071</v>
      </c>
    </row>
    <row r="2382" spans="2:4" x14ac:dyDescent="0.25">
      <c r="D2382" t="s">
        <v>2075</v>
      </c>
    </row>
    <row r="2383" spans="2:4" x14ac:dyDescent="0.25">
      <c r="C2383" t="s">
        <v>559</v>
      </c>
    </row>
    <row r="2384" spans="2:4" x14ac:dyDescent="0.25">
      <c r="B2384" t="s">
        <v>559</v>
      </c>
    </row>
    <row r="2385" spans="2:4" x14ac:dyDescent="0.25">
      <c r="B2385" t="s">
        <v>830</v>
      </c>
    </row>
    <row r="2386" spans="2:4" x14ac:dyDescent="0.25">
      <c r="B2386" t="s">
        <v>558</v>
      </c>
    </row>
    <row r="2387" spans="2:4" x14ac:dyDescent="0.25">
      <c r="C2387" t="s">
        <v>2486</v>
      </c>
    </row>
    <row r="2388" spans="2:4" x14ac:dyDescent="0.25">
      <c r="C2388" t="s">
        <v>2817</v>
      </c>
    </row>
    <row r="2389" spans="2:4" x14ac:dyDescent="0.25">
      <c r="C2389" t="s">
        <v>2487</v>
      </c>
    </row>
    <row r="2390" spans="2:4" x14ac:dyDescent="0.25">
      <c r="C2390" t="s">
        <v>1748</v>
      </c>
    </row>
    <row r="2391" spans="2:4" x14ac:dyDescent="0.25">
      <c r="C2391" t="s">
        <v>832</v>
      </c>
    </row>
    <row r="2392" spans="2:4" x14ac:dyDescent="0.25">
      <c r="C2392" t="s">
        <v>2488</v>
      </c>
    </row>
    <row r="2393" spans="2:4" x14ac:dyDescent="0.25">
      <c r="C2393" t="s">
        <v>833</v>
      </c>
    </row>
    <row r="2394" spans="2:4" x14ac:dyDescent="0.25">
      <c r="C2394" t="s">
        <v>2489</v>
      </c>
    </row>
    <row r="2395" spans="2:4" x14ac:dyDescent="0.25">
      <c r="C2395" t="s">
        <v>2490</v>
      </c>
    </row>
    <row r="2396" spans="2:4" x14ac:dyDescent="0.25">
      <c r="C2396" t="s">
        <v>835</v>
      </c>
    </row>
    <row r="2397" spans="2:4" x14ac:dyDescent="0.25">
      <c r="C2397" t="s">
        <v>823</v>
      </c>
    </row>
    <row r="2398" spans="2:4" x14ac:dyDescent="0.25">
      <c r="C2398" t="s">
        <v>558</v>
      </c>
    </row>
    <row r="2399" spans="2:4" x14ac:dyDescent="0.25">
      <c r="D2399" t="s">
        <v>2326</v>
      </c>
    </row>
    <row r="2400" spans="2:4" x14ac:dyDescent="0.25">
      <c r="D2400" t="s">
        <v>2071</v>
      </c>
    </row>
    <row r="2401" spans="2:4" x14ac:dyDescent="0.25">
      <c r="D2401" t="s">
        <v>2075</v>
      </c>
    </row>
    <row r="2402" spans="2:4" x14ac:dyDescent="0.25">
      <c r="C2402" t="s">
        <v>559</v>
      </c>
    </row>
    <row r="2403" spans="2:4" x14ac:dyDescent="0.25">
      <c r="B2403" t="s">
        <v>559</v>
      </c>
    </row>
    <row r="2404" spans="2:4" x14ac:dyDescent="0.25">
      <c r="B2404" t="s">
        <v>830</v>
      </c>
    </row>
    <row r="2405" spans="2:4" x14ac:dyDescent="0.25">
      <c r="B2405" t="s">
        <v>558</v>
      </c>
    </row>
    <row r="2406" spans="2:4" x14ac:dyDescent="0.25">
      <c r="C2406" t="s">
        <v>2491</v>
      </c>
    </row>
    <row r="2407" spans="2:4" x14ac:dyDescent="0.25">
      <c r="C2407" t="s">
        <v>2809</v>
      </c>
    </row>
    <row r="2408" spans="2:4" x14ac:dyDescent="0.25">
      <c r="C2408" t="s">
        <v>2492</v>
      </c>
    </row>
    <row r="2409" spans="2:4" x14ac:dyDescent="0.25">
      <c r="C2409" t="s">
        <v>1825</v>
      </c>
    </row>
    <row r="2410" spans="2:4" x14ac:dyDescent="0.25">
      <c r="C2410" t="s">
        <v>832</v>
      </c>
    </row>
    <row r="2411" spans="2:4" x14ac:dyDescent="0.25">
      <c r="C2411" t="s">
        <v>2493</v>
      </c>
    </row>
    <row r="2412" spans="2:4" x14ac:dyDescent="0.25">
      <c r="C2412" t="s">
        <v>833</v>
      </c>
    </row>
    <row r="2413" spans="2:4" x14ac:dyDescent="0.25">
      <c r="C2413" t="s">
        <v>2489</v>
      </c>
    </row>
    <row r="2414" spans="2:4" x14ac:dyDescent="0.25">
      <c r="C2414" t="s">
        <v>2494</v>
      </c>
    </row>
    <row r="2415" spans="2:4" x14ac:dyDescent="0.25">
      <c r="C2415" t="s">
        <v>835</v>
      </c>
    </row>
    <row r="2416" spans="2:4" x14ac:dyDescent="0.25">
      <c r="C2416" t="s">
        <v>823</v>
      </c>
    </row>
    <row r="2417" spans="2:4" x14ac:dyDescent="0.25">
      <c r="C2417" t="s">
        <v>558</v>
      </c>
    </row>
    <row r="2418" spans="2:4" x14ac:dyDescent="0.25">
      <c r="D2418" t="s">
        <v>2327</v>
      </c>
    </row>
    <row r="2419" spans="2:4" x14ac:dyDescent="0.25">
      <c r="D2419" t="s">
        <v>2071</v>
      </c>
    </row>
    <row r="2420" spans="2:4" x14ac:dyDescent="0.25">
      <c r="D2420" t="s">
        <v>2075</v>
      </c>
    </row>
    <row r="2421" spans="2:4" x14ac:dyDescent="0.25">
      <c r="C2421" t="s">
        <v>559</v>
      </c>
    </row>
    <row r="2422" spans="2:4" x14ac:dyDescent="0.25">
      <c r="B2422" t="s">
        <v>559</v>
      </c>
    </row>
    <row r="2423" spans="2:4" x14ac:dyDescent="0.25">
      <c r="B2423" t="s">
        <v>830</v>
      </c>
    </row>
    <row r="2424" spans="2:4" x14ac:dyDescent="0.25">
      <c r="B2424" t="s">
        <v>558</v>
      </c>
    </row>
    <row r="2425" spans="2:4" x14ac:dyDescent="0.25">
      <c r="C2425" t="s">
        <v>2495</v>
      </c>
    </row>
    <row r="2426" spans="2:4" x14ac:dyDescent="0.25">
      <c r="C2426" t="s">
        <v>2802</v>
      </c>
    </row>
    <row r="2427" spans="2:4" x14ac:dyDescent="0.25">
      <c r="C2427" t="s">
        <v>2496</v>
      </c>
    </row>
    <row r="2428" spans="2:4" x14ac:dyDescent="0.25">
      <c r="C2428" t="s">
        <v>1770</v>
      </c>
    </row>
    <row r="2429" spans="2:4" x14ac:dyDescent="0.25">
      <c r="C2429" t="s">
        <v>832</v>
      </c>
    </row>
    <row r="2430" spans="2:4" x14ac:dyDescent="0.25">
      <c r="C2430" t="s">
        <v>2497</v>
      </c>
    </row>
    <row r="2431" spans="2:4" x14ac:dyDescent="0.25">
      <c r="C2431" t="s">
        <v>833</v>
      </c>
    </row>
    <row r="2432" spans="2:4" x14ac:dyDescent="0.25">
      <c r="C2432" t="s">
        <v>2489</v>
      </c>
    </row>
    <row r="2433" spans="2:4" x14ac:dyDescent="0.25">
      <c r="C2433" t="s">
        <v>2498</v>
      </c>
    </row>
    <row r="2434" spans="2:4" x14ac:dyDescent="0.25">
      <c r="C2434" t="s">
        <v>835</v>
      </c>
    </row>
    <row r="2435" spans="2:4" x14ac:dyDescent="0.25">
      <c r="C2435" t="s">
        <v>823</v>
      </c>
    </row>
    <row r="2436" spans="2:4" x14ac:dyDescent="0.25">
      <c r="C2436" t="s">
        <v>558</v>
      </c>
    </row>
    <row r="2437" spans="2:4" x14ac:dyDescent="0.25">
      <c r="D2437" t="s">
        <v>2328</v>
      </c>
    </row>
    <row r="2438" spans="2:4" x14ac:dyDescent="0.25">
      <c r="D2438" t="s">
        <v>2071</v>
      </c>
    </row>
    <row r="2439" spans="2:4" x14ac:dyDescent="0.25">
      <c r="D2439" t="s">
        <v>2075</v>
      </c>
    </row>
    <row r="2440" spans="2:4" x14ac:dyDescent="0.25">
      <c r="C2440" t="s">
        <v>559</v>
      </c>
    </row>
    <row r="2441" spans="2:4" x14ac:dyDescent="0.25">
      <c r="B2441" t="s">
        <v>559</v>
      </c>
    </row>
    <row r="2442" spans="2:4" x14ac:dyDescent="0.25">
      <c r="B2442" t="s">
        <v>830</v>
      </c>
    </row>
    <row r="2443" spans="2:4" x14ac:dyDescent="0.25">
      <c r="B2443" t="s">
        <v>558</v>
      </c>
    </row>
    <row r="2444" spans="2:4" x14ac:dyDescent="0.25">
      <c r="C2444" t="s">
        <v>2499</v>
      </c>
    </row>
    <row r="2445" spans="2:4" x14ac:dyDescent="0.25">
      <c r="C2445" t="s">
        <v>2821</v>
      </c>
    </row>
    <row r="2446" spans="2:4" x14ac:dyDescent="0.25">
      <c r="C2446" t="s">
        <v>2500</v>
      </c>
    </row>
    <row r="2447" spans="2:4" x14ac:dyDescent="0.25">
      <c r="C2447" t="s">
        <v>1721</v>
      </c>
    </row>
    <row r="2448" spans="2:4" x14ac:dyDescent="0.25">
      <c r="C2448" t="s">
        <v>832</v>
      </c>
    </row>
    <row r="2449" spans="2:4" x14ac:dyDescent="0.25">
      <c r="C2449" t="s">
        <v>2501</v>
      </c>
    </row>
    <row r="2450" spans="2:4" x14ac:dyDescent="0.25">
      <c r="C2450" t="s">
        <v>833</v>
      </c>
    </row>
    <row r="2451" spans="2:4" x14ac:dyDescent="0.25">
      <c r="C2451" t="s">
        <v>2502</v>
      </c>
    </row>
    <row r="2452" spans="2:4" x14ac:dyDescent="0.25">
      <c r="C2452" t="s">
        <v>2503</v>
      </c>
    </row>
    <row r="2453" spans="2:4" x14ac:dyDescent="0.25">
      <c r="C2453" t="s">
        <v>835</v>
      </c>
    </row>
    <row r="2454" spans="2:4" x14ac:dyDescent="0.25">
      <c r="C2454" t="s">
        <v>823</v>
      </c>
    </row>
    <row r="2455" spans="2:4" x14ac:dyDescent="0.25">
      <c r="C2455" t="s">
        <v>558</v>
      </c>
    </row>
    <row r="2456" spans="2:4" x14ac:dyDescent="0.25">
      <c r="D2456" t="s">
        <v>2329</v>
      </c>
    </row>
    <row r="2457" spans="2:4" x14ac:dyDescent="0.25">
      <c r="D2457" t="s">
        <v>2071</v>
      </c>
    </row>
    <row r="2458" spans="2:4" x14ac:dyDescent="0.25">
      <c r="D2458" t="s">
        <v>2075</v>
      </c>
    </row>
    <row r="2459" spans="2:4" x14ac:dyDescent="0.25">
      <c r="C2459" t="s">
        <v>559</v>
      </c>
    </row>
    <row r="2460" spans="2:4" x14ac:dyDescent="0.25">
      <c r="B2460" t="s">
        <v>559</v>
      </c>
    </row>
    <row r="2461" spans="2:4" x14ac:dyDescent="0.25">
      <c r="B2461" t="s">
        <v>830</v>
      </c>
    </row>
    <row r="2462" spans="2:4" x14ac:dyDescent="0.25">
      <c r="B2462" t="s">
        <v>558</v>
      </c>
    </row>
    <row r="2463" spans="2:4" x14ac:dyDescent="0.25">
      <c r="C2463" t="s">
        <v>2504</v>
      </c>
    </row>
    <row r="2464" spans="2:4" x14ac:dyDescent="0.25">
      <c r="C2464" t="s">
        <v>2505</v>
      </c>
    </row>
    <row r="2465" spans="2:4" x14ac:dyDescent="0.25">
      <c r="C2465" t="s">
        <v>2506</v>
      </c>
    </row>
    <row r="2466" spans="2:4" x14ac:dyDescent="0.25">
      <c r="C2466" t="s">
        <v>1908</v>
      </c>
    </row>
    <row r="2467" spans="2:4" x14ac:dyDescent="0.25">
      <c r="C2467" t="s">
        <v>832</v>
      </c>
    </row>
    <row r="2468" spans="2:4" x14ac:dyDescent="0.25">
      <c r="C2468" t="s">
        <v>2507</v>
      </c>
    </row>
    <row r="2469" spans="2:4" x14ac:dyDescent="0.25">
      <c r="C2469" t="s">
        <v>833</v>
      </c>
    </row>
    <row r="2470" spans="2:4" x14ac:dyDescent="0.25">
      <c r="C2470" t="s">
        <v>2508</v>
      </c>
    </row>
    <row r="2471" spans="2:4" x14ac:dyDescent="0.25">
      <c r="C2471" t="s">
        <v>2509</v>
      </c>
    </row>
    <row r="2472" spans="2:4" x14ac:dyDescent="0.25">
      <c r="C2472" t="s">
        <v>835</v>
      </c>
    </row>
    <row r="2473" spans="2:4" x14ac:dyDescent="0.25">
      <c r="C2473" t="s">
        <v>823</v>
      </c>
    </row>
    <row r="2474" spans="2:4" x14ac:dyDescent="0.25">
      <c r="C2474" t="s">
        <v>558</v>
      </c>
    </row>
    <row r="2475" spans="2:4" x14ac:dyDescent="0.25">
      <c r="D2475" t="s">
        <v>2330</v>
      </c>
    </row>
    <row r="2476" spans="2:4" x14ac:dyDescent="0.25">
      <c r="D2476" t="s">
        <v>2071</v>
      </c>
    </row>
    <row r="2477" spans="2:4" x14ac:dyDescent="0.25">
      <c r="D2477" t="s">
        <v>2075</v>
      </c>
    </row>
    <row r="2478" spans="2:4" x14ac:dyDescent="0.25">
      <c r="C2478" t="s">
        <v>559</v>
      </c>
    </row>
    <row r="2479" spans="2:4" x14ac:dyDescent="0.25">
      <c r="B2479" t="s">
        <v>559</v>
      </c>
    </row>
    <row r="2480" spans="2:4" x14ac:dyDescent="0.25">
      <c r="B2480" t="s">
        <v>830</v>
      </c>
    </row>
    <row r="2481" spans="2:4" x14ac:dyDescent="0.25">
      <c r="B2481" t="s">
        <v>558</v>
      </c>
    </row>
    <row r="2482" spans="2:4" x14ac:dyDescent="0.25">
      <c r="C2482" t="s">
        <v>1901</v>
      </c>
    </row>
    <row r="2483" spans="2:4" x14ac:dyDescent="0.25">
      <c r="C2483" t="s">
        <v>1902</v>
      </c>
    </row>
    <row r="2484" spans="2:4" x14ac:dyDescent="0.25">
      <c r="C2484" t="s">
        <v>1903</v>
      </c>
    </row>
    <row r="2485" spans="2:4" x14ac:dyDescent="0.25">
      <c r="C2485" t="s">
        <v>1825</v>
      </c>
    </row>
    <row r="2486" spans="2:4" x14ac:dyDescent="0.25">
      <c r="C2486" t="s">
        <v>832</v>
      </c>
    </row>
    <row r="2487" spans="2:4" x14ac:dyDescent="0.25">
      <c r="C2487" t="s">
        <v>1904</v>
      </c>
    </row>
    <row r="2488" spans="2:4" x14ac:dyDescent="0.25">
      <c r="C2488" t="s">
        <v>833</v>
      </c>
    </row>
    <row r="2489" spans="2:4" x14ac:dyDescent="0.25">
      <c r="C2489" t="s">
        <v>1701</v>
      </c>
    </row>
    <row r="2490" spans="2:4" x14ac:dyDescent="0.25">
      <c r="C2490" t="s">
        <v>2167</v>
      </c>
    </row>
    <row r="2491" spans="2:4" x14ac:dyDescent="0.25">
      <c r="C2491" t="s">
        <v>835</v>
      </c>
    </row>
    <row r="2492" spans="2:4" x14ac:dyDescent="0.25">
      <c r="C2492" t="s">
        <v>823</v>
      </c>
    </row>
    <row r="2493" spans="2:4" x14ac:dyDescent="0.25">
      <c r="C2493" t="s">
        <v>558</v>
      </c>
    </row>
    <row r="2494" spans="2:4" x14ac:dyDescent="0.25">
      <c r="D2494" t="s">
        <v>2338</v>
      </c>
    </row>
    <row r="2495" spans="2:4" x14ac:dyDescent="0.25">
      <c r="D2495" t="s">
        <v>2071</v>
      </c>
    </row>
    <row r="2496" spans="2:4" x14ac:dyDescent="0.25">
      <c r="D2496" t="s">
        <v>2075</v>
      </c>
    </row>
    <row r="2497" spans="2:3" x14ac:dyDescent="0.25">
      <c r="C2497" t="s">
        <v>559</v>
      </c>
    </row>
    <row r="2498" spans="2:3" x14ac:dyDescent="0.25">
      <c r="B2498" t="s">
        <v>559</v>
      </c>
    </row>
    <row r="2499" spans="2:3" x14ac:dyDescent="0.25">
      <c r="B2499" t="s">
        <v>830</v>
      </c>
    </row>
    <row r="2500" spans="2:3" x14ac:dyDescent="0.25">
      <c r="B2500" t="s">
        <v>558</v>
      </c>
    </row>
    <row r="2501" spans="2:3" x14ac:dyDescent="0.25">
      <c r="C2501" t="s">
        <v>2510</v>
      </c>
    </row>
    <row r="2502" spans="2:3" x14ac:dyDescent="0.25">
      <c r="C2502" t="s">
        <v>2810</v>
      </c>
    </row>
    <row r="2503" spans="2:3" x14ac:dyDescent="0.25">
      <c r="C2503" t="s">
        <v>2511</v>
      </c>
    </row>
    <row r="2504" spans="2:3" x14ac:dyDescent="0.25">
      <c r="C2504" t="s">
        <v>1753</v>
      </c>
    </row>
    <row r="2505" spans="2:3" x14ac:dyDescent="0.25">
      <c r="C2505" t="s">
        <v>832</v>
      </c>
    </row>
    <row r="2506" spans="2:3" x14ac:dyDescent="0.25">
      <c r="C2506" t="s">
        <v>2512</v>
      </c>
    </row>
    <row r="2507" spans="2:3" x14ac:dyDescent="0.25">
      <c r="C2507" t="s">
        <v>833</v>
      </c>
    </row>
    <row r="2508" spans="2:3" x14ac:dyDescent="0.25">
      <c r="C2508" t="s">
        <v>2513</v>
      </c>
    </row>
    <row r="2509" spans="2:3" x14ac:dyDescent="0.25">
      <c r="C2509" t="s">
        <v>2514</v>
      </c>
    </row>
    <row r="2510" spans="2:3" x14ac:dyDescent="0.25">
      <c r="C2510" t="s">
        <v>835</v>
      </c>
    </row>
    <row r="2511" spans="2:3" x14ac:dyDescent="0.25">
      <c r="C2511" t="s">
        <v>823</v>
      </c>
    </row>
    <row r="2512" spans="2:3" x14ac:dyDescent="0.25">
      <c r="C2512" t="s">
        <v>558</v>
      </c>
    </row>
    <row r="2513" spans="2:4" x14ac:dyDescent="0.25">
      <c r="D2513" t="s">
        <v>2331</v>
      </c>
    </row>
    <row r="2514" spans="2:4" x14ac:dyDescent="0.25">
      <c r="D2514" t="s">
        <v>2071</v>
      </c>
    </row>
    <row r="2515" spans="2:4" x14ac:dyDescent="0.25">
      <c r="D2515" t="s">
        <v>2075</v>
      </c>
    </row>
    <row r="2516" spans="2:4" x14ac:dyDescent="0.25">
      <c r="C2516" t="s">
        <v>559</v>
      </c>
    </row>
    <row r="2517" spans="2:4" x14ac:dyDescent="0.25">
      <c r="B2517" t="s">
        <v>559</v>
      </c>
    </row>
    <row r="2518" spans="2:4" x14ac:dyDescent="0.25">
      <c r="B2518" t="s">
        <v>830</v>
      </c>
    </row>
    <row r="2519" spans="2:4" x14ac:dyDescent="0.25">
      <c r="B2519" t="s">
        <v>558</v>
      </c>
    </row>
    <row r="2520" spans="2:4" x14ac:dyDescent="0.25">
      <c r="C2520" t="s">
        <v>2515</v>
      </c>
    </row>
    <row r="2521" spans="2:4" x14ac:dyDescent="0.25">
      <c r="C2521" t="s">
        <v>2803</v>
      </c>
    </row>
    <row r="2522" spans="2:4" x14ac:dyDescent="0.25">
      <c r="C2522" t="s">
        <v>2516</v>
      </c>
    </row>
    <row r="2523" spans="2:4" x14ac:dyDescent="0.25">
      <c r="C2523" t="s">
        <v>2394</v>
      </c>
    </row>
    <row r="2524" spans="2:4" x14ac:dyDescent="0.25">
      <c r="C2524" t="s">
        <v>832</v>
      </c>
    </row>
    <row r="2525" spans="2:4" x14ac:dyDescent="0.25">
      <c r="C2525" t="s">
        <v>2517</v>
      </c>
    </row>
    <row r="2526" spans="2:4" x14ac:dyDescent="0.25">
      <c r="C2526" t="s">
        <v>833</v>
      </c>
    </row>
    <row r="2527" spans="2:4" x14ac:dyDescent="0.25">
      <c r="C2527" t="s">
        <v>2518</v>
      </c>
    </row>
    <row r="2528" spans="2:4" x14ac:dyDescent="0.25">
      <c r="C2528" t="s">
        <v>2519</v>
      </c>
    </row>
    <row r="2529" spans="2:4" x14ac:dyDescent="0.25">
      <c r="C2529" t="s">
        <v>835</v>
      </c>
    </row>
    <row r="2530" spans="2:4" x14ac:dyDescent="0.25">
      <c r="C2530" t="s">
        <v>823</v>
      </c>
    </row>
    <row r="2531" spans="2:4" x14ac:dyDescent="0.25">
      <c r="C2531" t="s">
        <v>558</v>
      </c>
    </row>
    <row r="2532" spans="2:4" x14ac:dyDescent="0.25">
      <c r="D2532" t="s">
        <v>2332</v>
      </c>
    </row>
    <row r="2533" spans="2:4" x14ac:dyDescent="0.25">
      <c r="D2533" t="s">
        <v>2071</v>
      </c>
    </row>
    <row r="2534" spans="2:4" x14ac:dyDescent="0.25">
      <c r="D2534" t="s">
        <v>2075</v>
      </c>
    </row>
    <row r="2535" spans="2:4" x14ac:dyDescent="0.25">
      <c r="C2535" t="s">
        <v>559</v>
      </c>
    </row>
    <row r="2536" spans="2:4" x14ac:dyDescent="0.25">
      <c r="B2536" t="s">
        <v>559</v>
      </c>
    </row>
    <row r="2537" spans="2:4" x14ac:dyDescent="0.25">
      <c r="B2537" t="s">
        <v>830</v>
      </c>
    </row>
    <row r="2538" spans="2:4" x14ac:dyDescent="0.25">
      <c r="B2538" t="s">
        <v>558</v>
      </c>
    </row>
    <row r="2539" spans="2:4" x14ac:dyDescent="0.25">
      <c r="C2539" t="s">
        <v>2520</v>
      </c>
    </row>
    <row r="2540" spans="2:4" x14ac:dyDescent="0.25">
      <c r="C2540" t="s">
        <v>2521</v>
      </c>
    </row>
    <row r="2541" spans="2:4" x14ac:dyDescent="0.25">
      <c r="C2541" t="s">
        <v>2522</v>
      </c>
    </row>
    <row r="2542" spans="2:4" x14ac:dyDescent="0.25">
      <c r="C2542" t="s">
        <v>2406</v>
      </c>
    </row>
    <row r="2543" spans="2:4" x14ac:dyDescent="0.25">
      <c r="C2543" t="s">
        <v>832</v>
      </c>
    </row>
    <row r="2544" spans="2:4" x14ac:dyDescent="0.25">
      <c r="C2544" t="s">
        <v>2523</v>
      </c>
    </row>
    <row r="2545" spans="2:4" x14ac:dyDescent="0.25">
      <c r="C2545" t="s">
        <v>833</v>
      </c>
    </row>
    <row r="2546" spans="2:4" x14ac:dyDescent="0.25">
      <c r="C2546" t="s">
        <v>2524</v>
      </c>
    </row>
    <row r="2547" spans="2:4" x14ac:dyDescent="0.25">
      <c r="C2547" t="s">
        <v>2525</v>
      </c>
    </row>
    <row r="2548" spans="2:4" x14ac:dyDescent="0.25">
      <c r="C2548" t="s">
        <v>835</v>
      </c>
    </row>
    <row r="2549" spans="2:4" x14ac:dyDescent="0.25">
      <c r="C2549" t="s">
        <v>823</v>
      </c>
    </row>
    <row r="2550" spans="2:4" x14ac:dyDescent="0.25">
      <c r="C2550" t="s">
        <v>558</v>
      </c>
    </row>
    <row r="2551" spans="2:4" x14ac:dyDescent="0.25">
      <c r="D2551" t="s">
        <v>2333</v>
      </c>
    </row>
    <row r="2552" spans="2:4" x14ac:dyDescent="0.25">
      <c r="D2552" t="s">
        <v>2071</v>
      </c>
    </row>
    <row r="2553" spans="2:4" x14ac:dyDescent="0.25">
      <c r="D2553" t="s">
        <v>2075</v>
      </c>
    </row>
    <row r="2554" spans="2:4" x14ac:dyDescent="0.25">
      <c r="C2554" t="s">
        <v>559</v>
      </c>
    </row>
    <row r="2555" spans="2:4" x14ac:dyDescent="0.25">
      <c r="B2555" t="s">
        <v>559</v>
      </c>
    </row>
    <row r="2556" spans="2:4" x14ac:dyDescent="0.25">
      <c r="B2556" t="s">
        <v>830</v>
      </c>
    </row>
    <row r="2557" spans="2:4" x14ac:dyDescent="0.25">
      <c r="B2557" t="s">
        <v>558</v>
      </c>
    </row>
    <row r="2558" spans="2:4" x14ac:dyDescent="0.25">
      <c r="C2558" t="s">
        <v>2526</v>
      </c>
    </row>
    <row r="2559" spans="2:4" x14ac:dyDescent="0.25">
      <c r="C2559" t="s">
        <v>2828</v>
      </c>
    </row>
    <row r="2560" spans="2:4" x14ac:dyDescent="0.25">
      <c r="C2560" t="s">
        <v>2527</v>
      </c>
    </row>
    <row r="2561" spans="2:4" x14ac:dyDescent="0.25">
      <c r="C2561" t="s">
        <v>1940</v>
      </c>
    </row>
    <row r="2562" spans="2:4" x14ac:dyDescent="0.25">
      <c r="C2562" t="s">
        <v>832</v>
      </c>
    </row>
    <row r="2563" spans="2:4" x14ac:dyDescent="0.25">
      <c r="C2563" t="s">
        <v>2528</v>
      </c>
    </row>
    <row r="2564" spans="2:4" x14ac:dyDescent="0.25">
      <c r="C2564" t="s">
        <v>833</v>
      </c>
    </row>
    <row r="2565" spans="2:4" x14ac:dyDescent="0.25">
      <c r="C2565" t="s">
        <v>2529</v>
      </c>
    </row>
    <row r="2566" spans="2:4" x14ac:dyDescent="0.25">
      <c r="C2566" t="s">
        <v>2530</v>
      </c>
    </row>
    <row r="2567" spans="2:4" x14ac:dyDescent="0.25">
      <c r="C2567" t="s">
        <v>835</v>
      </c>
    </row>
    <row r="2568" spans="2:4" x14ac:dyDescent="0.25">
      <c r="C2568" t="s">
        <v>823</v>
      </c>
    </row>
    <row r="2569" spans="2:4" x14ac:dyDescent="0.25">
      <c r="C2569" t="s">
        <v>558</v>
      </c>
    </row>
    <row r="2570" spans="2:4" x14ac:dyDescent="0.25">
      <c r="D2570" t="s">
        <v>2334</v>
      </c>
    </row>
    <row r="2571" spans="2:4" x14ac:dyDescent="0.25">
      <c r="D2571" t="s">
        <v>2073</v>
      </c>
    </row>
    <row r="2572" spans="2:4" x14ac:dyDescent="0.25">
      <c r="D2572" t="s">
        <v>2072</v>
      </c>
    </row>
    <row r="2573" spans="2:4" x14ac:dyDescent="0.25">
      <c r="C2573" t="s">
        <v>559</v>
      </c>
    </row>
    <row r="2574" spans="2:4" x14ac:dyDescent="0.25">
      <c r="B2574" t="s">
        <v>559</v>
      </c>
    </row>
    <row r="2575" spans="2:4" x14ac:dyDescent="0.25">
      <c r="B2575" t="s">
        <v>830</v>
      </c>
    </row>
    <row r="2576" spans="2:4" x14ac:dyDescent="0.25">
      <c r="B2576" t="s">
        <v>558</v>
      </c>
    </row>
    <row r="2577" spans="3:4" x14ac:dyDescent="0.25">
      <c r="C2577" t="s">
        <v>2531</v>
      </c>
    </row>
    <row r="2578" spans="3:4" x14ac:dyDescent="0.25">
      <c r="C2578" t="s">
        <v>2829</v>
      </c>
    </row>
    <row r="2579" spans="3:4" x14ac:dyDescent="0.25">
      <c r="C2579" t="s">
        <v>2532</v>
      </c>
    </row>
    <row r="2580" spans="3:4" x14ac:dyDescent="0.25">
      <c r="C2580" t="s">
        <v>2533</v>
      </c>
    </row>
    <row r="2581" spans="3:4" x14ac:dyDescent="0.25">
      <c r="C2581" t="s">
        <v>832</v>
      </c>
    </row>
    <row r="2582" spans="3:4" x14ac:dyDescent="0.25">
      <c r="C2582" t="s">
        <v>2534</v>
      </c>
    </row>
    <row r="2583" spans="3:4" x14ac:dyDescent="0.25">
      <c r="C2583" t="s">
        <v>833</v>
      </c>
    </row>
    <row r="2584" spans="3:4" x14ac:dyDescent="0.25">
      <c r="C2584" t="s">
        <v>2535</v>
      </c>
    </row>
    <row r="2585" spans="3:4" x14ac:dyDescent="0.25">
      <c r="C2585" t="s">
        <v>2536</v>
      </c>
    </row>
    <row r="2586" spans="3:4" x14ac:dyDescent="0.25">
      <c r="C2586" t="s">
        <v>835</v>
      </c>
    </row>
    <row r="2587" spans="3:4" x14ac:dyDescent="0.25">
      <c r="C2587" t="s">
        <v>823</v>
      </c>
    </row>
    <row r="2588" spans="3:4" x14ac:dyDescent="0.25">
      <c r="C2588" t="s">
        <v>558</v>
      </c>
    </row>
    <row r="2589" spans="3:4" x14ac:dyDescent="0.25">
      <c r="D2589" t="s">
        <v>2335</v>
      </c>
    </row>
    <row r="2590" spans="3:4" x14ac:dyDescent="0.25">
      <c r="D2590" t="s">
        <v>2073</v>
      </c>
    </row>
    <row r="2591" spans="3:4" x14ac:dyDescent="0.25">
      <c r="D2591" t="s">
        <v>2072</v>
      </c>
    </row>
    <row r="2592" spans="3:4" x14ac:dyDescent="0.25">
      <c r="C2592" t="s">
        <v>559</v>
      </c>
    </row>
    <row r="2593" spans="2:3" x14ac:dyDescent="0.25">
      <c r="B2593" t="s">
        <v>559</v>
      </c>
    </row>
    <row r="2594" spans="2:3" x14ac:dyDescent="0.25">
      <c r="B2594" t="s">
        <v>830</v>
      </c>
    </row>
    <row r="2595" spans="2:3" x14ac:dyDescent="0.25">
      <c r="B2595" t="s">
        <v>558</v>
      </c>
    </row>
    <row r="2596" spans="2:3" x14ac:dyDescent="0.25">
      <c r="C2596" t="s">
        <v>1772</v>
      </c>
    </row>
    <row r="2597" spans="2:3" x14ac:dyDescent="0.25">
      <c r="C2597" t="s">
        <v>1773</v>
      </c>
    </row>
    <row r="2598" spans="2:3" x14ac:dyDescent="0.25">
      <c r="C2598" t="s">
        <v>1774</v>
      </c>
    </row>
    <row r="2599" spans="2:3" x14ac:dyDescent="0.25">
      <c r="C2599" t="s">
        <v>1699</v>
      </c>
    </row>
    <row r="2600" spans="2:3" x14ac:dyDescent="0.25">
      <c r="C2600" t="s">
        <v>832</v>
      </c>
    </row>
    <row r="2601" spans="2:3" x14ac:dyDescent="0.25">
      <c r="C2601" t="s">
        <v>1775</v>
      </c>
    </row>
    <row r="2602" spans="2:3" x14ac:dyDescent="0.25">
      <c r="C2602" t="s">
        <v>833</v>
      </c>
    </row>
    <row r="2603" spans="2:3" x14ac:dyDescent="0.25">
      <c r="C2603" t="s">
        <v>1701</v>
      </c>
    </row>
    <row r="2604" spans="2:3" x14ac:dyDescent="0.25">
      <c r="C2604" t="s">
        <v>2158</v>
      </c>
    </row>
    <row r="2605" spans="2:3" x14ac:dyDescent="0.25">
      <c r="C2605" t="s">
        <v>835</v>
      </c>
    </row>
    <row r="2606" spans="2:3" x14ac:dyDescent="0.25">
      <c r="B2606" t="s">
        <v>559</v>
      </c>
    </row>
    <row r="2607" spans="2:3" x14ac:dyDescent="0.25">
      <c r="B2607" t="s">
        <v>830</v>
      </c>
    </row>
    <row r="2608" spans="2:3" x14ac:dyDescent="0.25">
      <c r="B2608" t="s">
        <v>558</v>
      </c>
    </row>
    <row r="2609" spans="2:3" x14ac:dyDescent="0.25">
      <c r="C2609" t="s">
        <v>2537</v>
      </c>
    </row>
    <row r="2610" spans="2:3" x14ac:dyDescent="0.25">
      <c r="C2610" t="s">
        <v>2799</v>
      </c>
    </row>
    <row r="2611" spans="2:3" x14ac:dyDescent="0.25">
      <c r="C2611" t="s">
        <v>2538</v>
      </c>
    </row>
    <row r="2612" spans="2:3" x14ac:dyDescent="0.25">
      <c r="C2612" t="s">
        <v>1711</v>
      </c>
    </row>
    <row r="2613" spans="2:3" x14ac:dyDescent="0.25">
      <c r="C2613" t="s">
        <v>832</v>
      </c>
    </row>
    <row r="2614" spans="2:3" x14ac:dyDescent="0.25">
      <c r="C2614" t="s">
        <v>2539</v>
      </c>
    </row>
    <row r="2615" spans="2:3" x14ac:dyDescent="0.25">
      <c r="C2615" t="s">
        <v>833</v>
      </c>
    </row>
    <row r="2616" spans="2:3" x14ac:dyDescent="0.25">
      <c r="C2616" t="s">
        <v>2540</v>
      </c>
    </row>
    <row r="2617" spans="2:3" x14ac:dyDescent="0.25">
      <c r="C2617" t="s">
        <v>2159</v>
      </c>
    </row>
    <row r="2618" spans="2:3" x14ac:dyDescent="0.25">
      <c r="C2618" t="s">
        <v>835</v>
      </c>
    </row>
    <row r="2619" spans="2:3" x14ac:dyDescent="0.25">
      <c r="B2619" t="s">
        <v>559</v>
      </c>
    </row>
    <row r="2620" spans="2:3" x14ac:dyDescent="0.25">
      <c r="B2620" t="s">
        <v>830</v>
      </c>
    </row>
    <row r="2621" spans="2:3" x14ac:dyDescent="0.25">
      <c r="B2621" t="s">
        <v>558</v>
      </c>
    </row>
    <row r="2622" spans="2:3" x14ac:dyDescent="0.25">
      <c r="C2622" t="s">
        <v>2541</v>
      </c>
    </row>
    <row r="2623" spans="2:3" x14ac:dyDescent="0.25">
      <c r="C2623" t="s">
        <v>2542</v>
      </c>
    </row>
    <row r="2624" spans="2:3" x14ac:dyDescent="0.25">
      <c r="C2624" t="s">
        <v>2543</v>
      </c>
    </row>
    <row r="2625" spans="2:3" x14ac:dyDescent="0.25">
      <c r="C2625" t="s">
        <v>2544</v>
      </c>
    </row>
    <row r="2626" spans="2:3" x14ac:dyDescent="0.25">
      <c r="C2626" t="s">
        <v>832</v>
      </c>
    </row>
    <row r="2627" spans="2:3" x14ac:dyDescent="0.25">
      <c r="C2627" t="s">
        <v>2545</v>
      </c>
    </row>
    <row r="2628" spans="2:3" x14ac:dyDescent="0.25">
      <c r="C2628" t="s">
        <v>833</v>
      </c>
    </row>
    <row r="2629" spans="2:3" x14ac:dyDescent="0.25">
      <c r="C2629" t="s">
        <v>2546</v>
      </c>
    </row>
    <row r="2630" spans="2:3" x14ac:dyDescent="0.25">
      <c r="C2630" t="s">
        <v>2547</v>
      </c>
    </row>
    <row r="2631" spans="2:3" x14ac:dyDescent="0.25">
      <c r="C2631" t="s">
        <v>835</v>
      </c>
    </row>
    <row r="2632" spans="2:3" x14ac:dyDescent="0.25">
      <c r="B2632" t="s">
        <v>559</v>
      </c>
    </row>
    <row r="2633" spans="2:3" x14ac:dyDescent="0.25">
      <c r="B2633" t="s">
        <v>830</v>
      </c>
    </row>
    <row r="2634" spans="2:3" x14ac:dyDescent="0.25">
      <c r="B2634" t="s">
        <v>558</v>
      </c>
    </row>
    <row r="2635" spans="2:3" x14ac:dyDescent="0.25">
      <c r="C2635" t="s">
        <v>839</v>
      </c>
    </row>
    <row r="2636" spans="2:3" x14ac:dyDescent="0.25">
      <c r="C2636" t="s">
        <v>1788</v>
      </c>
    </row>
    <row r="2637" spans="2:3" x14ac:dyDescent="0.25">
      <c r="C2637" t="s">
        <v>1789</v>
      </c>
    </row>
    <row r="2638" spans="2:3" x14ac:dyDescent="0.25">
      <c r="C2638" t="s">
        <v>837</v>
      </c>
    </row>
    <row r="2639" spans="2:3" x14ac:dyDescent="0.25">
      <c r="C2639" t="s">
        <v>832</v>
      </c>
    </row>
    <row r="2640" spans="2:3" x14ac:dyDescent="0.25">
      <c r="C2640" t="s">
        <v>841</v>
      </c>
    </row>
    <row r="2641" spans="2:3" x14ac:dyDescent="0.25">
      <c r="C2641" t="s">
        <v>833</v>
      </c>
    </row>
    <row r="2642" spans="2:3" x14ac:dyDescent="0.25">
      <c r="C2642" t="s">
        <v>1701</v>
      </c>
    </row>
    <row r="2643" spans="2:3" x14ac:dyDescent="0.25">
      <c r="C2643" t="s">
        <v>2169</v>
      </c>
    </row>
    <row r="2644" spans="2:3" x14ac:dyDescent="0.25">
      <c r="C2644" t="s">
        <v>835</v>
      </c>
    </row>
    <row r="2645" spans="2:3" x14ac:dyDescent="0.25">
      <c r="B2645" t="s">
        <v>559</v>
      </c>
    </row>
    <row r="2646" spans="2:3" x14ac:dyDescent="0.25">
      <c r="B2646" t="s">
        <v>830</v>
      </c>
    </row>
    <row r="2647" spans="2:3" x14ac:dyDescent="0.25">
      <c r="B2647" t="s">
        <v>558</v>
      </c>
    </row>
    <row r="2648" spans="2:3" x14ac:dyDescent="0.25">
      <c r="C2648" t="s">
        <v>2548</v>
      </c>
    </row>
    <row r="2649" spans="2:3" x14ac:dyDescent="0.25">
      <c r="C2649" t="s">
        <v>2812</v>
      </c>
    </row>
    <row r="2650" spans="2:3" x14ac:dyDescent="0.25">
      <c r="C2650" t="s">
        <v>2549</v>
      </c>
    </row>
    <row r="2651" spans="2:3" x14ac:dyDescent="0.25">
      <c r="C2651" t="s">
        <v>1825</v>
      </c>
    </row>
    <row r="2652" spans="2:3" x14ac:dyDescent="0.25">
      <c r="C2652" t="s">
        <v>832</v>
      </c>
    </row>
    <row r="2653" spans="2:3" x14ac:dyDescent="0.25">
      <c r="C2653" t="s">
        <v>2550</v>
      </c>
    </row>
    <row r="2654" spans="2:3" x14ac:dyDescent="0.25">
      <c r="C2654" t="s">
        <v>833</v>
      </c>
    </row>
    <row r="2655" spans="2:3" x14ac:dyDescent="0.25">
      <c r="C2655" t="s">
        <v>2551</v>
      </c>
    </row>
    <row r="2656" spans="2:3" x14ac:dyDescent="0.25">
      <c r="C2656" t="s">
        <v>2552</v>
      </c>
    </row>
    <row r="2657" spans="2:4" x14ac:dyDescent="0.25">
      <c r="C2657" t="s">
        <v>835</v>
      </c>
    </row>
    <row r="2658" spans="2:4" x14ac:dyDescent="0.25">
      <c r="C2658" t="s">
        <v>823</v>
      </c>
    </row>
    <row r="2659" spans="2:4" x14ac:dyDescent="0.25">
      <c r="C2659" t="s">
        <v>558</v>
      </c>
    </row>
    <row r="2660" spans="2:4" x14ac:dyDescent="0.25">
      <c r="D2660" t="s">
        <v>2338</v>
      </c>
    </row>
    <row r="2661" spans="2:4" x14ac:dyDescent="0.25">
      <c r="D2661" t="s">
        <v>2073</v>
      </c>
    </row>
    <row r="2662" spans="2:4" x14ac:dyDescent="0.25">
      <c r="D2662" t="s">
        <v>2072</v>
      </c>
    </row>
    <row r="2663" spans="2:4" x14ac:dyDescent="0.25">
      <c r="C2663" t="s">
        <v>559</v>
      </c>
    </row>
    <row r="2664" spans="2:4" x14ac:dyDescent="0.25">
      <c r="B2664" t="s">
        <v>559</v>
      </c>
    </row>
    <row r="2665" spans="2:4" x14ac:dyDescent="0.25">
      <c r="B2665" t="s">
        <v>830</v>
      </c>
    </row>
    <row r="2666" spans="2:4" x14ac:dyDescent="0.25">
      <c r="B2666" t="s">
        <v>558</v>
      </c>
    </row>
    <row r="2667" spans="2:4" x14ac:dyDescent="0.25">
      <c r="C2667" t="s">
        <v>2553</v>
      </c>
    </row>
    <row r="2668" spans="2:4" x14ac:dyDescent="0.25">
      <c r="C2668" t="s">
        <v>2813</v>
      </c>
    </row>
    <row r="2669" spans="2:4" x14ac:dyDescent="0.25">
      <c r="C2669" t="s">
        <v>2554</v>
      </c>
    </row>
    <row r="2670" spans="2:4" x14ac:dyDescent="0.25">
      <c r="C2670" t="s">
        <v>1753</v>
      </c>
    </row>
    <row r="2671" spans="2:4" x14ac:dyDescent="0.25">
      <c r="C2671" t="s">
        <v>832</v>
      </c>
    </row>
    <row r="2672" spans="2:4" x14ac:dyDescent="0.25">
      <c r="C2672" t="s">
        <v>2555</v>
      </c>
    </row>
    <row r="2673" spans="2:4" x14ac:dyDescent="0.25">
      <c r="C2673" t="s">
        <v>833</v>
      </c>
    </row>
    <row r="2674" spans="2:4" x14ac:dyDescent="0.25">
      <c r="C2674" t="s">
        <v>2556</v>
      </c>
    </row>
    <row r="2675" spans="2:4" x14ac:dyDescent="0.25">
      <c r="C2675" t="s">
        <v>2557</v>
      </c>
    </row>
    <row r="2676" spans="2:4" x14ac:dyDescent="0.25">
      <c r="C2676" t="s">
        <v>835</v>
      </c>
    </row>
    <row r="2677" spans="2:4" x14ac:dyDescent="0.25">
      <c r="C2677" t="s">
        <v>823</v>
      </c>
    </row>
    <row r="2678" spans="2:4" x14ac:dyDescent="0.25">
      <c r="C2678" t="s">
        <v>558</v>
      </c>
    </row>
    <row r="2679" spans="2:4" x14ac:dyDescent="0.25">
      <c r="D2679" t="s">
        <v>2339</v>
      </c>
    </row>
    <row r="2680" spans="2:4" x14ac:dyDescent="0.25">
      <c r="D2680" t="s">
        <v>2071</v>
      </c>
    </row>
    <row r="2681" spans="2:4" x14ac:dyDescent="0.25">
      <c r="D2681" t="s">
        <v>2075</v>
      </c>
    </row>
    <row r="2682" spans="2:4" x14ac:dyDescent="0.25">
      <c r="C2682" t="s">
        <v>559</v>
      </c>
    </row>
    <row r="2683" spans="2:4" x14ac:dyDescent="0.25">
      <c r="B2683" t="s">
        <v>559</v>
      </c>
    </row>
    <row r="2684" spans="2:4" x14ac:dyDescent="0.25">
      <c r="B2684" t="s">
        <v>830</v>
      </c>
    </row>
    <row r="2685" spans="2:4" x14ac:dyDescent="0.25">
      <c r="B2685" t="s">
        <v>558</v>
      </c>
    </row>
    <row r="2686" spans="2:4" x14ac:dyDescent="0.25">
      <c r="C2686" t="s">
        <v>2558</v>
      </c>
    </row>
    <row r="2687" spans="2:4" x14ac:dyDescent="0.25">
      <c r="C2687" t="s">
        <v>2559</v>
      </c>
    </row>
    <row r="2688" spans="2:4" x14ac:dyDescent="0.25">
      <c r="C2688" t="s">
        <v>2560</v>
      </c>
    </row>
    <row r="2689" spans="2:4" x14ac:dyDescent="0.25">
      <c r="C2689" t="s">
        <v>2394</v>
      </c>
    </row>
    <row r="2690" spans="2:4" x14ac:dyDescent="0.25">
      <c r="C2690" t="s">
        <v>832</v>
      </c>
    </row>
    <row r="2691" spans="2:4" x14ac:dyDescent="0.25">
      <c r="C2691" t="s">
        <v>2561</v>
      </c>
    </row>
    <row r="2692" spans="2:4" x14ac:dyDescent="0.25">
      <c r="C2692" t="s">
        <v>833</v>
      </c>
    </row>
    <row r="2693" spans="2:4" x14ac:dyDescent="0.25">
      <c r="C2693" t="s">
        <v>2562</v>
      </c>
    </row>
    <row r="2694" spans="2:4" x14ac:dyDescent="0.25">
      <c r="C2694" t="s">
        <v>2563</v>
      </c>
    </row>
    <row r="2695" spans="2:4" x14ac:dyDescent="0.25">
      <c r="C2695" t="s">
        <v>835</v>
      </c>
    </row>
    <row r="2696" spans="2:4" x14ac:dyDescent="0.25">
      <c r="C2696" t="s">
        <v>823</v>
      </c>
    </row>
    <row r="2697" spans="2:4" x14ac:dyDescent="0.25">
      <c r="C2697" t="s">
        <v>558</v>
      </c>
    </row>
    <row r="2698" spans="2:4" x14ac:dyDescent="0.25">
      <c r="D2698" t="s">
        <v>2340</v>
      </c>
    </row>
    <row r="2699" spans="2:4" x14ac:dyDescent="0.25">
      <c r="D2699" t="s">
        <v>2071</v>
      </c>
    </row>
    <row r="2700" spans="2:4" x14ac:dyDescent="0.25">
      <c r="D2700" t="s">
        <v>2075</v>
      </c>
    </row>
    <row r="2701" spans="2:4" x14ac:dyDescent="0.25">
      <c r="C2701" t="s">
        <v>559</v>
      </c>
    </row>
    <row r="2702" spans="2:4" x14ac:dyDescent="0.25">
      <c r="B2702" t="s">
        <v>559</v>
      </c>
    </row>
    <row r="2703" spans="2:4" x14ac:dyDescent="0.25">
      <c r="B2703" t="s">
        <v>830</v>
      </c>
    </row>
    <row r="2704" spans="2:4" x14ac:dyDescent="0.25">
      <c r="B2704" t="s">
        <v>558</v>
      </c>
    </row>
    <row r="2705" spans="3:4" x14ac:dyDescent="0.25">
      <c r="C2705" t="s">
        <v>2564</v>
      </c>
    </row>
    <row r="2706" spans="3:4" x14ac:dyDescent="0.25">
      <c r="C2706" t="s">
        <v>2565</v>
      </c>
    </row>
    <row r="2707" spans="3:4" x14ac:dyDescent="0.25">
      <c r="C2707" t="s">
        <v>2566</v>
      </c>
    </row>
    <row r="2708" spans="3:4" x14ac:dyDescent="0.25">
      <c r="C2708" t="s">
        <v>1770</v>
      </c>
    </row>
    <row r="2709" spans="3:4" x14ac:dyDescent="0.25">
      <c r="C2709" t="s">
        <v>832</v>
      </c>
    </row>
    <row r="2710" spans="3:4" x14ac:dyDescent="0.25">
      <c r="C2710" t="s">
        <v>2567</v>
      </c>
    </row>
    <row r="2711" spans="3:4" x14ac:dyDescent="0.25">
      <c r="C2711" t="s">
        <v>833</v>
      </c>
    </row>
    <row r="2712" spans="3:4" x14ac:dyDescent="0.25">
      <c r="C2712" t="s">
        <v>2568</v>
      </c>
    </row>
    <row r="2713" spans="3:4" x14ac:dyDescent="0.25">
      <c r="C2713" t="s">
        <v>2569</v>
      </c>
    </row>
    <row r="2714" spans="3:4" x14ac:dyDescent="0.25">
      <c r="C2714" t="s">
        <v>835</v>
      </c>
    </row>
    <row r="2715" spans="3:4" x14ac:dyDescent="0.25">
      <c r="C2715" t="s">
        <v>823</v>
      </c>
    </row>
    <row r="2716" spans="3:4" x14ac:dyDescent="0.25">
      <c r="C2716" t="s">
        <v>558</v>
      </c>
    </row>
    <row r="2717" spans="3:4" x14ac:dyDescent="0.25">
      <c r="D2717" t="s">
        <v>2341</v>
      </c>
    </row>
    <row r="2718" spans="3:4" x14ac:dyDescent="0.25">
      <c r="D2718" t="s">
        <v>2071</v>
      </c>
    </row>
    <row r="2719" spans="3:4" x14ac:dyDescent="0.25">
      <c r="D2719" t="s">
        <v>2075</v>
      </c>
    </row>
    <row r="2720" spans="3:4" x14ac:dyDescent="0.25">
      <c r="C2720" t="s">
        <v>559</v>
      </c>
    </row>
    <row r="2721" spans="2:4" x14ac:dyDescent="0.25">
      <c r="B2721" t="s">
        <v>559</v>
      </c>
    </row>
    <row r="2722" spans="2:4" x14ac:dyDescent="0.25">
      <c r="B2722" t="s">
        <v>830</v>
      </c>
    </row>
    <row r="2723" spans="2:4" x14ac:dyDescent="0.25">
      <c r="B2723" t="s">
        <v>558</v>
      </c>
    </row>
    <row r="2724" spans="2:4" x14ac:dyDescent="0.25">
      <c r="C2724" t="s">
        <v>2570</v>
      </c>
    </row>
    <row r="2725" spans="2:4" x14ac:dyDescent="0.25">
      <c r="C2725" t="s">
        <v>2571</v>
      </c>
    </row>
    <row r="2726" spans="2:4" x14ac:dyDescent="0.25">
      <c r="C2726" t="s">
        <v>2572</v>
      </c>
    </row>
    <row r="2727" spans="2:4" x14ac:dyDescent="0.25">
      <c r="C2727" t="s">
        <v>2533</v>
      </c>
    </row>
    <row r="2728" spans="2:4" x14ac:dyDescent="0.25">
      <c r="C2728" t="s">
        <v>832</v>
      </c>
    </row>
    <row r="2729" spans="2:4" x14ac:dyDescent="0.25">
      <c r="C2729" t="s">
        <v>2573</v>
      </c>
    </row>
    <row r="2730" spans="2:4" x14ac:dyDescent="0.25">
      <c r="C2730" t="s">
        <v>833</v>
      </c>
    </row>
    <row r="2731" spans="2:4" x14ac:dyDescent="0.25">
      <c r="C2731" t="s">
        <v>2568</v>
      </c>
    </row>
    <row r="2732" spans="2:4" x14ac:dyDescent="0.25">
      <c r="C2732" t="s">
        <v>2574</v>
      </c>
    </row>
    <row r="2733" spans="2:4" x14ac:dyDescent="0.25">
      <c r="C2733" t="s">
        <v>835</v>
      </c>
    </row>
    <row r="2734" spans="2:4" x14ac:dyDescent="0.25">
      <c r="C2734" t="s">
        <v>823</v>
      </c>
    </row>
    <row r="2735" spans="2:4" x14ac:dyDescent="0.25">
      <c r="C2735" t="s">
        <v>558</v>
      </c>
    </row>
    <row r="2736" spans="2:4" x14ac:dyDescent="0.25">
      <c r="D2736" t="s">
        <v>2334</v>
      </c>
    </row>
    <row r="2737" spans="2:4" x14ac:dyDescent="0.25">
      <c r="D2737" t="s">
        <v>2071</v>
      </c>
    </row>
    <row r="2738" spans="2:4" x14ac:dyDescent="0.25">
      <c r="D2738" t="s">
        <v>2075</v>
      </c>
    </row>
    <row r="2739" spans="2:4" x14ac:dyDescent="0.25">
      <c r="C2739" t="s">
        <v>559</v>
      </c>
    </row>
    <row r="2740" spans="2:4" x14ac:dyDescent="0.25">
      <c r="B2740" t="s">
        <v>559</v>
      </c>
    </row>
    <row r="2741" spans="2:4" x14ac:dyDescent="0.25">
      <c r="B2741" t="s">
        <v>830</v>
      </c>
    </row>
    <row r="2742" spans="2:4" x14ac:dyDescent="0.25">
      <c r="B2742" t="s">
        <v>558</v>
      </c>
    </row>
    <row r="2743" spans="2:4" x14ac:dyDescent="0.25">
      <c r="C2743" t="s">
        <v>2575</v>
      </c>
    </row>
    <row r="2744" spans="2:4" x14ac:dyDescent="0.25">
      <c r="C2744" t="s">
        <v>2830</v>
      </c>
    </row>
    <row r="2745" spans="2:4" x14ac:dyDescent="0.25">
      <c r="C2745" t="s">
        <v>2576</v>
      </c>
    </row>
    <row r="2746" spans="2:4" x14ac:dyDescent="0.25">
      <c r="C2746" t="s">
        <v>1699</v>
      </c>
    </row>
    <row r="2747" spans="2:4" x14ac:dyDescent="0.25">
      <c r="C2747" t="s">
        <v>832</v>
      </c>
    </row>
    <row r="2748" spans="2:4" x14ac:dyDescent="0.25">
      <c r="C2748" t="s">
        <v>2577</v>
      </c>
    </row>
    <row r="2749" spans="2:4" x14ac:dyDescent="0.25">
      <c r="C2749" t="s">
        <v>833</v>
      </c>
    </row>
    <row r="2750" spans="2:4" x14ac:dyDescent="0.25">
      <c r="C2750" t="s">
        <v>2578</v>
      </c>
    </row>
    <row r="2751" spans="2:4" x14ac:dyDescent="0.25">
      <c r="C2751" t="s">
        <v>2579</v>
      </c>
    </row>
    <row r="2752" spans="2:4" x14ac:dyDescent="0.25">
      <c r="C2752" t="s">
        <v>835</v>
      </c>
    </row>
    <row r="2753" spans="2:3" x14ac:dyDescent="0.25">
      <c r="B2753" t="s">
        <v>559</v>
      </c>
    </row>
    <row r="2754" spans="2:3" x14ac:dyDescent="0.25">
      <c r="B2754" t="s">
        <v>830</v>
      </c>
    </row>
    <row r="2755" spans="2:3" x14ac:dyDescent="0.25">
      <c r="B2755" t="s">
        <v>558</v>
      </c>
    </row>
    <row r="2756" spans="2:3" x14ac:dyDescent="0.25">
      <c r="C2756" t="s">
        <v>2580</v>
      </c>
    </row>
    <row r="2757" spans="2:3" x14ac:dyDescent="0.25">
      <c r="C2757" t="s">
        <v>2816</v>
      </c>
    </row>
    <row r="2758" spans="2:3" x14ac:dyDescent="0.25">
      <c r="C2758" t="s">
        <v>2581</v>
      </c>
    </row>
    <row r="2759" spans="2:3" x14ac:dyDescent="0.25">
      <c r="C2759" t="s">
        <v>1706</v>
      </c>
    </row>
    <row r="2760" spans="2:3" x14ac:dyDescent="0.25">
      <c r="C2760" t="s">
        <v>832</v>
      </c>
    </row>
    <row r="2761" spans="2:3" x14ac:dyDescent="0.25">
      <c r="C2761" t="s">
        <v>2582</v>
      </c>
    </row>
    <row r="2762" spans="2:3" x14ac:dyDescent="0.25">
      <c r="C2762" t="s">
        <v>833</v>
      </c>
    </row>
    <row r="2763" spans="2:3" x14ac:dyDescent="0.25">
      <c r="C2763" t="s">
        <v>2583</v>
      </c>
    </row>
    <row r="2764" spans="2:3" x14ac:dyDescent="0.25">
      <c r="C2764" t="s">
        <v>2584</v>
      </c>
    </row>
    <row r="2765" spans="2:3" x14ac:dyDescent="0.25">
      <c r="C2765" t="s">
        <v>835</v>
      </c>
    </row>
    <row r="2766" spans="2:3" x14ac:dyDescent="0.25">
      <c r="B2766" t="s">
        <v>559</v>
      </c>
    </row>
    <row r="2767" spans="2:3" x14ac:dyDescent="0.25">
      <c r="B2767" t="s">
        <v>830</v>
      </c>
    </row>
    <row r="2768" spans="2:3" x14ac:dyDescent="0.25">
      <c r="B2768" t="s">
        <v>558</v>
      </c>
    </row>
    <row r="2769" spans="2:3" x14ac:dyDescent="0.25">
      <c r="C2769" t="s">
        <v>2585</v>
      </c>
    </row>
    <row r="2770" spans="2:3" x14ac:dyDescent="0.25">
      <c r="C2770" t="s">
        <v>2831</v>
      </c>
    </row>
    <row r="2771" spans="2:3" x14ac:dyDescent="0.25">
      <c r="C2771" t="s">
        <v>2586</v>
      </c>
    </row>
    <row r="2772" spans="2:3" x14ac:dyDescent="0.25">
      <c r="C2772" t="s">
        <v>1748</v>
      </c>
    </row>
    <row r="2773" spans="2:3" x14ac:dyDescent="0.25">
      <c r="C2773" t="s">
        <v>832</v>
      </c>
    </row>
    <row r="2774" spans="2:3" x14ac:dyDescent="0.25">
      <c r="C2774" t="s">
        <v>2587</v>
      </c>
    </row>
    <row r="2775" spans="2:3" x14ac:dyDescent="0.25">
      <c r="C2775" t="s">
        <v>833</v>
      </c>
    </row>
    <row r="2776" spans="2:3" x14ac:dyDescent="0.25">
      <c r="C2776" t="s">
        <v>2588</v>
      </c>
    </row>
    <row r="2777" spans="2:3" x14ac:dyDescent="0.25">
      <c r="C2777" t="s">
        <v>2589</v>
      </c>
    </row>
    <row r="2778" spans="2:3" x14ac:dyDescent="0.25">
      <c r="C2778" t="s">
        <v>835</v>
      </c>
    </row>
    <row r="2779" spans="2:3" x14ac:dyDescent="0.25">
      <c r="B2779" t="s">
        <v>559</v>
      </c>
    </row>
    <row r="2780" spans="2:3" x14ac:dyDescent="0.25">
      <c r="B2780" t="s">
        <v>830</v>
      </c>
    </row>
    <row r="2781" spans="2:3" x14ac:dyDescent="0.25">
      <c r="B2781" t="s">
        <v>558</v>
      </c>
    </row>
    <row r="2782" spans="2:3" x14ac:dyDescent="0.25">
      <c r="C2782" t="s">
        <v>2590</v>
      </c>
    </row>
    <row r="2783" spans="2:3" x14ac:dyDescent="0.25">
      <c r="C2783" t="s">
        <v>2815</v>
      </c>
    </row>
    <row r="2784" spans="2:3" x14ac:dyDescent="0.25">
      <c r="C2784" t="s">
        <v>2591</v>
      </c>
    </row>
    <row r="2785" spans="2:3" x14ac:dyDescent="0.25">
      <c r="C2785" t="s">
        <v>1753</v>
      </c>
    </row>
    <row r="2786" spans="2:3" x14ac:dyDescent="0.25">
      <c r="C2786" t="s">
        <v>832</v>
      </c>
    </row>
    <row r="2787" spans="2:3" x14ac:dyDescent="0.25">
      <c r="C2787" t="s">
        <v>2592</v>
      </c>
    </row>
    <row r="2788" spans="2:3" x14ac:dyDescent="0.25">
      <c r="C2788" t="s">
        <v>833</v>
      </c>
    </row>
    <row r="2789" spans="2:3" x14ac:dyDescent="0.25">
      <c r="C2789" t="s">
        <v>2593</v>
      </c>
    </row>
    <row r="2790" spans="2:3" x14ac:dyDescent="0.25">
      <c r="C2790" t="s">
        <v>2594</v>
      </c>
    </row>
    <row r="2791" spans="2:3" x14ac:dyDescent="0.25">
      <c r="C2791" t="s">
        <v>835</v>
      </c>
    </row>
    <row r="2792" spans="2:3" x14ac:dyDescent="0.25">
      <c r="B2792" t="s">
        <v>559</v>
      </c>
    </row>
    <row r="2793" spans="2:3" x14ac:dyDescent="0.25">
      <c r="B2793" t="s">
        <v>830</v>
      </c>
    </row>
    <row r="2794" spans="2:3" x14ac:dyDescent="0.25">
      <c r="B2794" t="s">
        <v>558</v>
      </c>
    </row>
    <row r="2795" spans="2:3" x14ac:dyDescent="0.25">
      <c r="C2795" t="s">
        <v>2595</v>
      </c>
    </row>
    <row r="2796" spans="2:3" x14ac:dyDescent="0.25">
      <c r="C2796" t="s">
        <v>2832</v>
      </c>
    </row>
    <row r="2797" spans="2:3" x14ac:dyDescent="0.25">
      <c r="C2797" t="s">
        <v>2596</v>
      </c>
    </row>
    <row r="2798" spans="2:3" x14ac:dyDescent="0.25">
      <c r="C2798" t="s">
        <v>2401</v>
      </c>
    </row>
    <row r="2799" spans="2:3" x14ac:dyDescent="0.25">
      <c r="C2799" t="s">
        <v>832</v>
      </c>
    </row>
    <row r="2800" spans="2:3" x14ac:dyDescent="0.25">
      <c r="C2800" t="s">
        <v>2597</v>
      </c>
    </row>
    <row r="2801" spans="2:3" x14ac:dyDescent="0.25">
      <c r="C2801" t="s">
        <v>833</v>
      </c>
    </row>
    <row r="2802" spans="2:3" x14ac:dyDescent="0.25">
      <c r="C2802" t="s">
        <v>2598</v>
      </c>
    </row>
    <row r="2803" spans="2:3" x14ac:dyDescent="0.25">
      <c r="C2803" t="s">
        <v>2599</v>
      </c>
    </row>
    <row r="2804" spans="2:3" x14ac:dyDescent="0.25">
      <c r="C2804" t="s">
        <v>835</v>
      </c>
    </row>
    <row r="2805" spans="2:3" x14ac:dyDescent="0.25">
      <c r="B2805" t="s">
        <v>559</v>
      </c>
    </row>
    <row r="2806" spans="2:3" x14ac:dyDescent="0.25">
      <c r="B2806" t="s">
        <v>830</v>
      </c>
    </row>
    <row r="2807" spans="2:3" x14ac:dyDescent="0.25">
      <c r="B2807" t="s">
        <v>558</v>
      </c>
    </row>
    <row r="2808" spans="2:3" x14ac:dyDescent="0.25">
      <c r="C2808" t="s">
        <v>2600</v>
      </c>
    </row>
    <row r="2809" spans="2:3" x14ac:dyDescent="0.25">
      <c r="C2809" t="s">
        <v>2601</v>
      </c>
    </row>
    <row r="2810" spans="2:3" x14ac:dyDescent="0.25">
      <c r="C2810" t="s">
        <v>2602</v>
      </c>
    </row>
    <row r="2811" spans="2:3" x14ac:dyDescent="0.25">
      <c r="C2811" t="s">
        <v>837</v>
      </c>
    </row>
    <row r="2812" spans="2:3" x14ac:dyDescent="0.25">
      <c r="C2812" t="s">
        <v>832</v>
      </c>
    </row>
    <row r="2813" spans="2:3" x14ac:dyDescent="0.25">
      <c r="C2813" t="s">
        <v>2603</v>
      </c>
    </row>
    <row r="2814" spans="2:3" x14ac:dyDescent="0.25">
      <c r="C2814" t="s">
        <v>833</v>
      </c>
    </row>
    <row r="2815" spans="2:3" x14ac:dyDescent="0.25">
      <c r="C2815" t="s">
        <v>2604</v>
      </c>
    </row>
    <row r="2816" spans="2:3" x14ac:dyDescent="0.25">
      <c r="C2816" t="s">
        <v>2605</v>
      </c>
    </row>
    <row r="2817" spans="2:3" x14ac:dyDescent="0.25">
      <c r="C2817" t="s">
        <v>835</v>
      </c>
    </row>
    <row r="2818" spans="2:3" x14ac:dyDescent="0.25">
      <c r="B2818" t="s">
        <v>559</v>
      </c>
    </row>
    <row r="2819" spans="2:3" x14ac:dyDescent="0.25">
      <c r="B2819" t="s">
        <v>830</v>
      </c>
    </row>
    <row r="2820" spans="2:3" x14ac:dyDescent="0.25">
      <c r="B2820" t="s">
        <v>558</v>
      </c>
    </row>
    <row r="2821" spans="2:3" x14ac:dyDescent="0.25">
      <c r="C2821" t="s">
        <v>2606</v>
      </c>
    </row>
    <row r="2822" spans="2:3" x14ac:dyDescent="0.25">
      <c r="C2822" t="s">
        <v>2833</v>
      </c>
    </row>
    <row r="2823" spans="2:3" x14ac:dyDescent="0.25">
      <c r="C2823" t="s">
        <v>2607</v>
      </c>
    </row>
    <row r="2824" spans="2:3" x14ac:dyDescent="0.25">
      <c r="C2824" t="s">
        <v>1706</v>
      </c>
    </row>
    <row r="2825" spans="2:3" x14ac:dyDescent="0.25">
      <c r="C2825" t="s">
        <v>832</v>
      </c>
    </row>
    <row r="2826" spans="2:3" x14ac:dyDescent="0.25">
      <c r="C2826" t="s">
        <v>2608</v>
      </c>
    </row>
    <row r="2827" spans="2:3" x14ac:dyDescent="0.25">
      <c r="C2827" t="s">
        <v>833</v>
      </c>
    </row>
    <row r="2828" spans="2:3" x14ac:dyDescent="0.25">
      <c r="C2828" t="s">
        <v>2609</v>
      </c>
    </row>
    <row r="2829" spans="2:3" x14ac:dyDescent="0.25">
      <c r="C2829" t="s">
        <v>2610</v>
      </c>
    </row>
    <row r="2830" spans="2:3" x14ac:dyDescent="0.25">
      <c r="C2830" t="s">
        <v>835</v>
      </c>
    </row>
    <row r="2831" spans="2:3" x14ac:dyDescent="0.25">
      <c r="B2831" t="s">
        <v>559</v>
      </c>
    </row>
    <row r="2832" spans="2:3" x14ac:dyDescent="0.25">
      <c r="B2832" t="s">
        <v>830</v>
      </c>
    </row>
    <row r="2833" spans="2:3" x14ac:dyDescent="0.25">
      <c r="B2833" t="s">
        <v>558</v>
      </c>
    </row>
    <row r="2834" spans="2:3" x14ac:dyDescent="0.25">
      <c r="C2834" t="s">
        <v>2611</v>
      </c>
    </row>
    <row r="2835" spans="2:3" x14ac:dyDescent="0.25">
      <c r="C2835" t="s">
        <v>2612</v>
      </c>
    </row>
    <row r="2836" spans="2:3" x14ac:dyDescent="0.25">
      <c r="C2836" t="s">
        <v>2613</v>
      </c>
    </row>
    <row r="2837" spans="2:3" x14ac:dyDescent="0.25">
      <c r="C2837" t="s">
        <v>1721</v>
      </c>
    </row>
    <row r="2838" spans="2:3" x14ac:dyDescent="0.25">
      <c r="C2838" t="s">
        <v>832</v>
      </c>
    </row>
    <row r="2839" spans="2:3" x14ac:dyDescent="0.25">
      <c r="C2839" t="s">
        <v>2614</v>
      </c>
    </row>
    <row r="2840" spans="2:3" x14ac:dyDescent="0.25">
      <c r="C2840" t="s">
        <v>833</v>
      </c>
    </row>
    <row r="2841" spans="2:3" x14ac:dyDescent="0.25">
      <c r="C2841" t="s">
        <v>2615</v>
      </c>
    </row>
    <row r="2842" spans="2:3" x14ac:dyDescent="0.25">
      <c r="C2842" t="s">
        <v>2616</v>
      </c>
    </row>
    <row r="2843" spans="2:3" x14ac:dyDescent="0.25">
      <c r="C2843" t="s">
        <v>835</v>
      </c>
    </row>
    <row r="2844" spans="2:3" x14ac:dyDescent="0.25">
      <c r="B2844" t="s">
        <v>559</v>
      </c>
    </row>
    <row r="2845" spans="2:3" x14ac:dyDescent="0.25">
      <c r="B2845" t="s">
        <v>830</v>
      </c>
    </row>
    <row r="2846" spans="2:3" x14ac:dyDescent="0.25">
      <c r="B2846" t="s">
        <v>558</v>
      </c>
    </row>
    <row r="2847" spans="2:3" x14ac:dyDescent="0.25">
      <c r="C2847" t="s">
        <v>2617</v>
      </c>
    </row>
    <row r="2848" spans="2:3" x14ac:dyDescent="0.25">
      <c r="C2848" t="s">
        <v>2793</v>
      </c>
    </row>
    <row r="2849" spans="2:3" x14ac:dyDescent="0.25">
      <c r="C2849" t="s">
        <v>2618</v>
      </c>
    </row>
    <row r="2850" spans="2:3" x14ac:dyDescent="0.25">
      <c r="C2850" t="s">
        <v>1908</v>
      </c>
    </row>
    <row r="2851" spans="2:3" x14ac:dyDescent="0.25">
      <c r="C2851" t="s">
        <v>832</v>
      </c>
    </row>
    <row r="2852" spans="2:3" x14ac:dyDescent="0.25">
      <c r="C2852" t="s">
        <v>2619</v>
      </c>
    </row>
    <row r="2853" spans="2:3" x14ac:dyDescent="0.25">
      <c r="C2853" t="s">
        <v>833</v>
      </c>
    </row>
    <row r="2854" spans="2:3" x14ac:dyDescent="0.25">
      <c r="C2854" t="s">
        <v>2620</v>
      </c>
    </row>
    <row r="2855" spans="2:3" x14ac:dyDescent="0.25">
      <c r="C2855" t="s">
        <v>2621</v>
      </c>
    </row>
    <row r="2856" spans="2:3" x14ac:dyDescent="0.25">
      <c r="C2856" t="s">
        <v>835</v>
      </c>
    </row>
    <row r="2857" spans="2:3" x14ac:dyDescent="0.25">
      <c r="B2857" t="s">
        <v>559</v>
      </c>
    </row>
    <row r="2858" spans="2:3" x14ac:dyDescent="0.25">
      <c r="B2858" t="s">
        <v>830</v>
      </c>
    </row>
    <row r="2859" spans="2:3" x14ac:dyDescent="0.25">
      <c r="B2859" t="s">
        <v>558</v>
      </c>
    </row>
    <row r="2860" spans="2:3" x14ac:dyDescent="0.25">
      <c r="C2860" t="s">
        <v>2032</v>
      </c>
    </row>
    <row r="2861" spans="2:3" x14ac:dyDescent="0.25">
      <c r="C2861" t="s">
        <v>2033</v>
      </c>
    </row>
    <row r="2862" spans="2:3" x14ac:dyDescent="0.25">
      <c r="C2862" t="s">
        <v>2034</v>
      </c>
    </row>
    <row r="2863" spans="2:3" x14ac:dyDescent="0.25">
      <c r="C2863" t="s">
        <v>1726</v>
      </c>
    </row>
    <row r="2864" spans="2:3" x14ac:dyDescent="0.25">
      <c r="C2864" t="s">
        <v>832</v>
      </c>
    </row>
    <row r="2865" spans="2:3" x14ac:dyDescent="0.25">
      <c r="C2865" t="s">
        <v>2035</v>
      </c>
    </row>
    <row r="2866" spans="2:3" x14ac:dyDescent="0.25">
      <c r="C2866" t="s">
        <v>833</v>
      </c>
    </row>
    <row r="2867" spans="2:3" x14ac:dyDescent="0.25">
      <c r="C2867" t="s">
        <v>1701</v>
      </c>
    </row>
    <row r="2868" spans="2:3" x14ac:dyDescent="0.25">
      <c r="C2868" t="s">
        <v>2348</v>
      </c>
    </row>
    <row r="2869" spans="2:3" x14ac:dyDescent="0.25">
      <c r="C2869" t="s">
        <v>835</v>
      </c>
    </row>
    <row r="2870" spans="2:3" x14ac:dyDescent="0.25">
      <c r="B2870" t="s">
        <v>559</v>
      </c>
    </row>
    <row r="2871" spans="2:3" x14ac:dyDescent="0.25">
      <c r="B2871" t="s">
        <v>830</v>
      </c>
    </row>
    <row r="2872" spans="2:3" x14ac:dyDescent="0.25">
      <c r="B2872" t="s">
        <v>558</v>
      </c>
    </row>
    <row r="2873" spans="2:3" x14ac:dyDescent="0.25">
      <c r="C2873" t="s">
        <v>1780</v>
      </c>
    </row>
    <row r="2874" spans="2:3" x14ac:dyDescent="0.25">
      <c r="C2874" t="s">
        <v>1781</v>
      </c>
    </row>
    <row r="2875" spans="2:3" x14ac:dyDescent="0.25">
      <c r="C2875" t="s">
        <v>1782</v>
      </c>
    </row>
    <row r="2876" spans="2:3" x14ac:dyDescent="0.25">
      <c r="C2876" t="s">
        <v>1711</v>
      </c>
    </row>
    <row r="2877" spans="2:3" x14ac:dyDescent="0.25">
      <c r="C2877" t="s">
        <v>832</v>
      </c>
    </row>
    <row r="2878" spans="2:3" x14ac:dyDescent="0.25">
      <c r="C2878" t="s">
        <v>1783</v>
      </c>
    </row>
    <row r="2879" spans="2:3" x14ac:dyDescent="0.25">
      <c r="C2879" t="s">
        <v>833</v>
      </c>
    </row>
    <row r="2880" spans="2:3" x14ac:dyDescent="0.25">
      <c r="C2880" t="s">
        <v>1701</v>
      </c>
    </row>
    <row r="2881" spans="2:3" x14ac:dyDescent="0.25">
      <c r="C2881" t="s">
        <v>2349</v>
      </c>
    </row>
    <row r="2882" spans="2:3" x14ac:dyDescent="0.25">
      <c r="C2882" t="s">
        <v>835</v>
      </c>
    </row>
    <row r="2883" spans="2:3" x14ac:dyDescent="0.25">
      <c r="B2883" t="s">
        <v>559</v>
      </c>
    </row>
    <row r="2884" spans="2:3" x14ac:dyDescent="0.25">
      <c r="B2884" t="s">
        <v>830</v>
      </c>
    </row>
    <row r="2885" spans="2:3" x14ac:dyDescent="0.25">
      <c r="B2885" t="s">
        <v>558</v>
      </c>
    </row>
    <row r="2886" spans="2:3" x14ac:dyDescent="0.25">
      <c r="C2886" t="s">
        <v>1870</v>
      </c>
    </row>
    <row r="2887" spans="2:3" x14ac:dyDescent="0.25">
      <c r="C2887" t="s">
        <v>1871</v>
      </c>
    </row>
    <row r="2888" spans="2:3" x14ac:dyDescent="0.25">
      <c r="C2888" t="s">
        <v>1872</v>
      </c>
    </row>
    <row r="2889" spans="2:3" x14ac:dyDescent="0.25">
      <c r="C2889" t="s">
        <v>837</v>
      </c>
    </row>
    <row r="2890" spans="2:3" x14ac:dyDescent="0.25">
      <c r="C2890" t="s">
        <v>832</v>
      </c>
    </row>
    <row r="2891" spans="2:3" x14ac:dyDescent="0.25">
      <c r="C2891" t="s">
        <v>1873</v>
      </c>
    </row>
    <row r="2892" spans="2:3" x14ac:dyDescent="0.25">
      <c r="C2892" t="s">
        <v>833</v>
      </c>
    </row>
    <row r="2893" spans="2:3" x14ac:dyDescent="0.25">
      <c r="C2893" t="s">
        <v>1701</v>
      </c>
    </row>
    <row r="2894" spans="2:3" x14ac:dyDescent="0.25">
      <c r="C2894" t="s">
        <v>2350</v>
      </c>
    </row>
    <row r="2895" spans="2:3" x14ac:dyDescent="0.25">
      <c r="C2895" t="s">
        <v>835</v>
      </c>
    </row>
    <row r="2896" spans="2:3" x14ac:dyDescent="0.25">
      <c r="B2896" t="s">
        <v>559</v>
      </c>
    </row>
    <row r="2897" spans="2:3" x14ac:dyDescent="0.25">
      <c r="B2897" t="s">
        <v>830</v>
      </c>
    </row>
    <row r="2898" spans="2:3" x14ac:dyDescent="0.25">
      <c r="B2898" t="s">
        <v>558</v>
      </c>
    </row>
    <row r="2899" spans="2:3" x14ac:dyDescent="0.25">
      <c r="C2899" t="s">
        <v>1794</v>
      </c>
    </row>
    <row r="2900" spans="2:3" x14ac:dyDescent="0.25">
      <c r="C2900" t="s">
        <v>1795</v>
      </c>
    </row>
    <row r="2901" spans="2:3" x14ac:dyDescent="0.25">
      <c r="C2901" t="s">
        <v>1796</v>
      </c>
    </row>
    <row r="2902" spans="2:3" x14ac:dyDescent="0.25">
      <c r="C2902" t="s">
        <v>1726</v>
      </c>
    </row>
    <row r="2903" spans="2:3" x14ac:dyDescent="0.25">
      <c r="C2903" t="s">
        <v>832</v>
      </c>
    </row>
    <row r="2904" spans="2:3" x14ac:dyDescent="0.25">
      <c r="C2904" t="s">
        <v>1797</v>
      </c>
    </row>
    <row r="2905" spans="2:3" x14ac:dyDescent="0.25">
      <c r="C2905" t="s">
        <v>833</v>
      </c>
    </row>
    <row r="2906" spans="2:3" x14ac:dyDescent="0.25">
      <c r="C2906" t="s">
        <v>1701</v>
      </c>
    </row>
    <row r="2907" spans="2:3" x14ac:dyDescent="0.25">
      <c r="C2907" t="s">
        <v>2304</v>
      </c>
    </row>
    <row r="2908" spans="2:3" x14ac:dyDescent="0.25">
      <c r="C2908" t="s">
        <v>835</v>
      </c>
    </row>
    <row r="2909" spans="2:3" x14ac:dyDescent="0.25">
      <c r="B2909" t="s">
        <v>559</v>
      </c>
    </row>
    <row r="2910" spans="2:3" x14ac:dyDescent="0.25">
      <c r="B2910" t="s">
        <v>830</v>
      </c>
    </row>
    <row r="2911" spans="2:3" x14ac:dyDescent="0.25">
      <c r="B2911" t="s">
        <v>558</v>
      </c>
    </row>
    <row r="2912" spans="2:3" x14ac:dyDescent="0.25">
      <c r="C2912" t="s">
        <v>2036</v>
      </c>
    </row>
    <row r="2913" spans="2:3" x14ac:dyDescent="0.25">
      <c r="C2913" t="s">
        <v>2037</v>
      </c>
    </row>
    <row r="2914" spans="2:3" x14ac:dyDescent="0.25">
      <c r="C2914" t="s">
        <v>2038</v>
      </c>
    </row>
    <row r="2915" spans="2:3" x14ac:dyDescent="0.25">
      <c r="C2915" t="s">
        <v>1726</v>
      </c>
    </row>
    <row r="2916" spans="2:3" x14ac:dyDescent="0.25">
      <c r="C2916" t="s">
        <v>832</v>
      </c>
    </row>
    <row r="2917" spans="2:3" x14ac:dyDescent="0.25">
      <c r="C2917" t="s">
        <v>2039</v>
      </c>
    </row>
    <row r="2918" spans="2:3" x14ac:dyDescent="0.25">
      <c r="C2918" t="s">
        <v>833</v>
      </c>
    </row>
    <row r="2919" spans="2:3" x14ac:dyDescent="0.25">
      <c r="C2919" t="s">
        <v>1701</v>
      </c>
    </row>
    <row r="2920" spans="2:3" x14ac:dyDescent="0.25">
      <c r="C2920" t="s">
        <v>2170</v>
      </c>
    </row>
    <row r="2921" spans="2:3" x14ac:dyDescent="0.25">
      <c r="C2921" t="s">
        <v>835</v>
      </c>
    </row>
    <row r="2922" spans="2:3" x14ac:dyDescent="0.25">
      <c r="B2922" t="s">
        <v>559</v>
      </c>
    </row>
    <row r="2923" spans="2:3" x14ac:dyDescent="0.25">
      <c r="B2923" t="s">
        <v>830</v>
      </c>
    </row>
    <row r="2924" spans="2:3" x14ac:dyDescent="0.25">
      <c r="B2924" t="s">
        <v>558</v>
      </c>
    </row>
    <row r="2925" spans="2:3" x14ac:dyDescent="0.25">
      <c r="C2925" t="s">
        <v>1784</v>
      </c>
    </row>
    <row r="2926" spans="2:3" x14ac:dyDescent="0.25">
      <c r="C2926" t="s">
        <v>1785</v>
      </c>
    </row>
    <row r="2927" spans="2:3" x14ac:dyDescent="0.25">
      <c r="C2927" t="s">
        <v>1786</v>
      </c>
    </row>
    <row r="2928" spans="2:3" x14ac:dyDescent="0.25">
      <c r="C2928" t="s">
        <v>1699</v>
      </c>
    </row>
    <row r="2929" spans="2:3" x14ac:dyDescent="0.25">
      <c r="C2929" t="s">
        <v>832</v>
      </c>
    </row>
    <row r="2930" spans="2:3" x14ac:dyDescent="0.25">
      <c r="C2930" t="s">
        <v>1787</v>
      </c>
    </row>
    <row r="2931" spans="2:3" x14ac:dyDescent="0.25">
      <c r="C2931" t="s">
        <v>833</v>
      </c>
    </row>
    <row r="2932" spans="2:3" x14ac:dyDescent="0.25">
      <c r="C2932" t="s">
        <v>1701</v>
      </c>
    </row>
    <row r="2933" spans="2:3" x14ac:dyDescent="0.25">
      <c r="C2933" t="s">
        <v>2171</v>
      </c>
    </row>
    <row r="2934" spans="2:3" x14ac:dyDescent="0.25">
      <c r="C2934" t="s">
        <v>835</v>
      </c>
    </row>
    <row r="2935" spans="2:3" x14ac:dyDescent="0.25">
      <c r="B2935" t="s">
        <v>559</v>
      </c>
    </row>
    <row r="2936" spans="2:3" x14ac:dyDescent="0.25">
      <c r="B2936" t="s">
        <v>830</v>
      </c>
    </row>
    <row r="2937" spans="2:3" x14ac:dyDescent="0.25">
      <c r="B2937" t="s">
        <v>558</v>
      </c>
    </row>
    <row r="2938" spans="2:3" x14ac:dyDescent="0.25">
      <c r="C2938" t="s">
        <v>1696</v>
      </c>
    </row>
    <row r="2939" spans="2:3" x14ac:dyDescent="0.25">
      <c r="C2939" t="s">
        <v>1697</v>
      </c>
    </row>
    <row r="2940" spans="2:3" x14ac:dyDescent="0.25">
      <c r="C2940" t="s">
        <v>1698</v>
      </c>
    </row>
    <row r="2941" spans="2:3" x14ac:dyDescent="0.25">
      <c r="C2941" t="s">
        <v>1699</v>
      </c>
    </row>
    <row r="2942" spans="2:3" x14ac:dyDescent="0.25">
      <c r="C2942" t="s">
        <v>832</v>
      </c>
    </row>
    <row r="2943" spans="2:3" x14ac:dyDescent="0.25">
      <c r="C2943" t="s">
        <v>1700</v>
      </c>
    </row>
    <row r="2944" spans="2:3" x14ac:dyDescent="0.25">
      <c r="C2944" t="s">
        <v>833</v>
      </c>
    </row>
    <row r="2945" spans="2:4" x14ac:dyDescent="0.25">
      <c r="C2945" t="s">
        <v>1701</v>
      </c>
    </row>
    <row r="2946" spans="2:4" x14ac:dyDescent="0.25">
      <c r="C2946" t="s">
        <v>2194</v>
      </c>
    </row>
    <row r="2947" spans="2:4" x14ac:dyDescent="0.25">
      <c r="C2947" t="s">
        <v>835</v>
      </c>
    </row>
    <row r="2948" spans="2:4" x14ac:dyDescent="0.25">
      <c r="C2948" t="s">
        <v>823</v>
      </c>
    </row>
    <row r="2949" spans="2:4" x14ac:dyDescent="0.25">
      <c r="C2949" t="s">
        <v>558</v>
      </c>
    </row>
    <row r="2950" spans="2:4" x14ac:dyDescent="0.25">
      <c r="D2950" t="s">
        <v>1702</v>
      </c>
    </row>
    <row r="2951" spans="2:4" x14ac:dyDescent="0.25">
      <c r="D2951" t="s">
        <v>2071</v>
      </c>
    </row>
    <row r="2952" spans="2:4" x14ac:dyDescent="0.25">
      <c r="D2952" t="s">
        <v>2072</v>
      </c>
    </row>
    <row r="2953" spans="2:4" x14ac:dyDescent="0.25">
      <c r="C2953" t="s">
        <v>559</v>
      </c>
    </row>
    <row r="2954" spans="2:4" x14ac:dyDescent="0.25">
      <c r="C2954" t="s">
        <v>823</v>
      </c>
    </row>
    <row r="2955" spans="2:4" x14ac:dyDescent="0.25">
      <c r="C2955" t="s">
        <v>558</v>
      </c>
    </row>
    <row r="2956" spans="2:4" x14ac:dyDescent="0.25">
      <c r="D2956" t="s">
        <v>2866</v>
      </c>
    </row>
    <row r="2957" spans="2:4" x14ac:dyDescent="0.25">
      <c r="D2957" t="s">
        <v>851</v>
      </c>
    </row>
    <row r="2958" spans="2:4" x14ac:dyDescent="0.25">
      <c r="D2958" t="s">
        <v>2072</v>
      </c>
    </row>
    <row r="2959" spans="2:4" x14ac:dyDescent="0.25">
      <c r="C2959" t="s">
        <v>559</v>
      </c>
    </row>
    <row r="2960" spans="2:4" x14ac:dyDescent="0.25">
      <c r="B2960" t="s">
        <v>559</v>
      </c>
    </row>
    <row r="2961" spans="2:4" x14ac:dyDescent="0.25">
      <c r="B2961" t="s">
        <v>830</v>
      </c>
    </row>
    <row r="2962" spans="2:4" x14ac:dyDescent="0.25">
      <c r="B2962" t="s">
        <v>558</v>
      </c>
    </row>
    <row r="2963" spans="2:4" x14ac:dyDescent="0.25">
      <c r="C2963" t="s">
        <v>2622</v>
      </c>
    </row>
    <row r="2964" spans="2:4" x14ac:dyDescent="0.25">
      <c r="C2964" t="s">
        <v>2623</v>
      </c>
    </row>
    <row r="2965" spans="2:4" x14ac:dyDescent="0.25">
      <c r="C2965" t="s">
        <v>2624</v>
      </c>
    </row>
    <row r="2966" spans="2:4" x14ac:dyDescent="0.25">
      <c r="C2966" t="s">
        <v>1753</v>
      </c>
    </row>
    <row r="2967" spans="2:4" x14ac:dyDescent="0.25">
      <c r="C2967" t="s">
        <v>832</v>
      </c>
    </row>
    <row r="2968" spans="2:4" x14ac:dyDescent="0.25">
      <c r="C2968" t="s">
        <v>2625</v>
      </c>
    </row>
    <row r="2969" spans="2:4" x14ac:dyDescent="0.25">
      <c r="C2969" t="s">
        <v>833</v>
      </c>
    </row>
    <row r="2970" spans="2:4" x14ac:dyDescent="0.25">
      <c r="C2970" t="s">
        <v>2626</v>
      </c>
    </row>
    <row r="2971" spans="2:4" x14ac:dyDescent="0.25">
      <c r="C2971" t="s">
        <v>2627</v>
      </c>
    </row>
    <row r="2972" spans="2:4" x14ac:dyDescent="0.25">
      <c r="C2972" t="s">
        <v>835</v>
      </c>
    </row>
    <row r="2973" spans="2:4" x14ac:dyDescent="0.25">
      <c r="C2973" t="s">
        <v>823</v>
      </c>
    </row>
    <row r="2974" spans="2:4" x14ac:dyDescent="0.25">
      <c r="C2974" t="s">
        <v>558</v>
      </c>
    </row>
    <row r="2975" spans="2:4" x14ac:dyDescent="0.25">
      <c r="D2975" t="s">
        <v>1374</v>
      </c>
    </row>
    <row r="2976" spans="2:4" x14ac:dyDescent="0.25">
      <c r="D2976" t="s">
        <v>2071</v>
      </c>
    </row>
    <row r="2977" spans="2:4" x14ac:dyDescent="0.25">
      <c r="D2977" t="s">
        <v>2072</v>
      </c>
    </row>
    <row r="2978" spans="2:4" x14ac:dyDescent="0.25">
      <c r="C2978" t="s">
        <v>559</v>
      </c>
    </row>
    <row r="2979" spans="2:4" x14ac:dyDescent="0.25">
      <c r="B2979" t="s">
        <v>559</v>
      </c>
    </row>
    <row r="2980" spans="2:4" x14ac:dyDescent="0.25">
      <c r="B2980" t="s">
        <v>830</v>
      </c>
    </row>
    <row r="2981" spans="2:4" x14ac:dyDescent="0.25">
      <c r="B2981" t="s">
        <v>558</v>
      </c>
    </row>
    <row r="2982" spans="2:4" x14ac:dyDescent="0.25">
      <c r="C2982" t="s">
        <v>2628</v>
      </c>
    </row>
    <row r="2983" spans="2:4" x14ac:dyDescent="0.25">
      <c r="C2983" t="s">
        <v>2798</v>
      </c>
    </row>
    <row r="2984" spans="2:4" x14ac:dyDescent="0.25">
      <c r="C2984" t="s">
        <v>2629</v>
      </c>
    </row>
    <row r="2985" spans="2:4" x14ac:dyDescent="0.25">
      <c r="C2985" t="s">
        <v>2406</v>
      </c>
    </row>
    <row r="2986" spans="2:4" x14ac:dyDescent="0.25">
      <c r="C2986" t="s">
        <v>832</v>
      </c>
    </row>
    <row r="2987" spans="2:4" x14ac:dyDescent="0.25">
      <c r="C2987" t="s">
        <v>2630</v>
      </c>
    </row>
    <row r="2988" spans="2:4" x14ac:dyDescent="0.25">
      <c r="C2988" t="s">
        <v>833</v>
      </c>
    </row>
    <row r="2989" spans="2:4" x14ac:dyDescent="0.25">
      <c r="C2989" t="s">
        <v>2631</v>
      </c>
    </row>
    <row r="2990" spans="2:4" x14ac:dyDescent="0.25">
      <c r="C2990" t="s">
        <v>2632</v>
      </c>
    </row>
    <row r="2991" spans="2:4" x14ac:dyDescent="0.25">
      <c r="C2991" t="s">
        <v>835</v>
      </c>
    </row>
    <row r="2992" spans="2:4" x14ac:dyDescent="0.25">
      <c r="C2992" t="s">
        <v>823</v>
      </c>
    </row>
    <row r="2993" spans="2:4" x14ac:dyDescent="0.25">
      <c r="C2993" t="s">
        <v>558</v>
      </c>
    </row>
    <row r="2994" spans="2:4" x14ac:dyDescent="0.25">
      <c r="D2994" t="s">
        <v>1558</v>
      </c>
    </row>
    <row r="2995" spans="2:4" x14ac:dyDescent="0.25">
      <c r="D2995" t="s">
        <v>2071</v>
      </c>
    </row>
    <row r="2996" spans="2:4" x14ac:dyDescent="0.25">
      <c r="D2996" t="s">
        <v>2072</v>
      </c>
    </row>
    <row r="2997" spans="2:4" x14ac:dyDescent="0.25">
      <c r="C2997" t="s">
        <v>559</v>
      </c>
    </row>
    <row r="2998" spans="2:4" x14ac:dyDescent="0.25">
      <c r="B2998" t="s">
        <v>559</v>
      </c>
    </row>
    <row r="2999" spans="2:4" x14ac:dyDescent="0.25">
      <c r="B2999" t="s">
        <v>830</v>
      </c>
    </row>
    <row r="3000" spans="2:4" x14ac:dyDescent="0.25">
      <c r="B3000" t="s">
        <v>558</v>
      </c>
    </row>
    <row r="3001" spans="2:4" x14ac:dyDescent="0.25">
      <c r="C3001" t="s">
        <v>1728</v>
      </c>
    </row>
    <row r="3002" spans="2:4" x14ac:dyDescent="0.25">
      <c r="C3002" t="s">
        <v>1729</v>
      </c>
    </row>
    <row r="3003" spans="2:4" x14ac:dyDescent="0.25">
      <c r="C3003" t="s">
        <v>1730</v>
      </c>
    </row>
    <row r="3004" spans="2:4" x14ac:dyDescent="0.25">
      <c r="C3004" t="s">
        <v>1699</v>
      </c>
    </row>
    <row r="3005" spans="2:4" x14ac:dyDescent="0.25">
      <c r="C3005" t="s">
        <v>832</v>
      </c>
    </row>
    <row r="3006" spans="2:4" x14ac:dyDescent="0.25">
      <c r="C3006" t="s">
        <v>1731</v>
      </c>
    </row>
    <row r="3007" spans="2:4" x14ac:dyDescent="0.25">
      <c r="C3007" t="s">
        <v>833</v>
      </c>
    </row>
    <row r="3008" spans="2:4" x14ac:dyDescent="0.25">
      <c r="C3008" t="s">
        <v>1701</v>
      </c>
    </row>
    <row r="3009" spans="2:4" x14ac:dyDescent="0.25">
      <c r="C3009" t="s">
        <v>2195</v>
      </c>
    </row>
    <row r="3010" spans="2:4" x14ac:dyDescent="0.25">
      <c r="C3010" t="s">
        <v>835</v>
      </c>
    </row>
    <row r="3011" spans="2:4" x14ac:dyDescent="0.25">
      <c r="C3011" t="s">
        <v>823</v>
      </c>
    </row>
    <row r="3012" spans="2:4" x14ac:dyDescent="0.25">
      <c r="C3012" t="s">
        <v>558</v>
      </c>
    </row>
    <row r="3013" spans="2:4" x14ac:dyDescent="0.25">
      <c r="D3013" t="s">
        <v>1702</v>
      </c>
    </row>
    <row r="3014" spans="2:4" x14ac:dyDescent="0.25">
      <c r="D3014" t="s">
        <v>2073</v>
      </c>
    </row>
    <row r="3015" spans="2:4" x14ac:dyDescent="0.25">
      <c r="D3015" t="s">
        <v>2072</v>
      </c>
    </row>
    <row r="3016" spans="2:4" x14ac:dyDescent="0.25">
      <c r="C3016" t="s">
        <v>559</v>
      </c>
    </row>
    <row r="3017" spans="2:4" x14ac:dyDescent="0.25">
      <c r="B3017" t="s">
        <v>559</v>
      </c>
    </row>
    <row r="3018" spans="2:4" x14ac:dyDescent="0.25">
      <c r="B3018" t="s">
        <v>830</v>
      </c>
    </row>
    <row r="3019" spans="2:4" x14ac:dyDescent="0.25">
      <c r="B3019" t="s">
        <v>558</v>
      </c>
    </row>
    <row r="3020" spans="2:4" x14ac:dyDescent="0.25">
      <c r="C3020" t="s">
        <v>1732</v>
      </c>
    </row>
    <row r="3021" spans="2:4" x14ac:dyDescent="0.25">
      <c r="C3021" t="s">
        <v>1733</v>
      </c>
    </row>
    <row r="3022" spans="2:4" x14ac:dyDescent="0.25">
      <c r="C3022" t="s">
        <v>1734</v>
      </c>
    </row>
    <row r="3023" spans="2:4" x14ac:dyDescent="0.25">
      <c r="C3023" t="s">
        <v>1735</v>
      </c>
    </row>
    <row r="3024" spans="2:4" x14ac:dyDescent="0.25">
      <c r="C3024" t="s">
        <v>832</v>
      </c>
    </row>
    <row r="3025" spans="2:4" x14ac:dyDescent="0.25">
      <c r="C3025" t="s">
        <v>1736</v>
      </c>
    </row>
    <row r="3026" spans="2:4" x14ac:dyDescent="0.25">
      <c r="C3026" t="s">
        <v>833</v>
      </c>
    </row>
    <row r="3027" spans="2:4" x14ac:dyDescent="0.25">
      <c r="C3027" t="s">
        <v>1701</v>
      </c>
    </row>
    <row r="3028" spans="2:4" x14ac:dyDescent="0.25">
      <c r="C3028" t="s">
        <v>2196</v>
      </c>
    </row>
    <row r="3029" spans="2:4" x14ac:dyDescent="0.25">
      <c r="C3029" t="s">
        <v>835</v>
      </c>
    </row>
    <row r="3030" spans="2:4" x14ac:dyDescent="0.25">
      <c r="C3030" t="s">
        <v>823</v>
      </c>
    </row>
    <row r="3031" spans="2:4" x14ac:dyDescent="0.25">
      <c r="C3031" t="s">
        <v>558</v>
      </c>
    </row>
    <row r="3032" spans="2:4" x14ac:dyDescent="0.25">
      <c r="D3032" t="s">
        <v>1393</v>
      </c>
    </row>
    <row r="3033" spans="2:4" x14ac:dyDescent="0.25">
      <c r="D3033" t="s">
        <v>2073</v>
      </c>
    </row>
    <row r="3034" spans="2:4" x14ac:dyDescent="0.25">
      <c r="D3034" t="s">
        <v>2072</v>
      </c>
    </row>
    <row r="3035" spans="2:4" x14ac:dyDescent="0.25">
      <c r="C3035" t="s">
        <v>559</v>
      </c>
    </row>
    <row r="3036" spans="2:4" x14ac:dyDescent="0.25">
      <c r="B3036" t="s">
        <v>559</v>
      </c>
    </row>
    <row r="3037" spans="2:4" x14ac:dyDescent="0.25">
      <c r="B3037" t="s">
        <v>830</v>
      </c>
    </row>
    <row r="3038" spans="2:4" x14ac:dyDescent="0.25">
      <c r="B3038" t="s">
        <v>558</v>
      </c>
    </row>
    <row r="3039" spans="2:4" x14ac:dyDescent="0.25">
      <c r="C3039" t="s">
        <v>1737</v>
      </c>
    </row>
    <row r="3040" spans="2:4" x14ac:dyDescent="0.25">
      <c r="C3040" t="s">
        <v>1738</v>
      </c>
    </row>
    <row r="3041" spans="2:4" x14ac:dyDescent="0.25">
      <c r="C3041" t="s">
        <v>1739</v>
      </c>
    </row>
    <row r="3042" spans="2:4" x14ac:dyDescent="0.25">
      <c r="C3042" t="s">
        <v>1711</v>
      </c>
    </row>
    <row r="3043" spans="2:4" x14ac:dyDescent="0.25">
      <c r="C3043" t="s">
        <v>832</v>
      </c>
    </row>
    <row r="3044" spans="2:4" x14ac:dyDescent="0.25">
      <c r="C3044" t="s">
        <v>1740</v>
      </c>
    </row>
    <row r="3045" spans="2:4" x14ac:dyDescent="0.25">
      <c r="C3045" t="s">
        <v>833</v>
      </c>
    </row>
    <row r="3046" spans="2:4" x14ac:dyDescent="0.25">
      <c r="C3046" t="s">
        <v>1701</v>
      </c>
    </row>
    <row r="3047" spans="2:4" x14ac:dyDescent="0.25">
      <c r="C3047" t="s">
        <v>2197</v>
      </c>
    </row>
    <row r="3048" spans="2:4" x14ac:dyDescent="0.25">
      <c r="C3048" t="s">
        <v>835</v>
      </c>
    </row>
    <row r="3049" spans="2:4" x14ac:dyDescent="0.25">
      <c r="C3049" t="s">
        <v>823</v>
      </c>
    </row>
    <row r="3050" spans="2:4" x14ac:dyDescent="0.25">
      <c r="C3050" t="s">
        <v>558</v>
      </c>
    </row>
    <row r="3051" spans="2:4" x14ac:dyDescent="0.25">
      <c r="D3051" t="s">
        <v>1403</v>
      </c>
    </row>
    <row r="3052" spans="2:4" x14ac:dyDescent="0.25">
      <c r="D3052" t="s">
        <v>2073</v>
      </c>
    </row>
    <row r="3053" spans="2:4" x14ac:dyDescent="0.25">
      <c r="D3053" t="s">
        <v>2072</v>
      </c>
    </row>
    <row r="3054" spans="2:4" x14ac:dyDescent="0.25">
      <c r="C3054" t="s">
        <v>559</v>
      </c>
    </row>
    <row r="3055" spans="2:4" x14ac:dyDescent="0.25">
      <c r="B3055" t="s">
        <v>559</v>
      </c>
    </row>
    <row r="3056" spans="2:4" x14ac:dyDescent="0.25">
      <c r="B3056" t="s">
        <v>830</v>
      </c>
    </row>
    <row r="3057" spans="2:4" x14ac:dyDescent="0.25">
      <c r="B3057" t="s">
        <v>558</v>
      </c>
    </row>
    <row r="3058" spans="2:4" x14ac:dyDescent="0.25">
      <c r="C3058" t="s">
        <v>1741</v>
      </c>
    </row>
    <row r="3059" spans="2:4" x14ac:dyDescent="0.25">
      <c r="C3059" t="s">
        <v>1742</v>
      </c>
    </row>
    <row r="3060" spans="2:4" x14ac:dyDescent="0.25">
      <c r="C3060" t="s">
        <v>1743</v>
      </c>
    </row>
    <row r="3061" spans="2:4" x14ac:dyDescent="0.25">
      <c r="C3061" t="s">
        <v>837</v>
      </c>
    </row>
    <row r="3062" spans="2:4" x14ac:dyDescent="0.25">
      <c r="C3062" t="s">
        <v>832</v>
      </c>
    </row>
    <row r="3063" spans="2:4" x14ac:dyDescent="0.25">
      <c r="C3063" t="s">
        <v>1744</v>
      </c>
    </row>
    <row r="3064" spans="2:4" x14ac:dyDescent="0.25">
      <c r="C3064" t="s">
        <v>833</v>
      </c>
    </row>
    <row r="3065" spans="2:4" x14ac:dyDescent="0.25">
      <c r="C3065" t="s">
        <v>1701</v>
      </c>
    </row>
    <row r="3066" spans="2:4" x14ac:dyDescent="0.25">
      <c r="C3066" t="s">
        <v>2198</v>
      </c>
    </row>
    <row r="3067" spans="2:4" x14ac:dyDescent="0.25">
      <c r="C3067" t="s">
        <v>835</v>
      </c>
    </row>
    <row r="3068" spans="2:4" x14ac:dyDescent="0.25">
      <c r="C3068" t="s">
        <v>823</v>
      </c>
    </row>
    <row r="3069" spans="2:4" x14ac:dyDescent="0.25">
      <c r="C3069" t="s">
        <v>558</v>
      </c>
    </row>
    <row r="3070" spans="2:4" x14ac:dyDescent="0.25">
      <c r="D3070" t="s">
        <v>1422</v>
      </c>
    </row>
    <row r="3071" spans="2:4" x14ac:dyDescent="0.25">
      <c r="D3071" t="s">
        <v>2073</v>
      </c>
    </row>
    <row r="3072" spans="2:4" x14ac:dyDescent="0.25">
      <c r="D3072" t="s">
        <v>2072</v>
      </c>
    </row>
    <row r="3073" spans="2:3" x14ac:dyDescent="0.25">
      <c r="C3073" t="s">
        <v>559</v>
      </c>
    </row>
    <row r="3074" spans="2:3" x14ac:dyDescent="0.25">
      <c r="B3074" t="s">
        <v>559</v>
      </c>
    </row>
    <row r="3075" spans="2:3" x14ac:dyDescent="0.25">
      <c r="B3075" t="s">
        <v>830</v>
      </c>
    </row>
    <row r="3076" spans="2:3" x14ac:dyDescent="0.25">
      <c r="B3076" t="s">
        <v>558</v>
      </c>
    </row>
    <row r="3077" spans="2:3" x14ac:dyDescent="0.25">
      <c r="C3077" t="s">
        <v>1745</v>
      </c>
    </row>
    <row r="3078" spans="2:3" x14ac:dyDescent="0.25">
      <c r="C3078" t="s">
        <v>1746</v>
      </c>
    </row>
    <row r="3079" spans="2:3" x14ac:dyDescent="0.25">
      <c r="C3079" t="s">
        <v>1747</v>
      </c>
    </row>
    <row r="3080" spans="2:3" x14ac:dyDescent="0.25">
      <c r="C3080" t="s">
        <v>1748</v>
      </c>
    </row>
    <row r="3081" spans="2:3" x14ac:dyDescent="0.25">
      <c r="C3081" t="s">
        <v>832</v>
      </c>
    </row>
    <row r="3082" spans="2:3" x14ac:dyDescent="0.25">
      <c r="C3082" t="s">
        <v>1749</v>
      </c>
    </row>
    <row r="3083" spans="2:3" x14ac:dyDescent="0.25">
      <c r="C3083" t="s">
        <v>833</v>
      </c>
    </row>
    <row r="3084" spans="2:3" x14ac:dyDescent="0.25">
      <c r="C3084" t="s">
        <v>1701</v>
      </c>
    </row>
    <row r="3085" spans="2:3" x14ac:dyDescent="0.25">
      <c r="C3085" t="s">
        <v>2199</v>
      </c>
    </row>
    <row r="3086" spans="2:3" x14ac:dyDescent="0.25">
      <c r="C3086" t="s">
        <v>835</v>
      </c>
    </row>
    <row r="3087" spans="2:3" x14ac:dyDescent="0.25">
      <c r="C3087" t="s">
        <v>823</v>
      </c>
    </row>
    <row r="3088" spans="2:3" x14ac:dyDescent="0.25">
      <c r="C3088" t="s">
        <v>558</v>
      </c>
    </row>
    <row r="3089" spans="2:4" x14ac:dyDescent="0.25">
      <c r="D3089" t="s">
        <v>1432</v>
      </c>
    </row>
    <row r="3090" spans="2:4" x14ac:dyDescent="0.25">
      <c r="D3090" t="s">
        <v>2073</v>
      </c>
    </row>
    <row r="3091" spans="2:4" x14ac:dyDescent="0.25">
      <c r="D3091" t="s">
        <v>2072</v>
      </c>
    </row>
    <row r="3092" spans="2:4" x14ac:dyDescent="0.25">
      <c r="C3092" t="s">
        <v>559</v>
      </c>
    </row>
    <row r="3093" spans="2:4" x14ac:dyDescent="0.25">
      <c r="B3093" t="s">
        <v>559</v>
      </c>
    </row>
    <row r="3094" spans="2:4" x14ac:dyDescent="0.25">
      <c r="B3094" t="s">
        <v>830</v>
      </c>
    </row>
    <row r="3095" spans="2:4" x14ac:dyDescent="0.25">
      <c r="B3095" t="s">
        <v>558</v>
      </c>
    </row>
    <row r="3096" spans="2:4" x14ac:dyDescent="0.25">
      <c r="C3096" t="s">
        <v>1750</v>
      </c>
    </row>
    <row r="3097" spans="2:4" x14ac:dyDescent="0.25">
      <c r="C3097" t="s">
        <v>1751</v>
      </c>
    </row>
    <row r="3098" spans="2:4" x14ac:dyDescent="0.25">
      <c r="C3098" t="s">
        <v>1752</v>
      </c>
    </row>
    <row r="3099" spans="2:4" x14ac:dyDescent="0.25">
      <c r="C3099" t="s">
        <v>1753</v>
      </c>
    </row>
    <row r="3100" spans="2:4" x14ac:dyDescent="0.25">
      <c r="C3100" t="s">
        <v>832</v>
      </c>
    </row>
    <row r="3101" spans="2:4" x14ac:dyDescent="0.25">
      <c r="C3101" t="s">
        <v>1754</v>
      </c>
    </row>
    <row r="3102" spans="2:4" x14ac:dyDescent="0.25">
      <c r="C3102" t="s">
        <v>833</v>
      </c>
    </row>
    <row r="3103" spans="2:4" x14ac:dyDescent="0.25">
      <c r="C3103" t="s">
        <v>1701</v>
      </c>
    </row>
    <row r="3104" spans="2:4" x14ac:dyDescent="0.25">
      <c r="C3104" t="s">
        <v>2222</v>
      </c>
    </row>
    <row r="3105" spans="2:4" x14ac:dyDescent="0.25">
      <c r="C3105" t="s">
        <v>835</v>
      </c>
    </row>
    <row r="3106" spans="2:4" x14ac:dyDescent="0.25">
      <c r="C3106" t="s">
        <v>823</v>
      </c>
    </row>
    <row r="3107" spans="2:4" x14ac:dyDescent="0.25">
      <c r="C3107" t="s">
        <v>558</v>
      </c>
    </row>
    <row r="3108" spans="2:4" x14ac:dyDescent="0.25">
      <c r="D3108" t="s">
        <v>1374</v>
      </c>
    </row>
    <row r="3109" spans="2:4" x14ac:dyDescent="0.25">
      <c r="D3109" t="s">
        <v>2073</v>
      </c>
    </row>
    <row r="3110" spans="2:4" x14ac:dyDescent="0.25">
      <c r="D3110" t="s">
        <v>2072</v>
      </c>
    </row>
    <row r="3111" spans="2:4" x14ac:dyDescent="0.25">
      <c r="C3111" t="s">
        <v>559</v>
      </c>
    </row>
    <row r="3112" spans="2:4" x14ac:dyDescent="0.25">
      <c r="B3112" t="s">
        <v>559</v>
      </c>
    </row>
    <row r="3113" spans="2:4" x14ac:dyDescent="0.25">
      <c r="B3113" t="s">
        <v>830</v>
      </c>
    </row>
    <row r="3114" spans="2:4" x14ac:dyDescent="0.25">
      <c r="B3114" t="s">
        <v>558</v>
      </c>
    </row>
    <row r="3115" spans="2:4" x14ac:dyDescent="0.25">
      <c r="C3115" t="s">
        <v>1831</v>
      </c>
    </row>
    <row r="3116" spans="2:4" x14ac:dyDescent="0.25">
      <c r="C3116" t="s">
        <v>1832</v>
      </c>
    </row>
    <row r="3117" spans="2:4" x14ac:dyDescent="0.25">
      <c r="C3117" t="s">
        <v>1833</v>
      </c>
    </row>
    <row r="3118" spans="2:4" x14ac:dyDescent="0.25">
      <c r="C3118" t="s">
        <v>1699</v>
      </c>
    </row>
    <row r="3119" spans="2:4" x14ac:dyDescent="0.25">
      <c r="C3119" t="s">
        <v>832</v>
      </c>
    </row>
    <row r="3120" spans="2:4" x14ac:dyDescent="0.25">
      <c r="C3120" t="s">
        <v>1834</v>
      </c>
    </row>
    <row r="3121" spans="2:4" x14ac:dyDescent="0.25">
      <c r="C3121" t="s">
        <v>833</v>
      </c>
    </row>
    <row r="3122" spans="2:4" x14ac:dyDescent="0.25">
      <c r="C3122" t="s">
        <v>1701</v>
      </c>
    </row>
    <row r="3123" spans="2:4" x14ac:dyDescent="0.25">
      <c r="C3123" t="s">
        <v>2223</v>
      </c>
    </row>
    <row r="3124" spans="2:4" x14ac:dyDescent="0.25">
      <c r="C3124" t="s">
        <v>835</v>
      </c>
    </row>
    <row r="3125" spans="2:4" x14ac:dyDescent="0.25">
      <c r="C3125" t="s">
        <v>823</v>
      </c>
    </row>
    <row r="3126" spans="2:4" x14ac:dyDescent="0.25">
      <c r="C3126" t="s">
        <v>558</v>
      </c>
    </row>
    <row r="3127" spans="2:4" x14ac:dyDescent="0.25">
      <c r="D3127" t="s">
        <v>1835</v>
      </c>
    </row>
    <row r="3128" spans="2:4" x14ac:dyDescent="0.25">
      <c r="D3128" t="s">
        <v>2073</v>
      </c>
    </row>
    <row r="3129" spans="2:4" x14ac:dyDescent="0.25">
      <c r="D3129" t="s">
        <v>2072</v>
      </c>
    </row>
    <row r="3130" spans="2:4" x14ac:dyDescent="0.25">
      <c r="C3130" t="s">
        <v>559</v>
      </c>
    </row>
    <row r="3131" spans="2:4" x14ac:dyDescent="0.25">
      <c r="B3131" t="s">
        <v>559</v>
      </c>
    </row>
    <row r="3132" spans="2:4" x14ac:dyDescent="0.25">
      <c r="B3132" t="s">
        <v>830</v>
      </c>
    </row>
    <row r="3133" spans="2:4" x14ac:dyDescent="0.25">
      <c r="B3133" t="s">
        <v>558</v>
      </c>
    </row>
    <row r="3134" spans="2:4" x14ac:dyDescent="0.25">
      <c r="C3134" t="s">
        <v>1836</v>
      </c>
    </row>
    <row r="3135" spans="2:4" x14ac:dyDescent="0.25">
      <c r="C3135" t="s">
        <v>1837</v>
      </c>
    </row>
    <row r="3136" spans="2:4" x14ac:dyDescent="0.25">
      <c r="C3136" t="s">
        <v>1838</v>
      </c>
    </row>
    <row r="3137" spans="2:4" x14ac:dyDescent="0.25">
      <c r="C3137" t="s">
        <v>1811</v>
      </c>
    </row>
    <row r="3138" spans="2:4" x14ac:dyDescent="0.25">
      <c r="C3138" t="s">
        <v>832</v>
      </c>
    </row>
    <row r="3139" spans="2:4" x14ac:dyDescent="0.25">
      <c r="C3139" t="s">
        <v>1839</v>
      </c>
    </row>
    <row r="3140" spans="2:4" x14ac:dyDescent="0.25">
      <c r="C3140" t="s">
        <v>833</v>
      </c>
    </row>
    <row r="3141" spans="2:4" x14ac:dyDescent="0.25">
      <c r="C3141" t="s">
        <v>1701</v>
      </c>
    </row>
    <row r="3142" spans="2:4" x14ac:dyDescent="0.25">
      <c r="C3142" t="s">
        <v>2224</v>
      </c>
    </row>
    <row r="3143" spans="2:4" x14ac:dyDescent="0.25">
      <c r="C3143" t="s">
        <v>835</v>
      </c>
    </row>
    <row r="3144" spans="2:4" x14ac:dyDescent="0.25">
      <c r="C3144" t="s">
        <v>823</v>
      </c>
    </row>
    <row r="3145" spans="2:4" x14ac:dyDescent="0.25">
      <c r="C3145" t="s">
        <v>558</v>
      </c>
    </row>
    <row r="3146" spans="2:4" x14ac:dyDescent="0.25">
      <c r="D3146" t="s">
        <v>1840</v>
      </c>
    </row>
    <row r="3147" spans="2:4" x14ac:dyDescent="0.25">
      <c r="D3147" t="s">
        <v>2073</v>
      </c>
    </row>
    <row r="3148" spans="2:4" x14ac:dyDescent="0.25">
      <c r="D3148" t="s">
        <v>2072</v>
      </c>
    </row>
    <row r="3149" spans="2:4" x14ac:dyDescent="0.25">
      <c r="C3149" t="s">
        <v>559</v>
      </c>
    </row>
    <row r="3150" spans="2:4" x14ac:dyDescent="0.25">
      <c r="B3150" t="s">
        <v>559</v>
      </c>
    </row>
    <row r="3151" spans="2:4" x14ac:dyDescent="0.25">
      <c r="B3151" t="s">
        <v>830</v>
      </c>
    </row>
    <row r="3152" spans="2:4" x14ac:dyDescent="0.25">
      <c r="B3152" t="s">
        <v>558</v>
      </c>
    </row>
    <row r="3153" spans="3:4" x14ac:dyDescent="0.25">
      <c r="C3153" t="s">
        <v>1841</v>
      </c>
    </row>
    <row r="3154" spans="3:4" x14ac:dyDescent="0.25">
      <c r="C3154" t="s">
        <v>1842</v>
      </c>
    </row>
    <row r="3155" spans="3:4" x14ac:dyDescent="0.25">
      <c r="C3155" t="s">
        <v>1843</v>
      </c>
    </row>
    <row r="3156" spans="3:4" x14ac:dyDescent="0.25">
      <c r="C3156" t="s">
        <v>1844</v>
      </c>
    </row>
    <row r="3157" spans="3:4" x14ac:dyDescent="0.25">
      <c r="C3157" t="s">
        <v>832</v>
      </c>
    </row>
    <row r="3158" spans="3:4" x14ac:dyDescent="0.25">
      <c r="C3158" t="s">
        <v>1845</v>
      </c>
    </row>
    <row r="3159" spans="3:4" x14ac:dyDescent="0.25">
      <c r="C3159" t="s">
        <v>833</v>
      </c>
    </row>
    <row r="3160" spans="3:4" x14ac:dyDescent="0.25">
      <c r="C3160" t="s">
        <v>1701</v>
      </c>
    </row>
    <row r="3161" spans="3:4" x14ac:dyDescent="0.25">
      <c r="C3161" t="s">
        <v>2225</v>
      </c>
    </row>
    <row r="3162" spans="3:4" x14ac:dyDescent="0.25">
      <c r="C3162" t="s">
        <v>835</v>
      </c>
    </row>
    <row r="3163" spans="3:4" x14ac:dyDescent="0.25">
      <c r="C3163" t="s">
        <v>823</v>
      </c>
    </row>
    <row r="3164" spans="3:4" x14ac:dyDescent="0.25">
      <c r="C3164" t="s">
        <v>558</v>
      </c>
    </row>
    <row r="3165" spans="3:4" x14ac:dyDescent="0.25">
      <c r="D3165" t="s">
        <v>1846</v>
      </c>
    </row>
    <row r="3166" spans="3:4" x14ac:dyDescent="0.25">
      <c r="D3166" t="s">
        <v>2073</v>
      </c>
    </row>
    <row r="3167" spans="3:4" x14ac:dyDescent="0.25">
      <c r="D3167" t="s">
        <v>2072</v>
      </c>
    </row>
    <row r="3168" spans="3:4" x14ac:dyDescent="0.25">
      <c r="C3168" t="s">
        <v>559</v>
      </c>
    </row>
    <row r="3169" spans="2:4" x14ac:dyDescent="0.25">
      <c r="B3169" t="s">
        <v>559</v>
      </c>
    </row>
    <row r="3170" spans="2:4" x14ac:dyDescent="0.25">
      <c r="B3170" t="s">
        <v>830</v>
      </c>
    </row>
    <row r="3171" spans="2:4" x14ac:dyDescent="0.25">
      <c r="B3171" t="s">
        <v>558</v>
      </c>
    </row>
    <row r="3172" spans="2:4" x14ac:dyDescent="0.25">
      <c r="C3172" t="s">
        <v>1847</v>
      </c>
    </row>
    <row r="3173" spans="2:4" x14ac:dyDescent="0.25">
      <c r="C3173" t="s">
        <v>1848</v>
      </c>
    </row>
    <row r="3174" spans="2:4" x14ac:dyDescent="0.25">
      <c r="C3174" t="s">
        <v>1849</v>
      </c>
    </row>
    <row r="3175" spans="2:4" x14ac:dyDescent="0.25">
      <c r="C3175" t="s">
        <v>1716</v>
      </c>
    </row>
    <row r="3176" spans="2:4" x14ac:dyDescent="0.25">
      <c r="C3176" t="s">
        <v>832</v>
      </c>
    </row>
    <row r="3177" spans="2:4" x14ac:dyDescent="0.25">
      <c r="C3177" t="s">
        <v>1850</v>
      </c>
    </row>
    <row r="3178" spans="2:4" x14ac:dyDescent="0.25">
      <c r="C3178" t="s">
        <v>833</v>
      </c>
    </row>
    <row r="3179" spans="2:4" x14ac:dyDescent="0.25">
      <c r="C3179" t="s">
        <v>1701</v>
      </c>
    </row>
    <row r="3180" spans="2:4" x14ac:dyDescent="0.25">
      <c r="C3180" t="s">
        <v>2226</v>
      </c>
    </row>
    <row r="3181" spans="2:4" x14ac:dyDescent="0.25">
      <c r="C3181" t="s">
        <v>835</v>
      </c>
    </row>
    <row r="3182" spans="2:4" x14ac:dyDescent="0.25">
      <c r="C3182" t="s">
        <v>823</v>
      </c>
    </row>
    <row r="3183" spans="2:4" x14ac:dyDescent="0.25">
      <c r="C3183" t="s">
        <v>558</v>
      </c>
    </row>
    <row r="3184" spans="2:4" x14ac:dyDescent="0.25">
      <c r="D3184" t="s">
        <v>1851</v>
      </c>
    </row>
    <row r="3185" spans="2:4" x14ac:dyDescent="0.25">
      <c r="D3185" t="s">
        <v>2073</v>
      </c>
    </row>
    <row r="3186" spans="2:4" x14ac:dyDescent="0.25">
      <c r="D3186" t="s">
        <v>2072</v>
      </c>
    </row>
    <row r="3187" spans="2:4" x14ac:dyDescent="0.25">
      <c r="C3187" t="s">
        <v>559</v>
      </c>
    </row>
    <row r="3188" spans="2:4" x14ac:dyDescent="0.25">
      <c r="B3188" t="s">
        <v>559</v>
      </c>
    </row>
    <row r="3189" spans="2:4" x14ac:dyDescent="0.25">
      <c r="B3189" t="s">
        <v>830</v>
      </c>
    </row>
    <row r="3190" spans="2:4" x14ac:dyDescent="0.25">
      <c r="B3190" t="s">
        <v>558</v>
      </c>
    </row>
    <row r="3191" spans="2:4" x14ac:dyDescent="0.25">
      <c r="C3191" t="s">
        <v>1852</v>
      </c>
    </row>
    <row r="3192" spans="2:4" x14ac:dyDescent="0.25">
      <c r="C3192" t="s">
        <v>1853</v>
      </c>
    </row>
    <row r="3193" spans="2:4" x14ac:dyDescent="0.25">
      <c r="C3193" t="s">
        <v>1854</v>
      </c>
    </row>
    <row r="3194" spans="2:4" x14ac:dyDescent="0.25">
      <c r="C3194" t="s">
        <v>1825</v>
      </c>
    </row>
    <row r="3195" spans="2:4" x14ac:dyDescent="0.25">
      <c r="C3195" t="s">
        <v>832</v>
      </c>
    </row>
    <row r="3196" spans="2:4" x14ac:dyDescent="0.25">
      <c r="C3196" t="s">
        <v>1855</v>
      </c>
    </row>
    <row r="3197" spans="2:4" x14ac:dyDescent="0.25">
      <c r="C3197" t="s">
        <v>833</v>
      </c>
    </row>
    <row r="3198" spans="2:4" x14ac:dyDescent="0.25">
      <c r="C3198" t="s">
        <v>1701</v>
      </c>
    </row>
    <row r="3199" spans="2:4" x14ac:dyDescent="0.25">
      <c r="C3199" t="s">
        <v>2227</v>
      </c>
    </row>
    <row r="3200" spans="2:4" x14ac:dyDescent="0.25">
      <c r="C3200" t="s">
        <v>835</v>
      </c>
    </row>
    <row r="3201" spans="2:4" x14ac:dyDescent="0.25">
      <c r="C3201" t="s">
        <v>823</v>
      </c>
    </row>
    <row r="3202" spans="2:4" x14ac:dyDescent="0.25">
      <c r="C3202" t="s">
        <v>558</v>
      </c>
    </row>
    <row r="3203" spans="2:4" x14ac:dyDescent="0.25">
      <c r="D3203" t="s">
        <v>1856</v>
      </c>
    </row>
    <row r="3204" spans="2:4" x14ac:dyDescent="0.25">
      <c r="D3204" t="s">
        <v>2073</v>
      </c>
    </row>
    <row r="3205" spans="2:4" x14ac:dyDescent="0.25">
      <c r="D3205" t="s">
        <v>2072</v>
      </c>
    </row>
    <row r="3206" spans="2:4" x14ac:dyDescent="0.25">
      <c r="C3206" t="s">
        <v>559</v>
      </c>
    </row>
    <row r="3207" spans="2:4" x14ac:dyDescent="0.25">
      <c r="B3207" t="s">
        <v>559</v>
      </c>
    </row>
    <row r="3208" spans="2:4" x14ac:dyDescent="0.25">
      <c r="B3208" t="s">
        <v>830</v>
      </c>
    </row>
    <row r="3209" spans="2:4" x14ac:dyDescent="0.25">
      <c r="B3209" t="s">
        <v>558</v>
      </c>
    </row>
    <row r="3210" spans="2:4" x14ac:dyDescent="0.25">
      <c r="C3210" t="s">
        <v>1857</v>
      </c>
    </row>
    <row r="3211" spans="2:4" x14ac:dyDescent="0.25">
      <c r="C3211" t="s">
        <v>1858</v>
      </c>
    </row>
    <row r="3212" spans="2:4" x14ac:dyDescent="0.25">
      <c r="C3212" t="s">
        <v>1859</v>
      </c>
    </row>
    <row r="3213" spans="2:4" x14ac:dyDescent="0.25">
      <c r="C3213" t="s">
        <v>1825</v>
      </c>
    </row>
    <row r="3214" spans="2:4" x14ac:dyDescent="0.25">
      <c r="C3214" t="s">
        <v>832</v>
      </c>
    </row>
    <row r="3215" spans="2:4" x14ac:dyDescent="0.25">
      <c r="C3215" t="s">
        <v>1860</v>
      </c>
    </row>
    <row r="3216" spans="2:4" x14ac:dyDescent="0.25">
      <c r="C3216" t="s">
        <v>833</v>
      </c>
    </row>
    <row r="3217" spans="2:4" x14ac:dyDescent="0.25">
      <c r="C3217" t="s">
        <v>1701</v>
      </c>
    </row>
    <row r="3218" spans="2:4" x14ac:dyDescent="0.25">
      <c r="C3218" t="s">
        <v>2228</v>
      </c>
    </row>
    <row r="3219" spans="2:4" x14ac:dyDescent="0.25">
      <c r="C3219" t="s">
        <v>835</v>
      </c>
    </row>
    <row r="3220" spans="2:4" x14ac:dyDescent="0.25">
      <c r="C3220" t="s">
        <v>823</v>
      </c>
    </row>
    <row r="3221" spans="2:4" x14ac:dyDescent="0.25">
      <c r="C3221" t="s">
        <v>558</v>
      </c>
    </row>
    <row r="3222" spans="2:4" x14ac:dyDescent="0.25">
      <c r="D3222" t="s">
        <v>1861</v>
      </c>
    </row>
    <row r="3223" spans="2:4" x14ac:dyDescent="0.25">
      <c r="D3223" t="s">
        <v>2073</v>
      </c>
    </row>
    <row r="3224" spans="2:4" x14ac:dyDescent="0.25">
      <c r="D3224" t="s">
        <v>2072</v>
      </c>
    </row>
    <row r="3225" spans="2:4" x14ac:dyDescent="0.25">
      <c r="C3225" t="s">
        <v>559</v>
      </c>
    </row>
    <row r="3226" spans="2:4" x14ac:dyDescent="0.25">
      <c r="B3226" t="s">
        <v>559</v>
      </c>
    </row>
    <row r="3227" spans="2:4" x14ac:dyDescent="0.25">
      <c r="B3227" t="s">
        <v>830</v>
      </c>
    </row>
    <row r="3228" spans="2:4" x14ac:dyDescent="0.25">
      <c r="B3228" t="s">
        <v>558</v>
      </c>
    </row>
    <row r="3229" spans="2:4" x14ac:dyDescent="0.25">
      <c r="C3229" t="s">
        <v>1905</v>
      </c>
    </row>
    <row r="3230" spans="2:4" x14ac:dyDescent="0.25">
      <c r="C3230" t="s">
        <v>1906</v>
      </c>
    </row>
    <row r="3231" spans="2:4" x14ac:dyDescent="0.25">
      <c r="C3231" t="s">
        <v>1907</v>
      </c>
    </row>
    <row r="3232" spans="2:4" x14ac:dyDescent="0.25">
      <c r="C3232" t="s">
        <v>1908</v>
      </c>
    </row>
    <row r="3233" spans="2:4" x14ac:dyDescent="0.25">
      <c r="C3233" t="s">
        <v>832</v>
      </c>
    </row>
    <row r="3234" spans="2:4" x14ac:dyDescent="0.25">
      <c r="C3234" t="s">
        <v>1909</v>
      </c>
    </row>
    <row r="3235" spans="2:4" x14ac:dyDescent="0.25">
      <c r="C3235" t="s">
        <v>833</v>
      </c>
    </row>
    <row r="3236" spans="2:4" x14ac:dyDescent="0.25">
      <c r="C3236" t="s">
        <v>1701</v>
      </c>
    </row>
    <row r="3237" spans="2:4" x14ac:dyDescent="0.25">
      <c r="C3237" t="s">
        <v>2241</v>
      </c>
    </row>
    <row r="3238" spans="2:4" x14ac:dyDescent="0.25">
      <c r="C3238" t="s">
        <v>835</v>
      </c>
    </row>
    <row r="3239" spans="2:4" x14ac:dyDescent="0.25">
      <c r="C3239" t="s">
        <v>823</v>
      </c>
    </row>
    <row r="3240" spans="2:4" x14ac:dyDescent="0.25">
      <c r="C3240" t="s">
        <v>558</v>
      </c>
    </row>
    <row r="3241" spans="2:4" x14ac:dyDescent="0.25">
      <c r="D3241" t="s">
        <v>1910</v>
      </c>
    </row>
    <row r="3242" spans="2:4" x14ac:dyDescent="0.25">
      <c r="D3242" t="s">
        <v>2073</v>
      </c>
    </row>
    <row r="3243" spans="2:4" x14ac:dyDescent="0.25">
      <c r="D3243" t="s">
        <v>2072</v>
      </c>
    </row>
    <row r="3244" spans="2:4" x14ac:dyDescent="0.25">
      <c r="C3244" t="s">
        <v>559</v>
      </c>
    </row>
    <row r="3245" spans="2:4" x14ac:dyDescent="0.25">
      <c r="B3245" t="s">
        <v>559</v>
      </c>
    </row>
    <row r="3246" spans="2:4" x14ac:dyDescent="0.25">
      <c r="B3246" t="s">
        <v>830</v>
      </c>
    </row>
    <row r="3247" spans="2:4" x14ac:dyDescent="0.25">
      <c r="B3247" t="s">
        <v>558</v>
      </c>
    </row>
    <row r="3248" spans="2:4" x14ac:dyDescent="0.25">
      <c r="C3248" t="s">
        <v>2633</v>
      </c>
    </row>
    <row r="3249" spans="2:4" x14ac:dyDescent="0.25">
      <c r="C3249" t="s">
        <v>2811</v>
      </c>
    </row>
    <row r="3250" spans="2:4" x14ac:dyDescent="0.25">
      <c r="C3250" t="s">
        <v>2634</v>
      </c>
    </row>
    <row r="3251" spans="2:4" x14ac:dyDescent="0.25">
      <c r="C3251" t="s">
        <v>2406</v>
      </c>
    </row>
    <row r="3252" spans="2:4" x14ac:dyDescent="0.25">
      <c r="C3252" t="s">
        <v>832</v>
      </c>
    </row>
    <row r="3253" spans="2:4" x14ac:dyDescent="0.25">
      <c r="C3253" t="s">
        <v>2635</v>
      </c>
    </row>
    <row r="3254" spans="2:4" x14ac:dyDescent="0.25">
      <c r="C3254" t="s">
        <v>833</v>
      </c>
    </row>
    <row r="3255" spans="2:4" x14ac:dyDescent="0.25">
      <c r="C3255" t="s">
        <v>2636</v>
      </c>
    </row>
    <row r="3256" spans="2:4" x14ac:dyDescent="0.25">
      <c r="C3256" t="s">
        <v>2637</v>
      </c>
    </row>
    <row r="3257" spans="2:4" x14ac:dyDescent="0.25">
      <c r="C3257" t="s">
        <v>835</v>
      </c>
    </row>
    <row r="3258" spans="2:4" x14ac:dyDescent="0.25">
      <c r="C3258" t="s">
        <v>823</v>
      </c>
    </row>
    <row r="3259" spans="2:4" x14ac:dyDescent="0.25">
      <c r="C3259" t="s">
        <v>558</v>
      </c>
    </row>
    <row r="3260" spans="2:4" x14ac:dyDescent="0.25">
      <c r="D3260" t="s">
        <v>1588</v>
      </c>
    </row>
    <row r="3261" spans="2:4" x14ac:dyDescent="0.25">
      <c r="D3261" t="s">
        <v>2073</v>
      </c>
    </row>
    <row r="3262" spans="2:4" x14ac:dyDescent="0.25">
      <c r="D3262" t="s">
        <v>2072</v>
      </c>
    </row>
    <row r="3263" spans="2:4" x14ac:dyDescent="0.25">
      <c r="C3263" t="s">
        <v>559</v>
      </c>
    </row>
    <row r="3264" spans="2:4" x14ac:dyDescent="0.25">
      <c r="B3264" t="s">
        <v>559</v>
      </c>
    </row>
    <row r="3265" spans="2:4" x14ac:dyDescent="0.25">
      <c r="B3265" t="s">
        <v>830</v>
      </c>
    </row>
    <row r="3266" spans="2:4" x14ac:dyDescent="0.25">
      <c r="B3266" t="s">
        <v>558</v>
      </c>
    </row>
    <row r="3267" spans="2:4" x14ac:dyDescent="0.25">
      <c r="C3267" t="s">
        <v>2040</v>
      </c>
    </row>
    <row r="3268" spans="2:4" x14ac:dyDescent="0.25">
      <c r="C3268" t="s">
        <v>2041</v>
      </c>
    </row>
    <row r="3269" spans="2:4" x14ac:dyDescent="0.25">
      <c r="C3269" t="s">
        <v>2042</v>
      </c>
    </row>
    <row r="3270" spans="2:4" x14ac:dyDescent="0.25">
      <c r="C3270" t="s">
        <v>836</v>
      </c>
    </row>
    <row r="3271" spans="2:4" x14ac:dyDescent="0.25">
      <c r="C3271" t="s">
        <v>832</v>
      </c>
    </row>
    <row r="3272" spans="2:4" x14ac:dyDescent="0.25">
      <c r="C3272" t="s">
        <v>2043</v>
      </c>
    </row>
    <row r="3273" spans="2:4" x14ac:dyDescent="0.25">
      <c r="C3273" t="s">
        <v>833</v>
      </c>
    </row>
    <row r="3274" spans="2:4" x14ac:dyDescent="0.25">
      <c r="C3274" t="s">
        <v>1701</v>
      </c>
    </row>
    <row r="3275" spans="2:4" x14ac:dyDescent="0.25">
      <c r="C3275" t="s">
        <v>2200</v>
      </c>
    </row>
    <row r="3276" spans="2:4" x14ac:dyDescent="0.25">
      <c r="C3276" t="s">
        <v>835</v>
      </c>
    </row>
    <row r="3277" spans="2:4" x14ac:dyDescent="0.25">
      <c r="C3277" t="s">
        <v>823</v>
      </c>
    </row>
    <row r="3278" spans="2:4" x14ac:dyDescent="0.25">
      <c r="C3278" t="s">
        <v>558</v>
      </c>
    </row>
    <row r="3279" spans="2:4" x14ac:dyDescent="0.25">
      <c r="D3279" t="s">
        <v>1363</v>
      </c>
    </row>
    <row r="3280" spans="2:4" x14ac:dyDescent="0.25">
      <c r="D3280" t="s">
        <v>2071</v>
      </c>
    </row>
    <row r="3281" spans="2:4" x14ac:dyDescent="0.25">
      <c r="D3281" t="s">
        <v>2072</v>
      </c>
    </row>
    <row r="3282" spans="2:4" x14ac:dyDescent="0.25">
      <c r="C3282" t="s">
        <v>559</v>
      </c>
    </row>
    <row r="3283" spans="2:4" x14ac:dyDescent="0.25">
      <c r="B3283" t="s">
        <v>559</v>
      </c>
    </row>
    <row r="3284" spans="2:4" x14ac:dyDescent="0.25">
      <c r="B3284" t="s">
        <v>830</v>
      </c>
    </row>
    <row r="3285" spans="2:4" x14ac:dyDescent="0.25">
      <c r="B3285" t="s">
        <v>558</v>
      </c>
    </row>
    <row r="3286" spans="2:4" x14ac:dyDescent="0.25">
      <c r="C3286" t="s">
        <v>1798</v>
      </c>
    </row>
    <row r="3287" spans="2:4" x14ac:dyDescent="0.25">
      <c r="C3287" t="s">
        <v>1799</v>
      </c>
    </row>
    <row r="3288" spans="2:4" x14ac:dyDescent="0.25">
      <c r="C3288" t="s">
        <v>1800</v>
      </c>
    </row>
    <row r="3289" spans="2:4" x14ac:dyDescent="0.25">
      <c r="C3289" t="s">
        <v>1699</v>
      </c>
    </row>
    <row r="3290" spans="2:4" x14ac:dyDescent="0.25">
      <c r="C3290" t="s">
        <v>832</v>
      </c>
    </row>
    <row r="3291" spans="2:4" x14ac:dyDescent="0.25">
      <c r="C3291" t="s">
        <v>1801</v>
      </c>
    </row>
    <row r="3292" spans="2:4" x14ac:dyDescent="0.25">
      <c r="C3292" t="s">
        <v>833</v>
      </c>
    </row>
    <row r="3293" spans="2:4" x14ac:dyDescent="0.25">
      <c r="C3293" t="s">
        <v>1701</v>
      </c>
    </row>
    <row r="3294" spans="2:4" x14ac:dyDescent="0.25">
      <c r="C3294" t="s">
        <v>2201</v>
      </c>
    </row>
    <row r="3295" spans="2:4" x14ac:dyDescent="0.25">
      <c r="C3295" t="s">
        <v>835</v>
      </c>
    </row>
    <row r="3296" spans="2:4" x14ac:dyDescent="0.25">
      <c r="C3296" t="s">
        <v>823</v>
      </c>
    </row>
    <row r="3297" spans="2:8" x14ac:dyDescent="0.25">
      <c r="C3297" t="s">
        <v>558</v>
      </c>
    </row>
    <row r="3298" spans="2:8" x14ac:dyDescent="0.25">
      <c r="D3298" t="s">
        <v>1802</v>
      </c>
    </row>
    <row r="3299" spans="2:8" x14ac:dyDescent="0.25">
      <c r="D3299" t="s">
        <v>2073</v>
      </c>
    </row>
    <row r="3300" spans="2:8" x14ac:dyDescent="0.25">
      <c r="D3300" t="s">
        <v>2072</v>
      </c>
    </row>
    <row r="3301" spans="2:8" x14ac:dyDescent="0.25">
      <c r="C3301" t="s">
        <v>559</v>
      </c>
    </row>
    <row r="3302" spans="2:8" x14ac:dyDescent="0.25">
      <c r="B3302" t="s">
        <v>559</v>
      </c>
    </row>
    <row r="3303" spans="2:8" x14ac:dyDescent="0.25">
      <c r="B3303" t="s">
        <v>830</v>
      </c>
    </row>
    <row r="3304" spans="2:8" x14ac:dyDescent="0.25">
      <c r="B3304" t="s">
        <v>558</v>
      </c>
      <c r="H3304" s="20"/>
    </row>
    <row r="3305" spans="2:8" x14ac:dyDescent="0.25">
      <c r="C3305" t="s">
        <v>1790</v>
      </c>
    </row>
    <row r="3306" spans="2:8" x14ac:dyDescent="0.25">
      <c r="C3306" t="s">
        <v>1791</v>
      </c>
    </row>
    <row r="3307" spans="2:8" x14ac:dyDescent="0.25">
      <c r="C3307" t="s">
        <v>1792</v>
      </c>
    </row>
    <row r="3308" spans="2:8" x14ac:dyDescent="0.25">
      <c r="C3308" t="s">
        <v>1699</v>
      </c>
    </row>
    <row r="3309" spans="2:8" x14ac:dyDescent="0.25">
      <c r="C3309" t="s">
        <v>832</v>
      </c>
    </row>
    <row r="3310" spans="2:8" x14ac:dyDescent="0.25">
      <c r="C3310" t="s">
        <v>1793</v>
      </c>
    </row>
    <row r="3311" spans="2:8" x14ac:dyDescent="0.25">
      <c r="C3311" t="s">
        <v>833</v>
      </c>
    </row>
    <row r="3312" spans="2:8" x14ac:dyDescent="0.25">
      <c r="C3312" t="s">
        <v>1701</v>
      </c>
    </row>
    <row r="3313" spans="2:4" x14ac:dyDescent="0.25">
      <c r="C3313" t="s">
        <v>2202</v>
      </c>
    </row>
    <row r="3314" spans="2:4" x14ac:dyDescent="0.25">
      <c r="C3314" t="s">
        <v>835</v>
      </c>
    </row>
    <row r="3315" spans="2:4" x14ac:dyDescent="0.25">
      <c r="C3315" t="s">
        <v>823</v>
      </c>
    </row>
    <row r="3316" spans="2:4" x14ac:dyDescent="0.25">
      <c r="C3316" t="s">
        <v>558</v>
      </c>
    </row>
    <row r="3317" spans="2:4" x14ac:dyDescent="0.25">
      <c r="D3317" t="s">
        <v>1363</v>
      </c>
    </row>
    <row r="3318" spans="2:4" x14ac:dyDescent="0.25">
      <c r="D3318" t="s">
        <v>2073</v>
      </c>
    </row>
    <row r="3319" spans="2:4" x14ac:dyDescent="0.25">
      <c r="D3319" t="s">
        <v>2072</v>
      </c>
    </row>
    <row r="3320" spans="2:4" x14ac:dyDescent="0.25">
      <c r="C3320" t="s">
        <v>559</v>
      </c>
    </row>
    <row r="3321" spans="2:4" x14ac:dyDescent="0.25">
      <c r="B3321" t="s">
        <v>559</v>
      </c>
    </row>
    <row r="3322" spans="2:4" x14ac:dyDescent="0.25">
      <c r="B3322" t="s">
        <v>830</v>
      </c>
    </row>
    <row r="3323" spans="2:4" x14ac:dyDescent="0.25">
      <c r="B3323" t="s">
        <v>558</v>
      </c>
    </row>
    <row r="3324" spans="2:4" x14ac:dyDescent="0.25">
      <c r="C3324" t="s">
        <v>1892</v>
      </c>
    </row>
    <row r="3325" spans="2:4" x14ac:dyDescent="0.25">
      <c r="C3325" t="s">
        <v>1893</v>
      </c>
    </row>
    <row r="3326" spans="2:4" x14ac:dyDescent="0.25">
      <c r="C3326" t="s">
        <v>1894</v>
      </c>
    </row>
    <row r="3327" spans="2:4" x14ac:dyDescent="0.25">
      <c r="C3327" t="s">
        <v>1711</v>
      </c>
    </row>
    <row r="3328" spans="2:4" x14ac:dyDescent="0.25">
      <c r="C3328" t="s">
        <v>832</v>
      </c>
    </row>
    <row r="3329" spans="2:4" x14ac:dyDescent="0.25">
      <c r="C3329" t="s">
        <v>1895</v>
      </c>
    </row>
    <row r="3330" spans="2:4" x14ac:dyDescent="0.25">
      <c r="C3330" t="s">
        <v>833</v>
      </c>
    </row>
    <row r="3331" spans="2:4" x14ac:dyDescent="0.25">
      <c r="C3331" t="s">
        <v>1701</v>
      </c>
    </row>
    <row r="3332" spans="2:4" x14ac:dyDescent="0.25">
      <c r="C3332" t="s">
        <v>2203</v>
      </c>
    </row>
    <row r="3333" spans="2:4" x14ac:dyDescent="0.25">
      <c r="C3333" t="s">
        <v>835</v>
      </c>
    </row>
    <row r="3334" spans="2:4" x14ac:dyDescent="0.25">
      <c r="C3334" t="s">
        <v>823</v>
      </c>
    </row>
    <row r="3335" spans="2:4" x14ac:dyDescent="0.25">
      <c r="C3335" t="s">
        <v>558</v>
      </c>
    </row>
    <row r="3336" spans="2:4" x14ac:dyDescent="0.25">
      <c r="D3336" t="s">
        <v>1896</v>
      </c>
    </row>
    <row r="3337" spans="2:4" x14ac:dyDescent="0.25">
      <c r="D3337" t="s">
        <v>2073</v>
      </c>
    </row>
    <row r="3338" spans="2:4" x14ac:dyDescent="0.25">
      <c r="D3338" t="s">
        <v>2072</v>
      </c>
    </row>
    <row r="3339" spans="2:4" x14ac:dyDescent="0.25">
      <c r="C3339" t="s">
        <v>559</v>
      </c>
    </row>
    <row r="3340" spans="2:4" x14ac:dyDescent="0.25">
      <c r="B3340" t="s">
        <v>559</v>
      </c>
    </row>
    <row r="3341" spans="2:4" x14ac:dyDescent="0.25">
      <c r="B3341" t="s">
        <v>830</v>
      </c>
    </row>
    <row r="3342" spans="2:4" x14ac:dyDescent="0.25">
      <c r="B3342" t="s">
        <v>558</v>
      </c>
    </row>
    <row r="3343" spans="2:4" x14ac:dyDescent="0.25">
      <c r="C3343" t="s">
        <v>2044</v>
      </c>
    </row>
    <row r="3344" spans="2:4" x14ac:dyDescent="0.25">
      <c r="C3344" t="s">
        <v>2045</v>
      </c>
    </row>
    <row r="3345" spans="2:4" x14ac:dyDescent="0.25">
      <c r="C3345" t="s">
        <v>2046</v>
      </c>
    </row>
    <row r="3346" spans="2:4" x14ac:dyDescent="0.25">
      <c r="C3346" t="s">
        <v>1890</v>
      </c>
    </row>
    <row r="3347" spans="2:4" x14ac:dyDescent="0.25">
      <c r="C3347" t="s">
        <v>832</v>
      </c>
    </row>
    <row r="3348" spans="2:4" x14ac:dyDescent="0.25">
      <c r="C3348" t="s">
        <v>2047</v>
      </c>
    </row>
    <row r="3349" spans="2:4" x14ac:dyDescent="0.25">
      <c r="C3349" t="s">
        <v>833</v>
      </c>
    </row>
    <row r="3350" spans="2:4" x14ac:dyDescent="0.25">
      <c r="C3350" t="s">
        <v>1701</v>
      </c>
    </row>
    <row r="3351" spans="2:4" x14ac:dyDescent="0.25">
      <c r="C3351" t="s">
        <v>2172</v>
      </c>
    </row>
    <row r="3352" spans="2:4" x14ac:dyDescent="0.25">
      <c r="C3352" t="s">
        <v>835</v>
      </c>
    </row>
    <row r="3353" spans="2:4" x14ac:dyDescent="0.25">
      <c r="C3353" t="s">
        <v>823</v>
      </c>
    </row>
    <row r="3354" spans="2:4" x14ac:dyDescent="0.25">
      <c r="C3354" t="s">
        <v>558</v>
      </c>
    </row>
    <row r="3355" spans="2:4" x14ac:dyDescent="0.25">
      <c r="D3355" t="s">
        <v>2066</v>
      </c>
    </row>
    <row r="3356" spans="2:4" x14ac:dyDescent="0.25">
      <c r="D3356" t="s">
        <v>2073</v>
      </c>
    </row>
    <row r="3357" spans="2:4" x14ac:dyDescent="0.25">
      <c r="D3357" t="s">
        <v>2072</v>
      </c>
    </row>
    <row r="3358" spans="2:4" x14ac:dyDescent="0.25">
      <c r="C3358" t="s">
        <v>559</v>
      </c>
    </row>
    <row r="3359" spans="2:4" x14ac:dyDescent="0.25">
      <c r="B3359" t="s">
        <v>559</v>
      </c>
    </row>
    <row r="3360" spans="2:4" x14ac:dyDescent="0.25">
      <c r="B3360" t="s">
        <v>830</v>
      </c>
    </row>
    <row r="3361" spans="2:4" x14ac:dyDescent="0.25">
      <c r="B3361" t="s">
        <v>558</v>
      </c>
    </row>
    <row r="3362" spans="2:4" x14ac:dyDescent="0.25">
      <c r="C3362" t="s">
        <v>1882</v>
      </c>
    </row>
    <row r="3363" spans="2:4" x14ac:dyDescent="0.25">
      <c r="C3363" t="s">
        <v>1883</v>
      </c>
    </row>
    <row r="3364" spans="2:4" x14ac:dyDescent="0.25">
      <c r="C3364" t="s">
        <v>1884</v>
      </c>
    </row>
    <row r="3365" spans="2:4" x14ac:dyDescent="0.25">
      <c r="C3365" t="s">
        <v>1721</v>
      </c>
    </row>
    <row r="3366" spans="2:4" x14ac:dyDescent="0.25">
      <c r="C3366" t="s">
        <v>832</v>
      </c>
    </row>
    <row r="3367" spans="2:4" x14ac:dyDescent="0.25">
      <c r="C3367" t="s">
        <v>1885</v>
      </c>
    </row>
    <row r="3368" spans="2:4" x14ac:dyDescent="0.25">
      <c r="C3368" t="s">
        <v>833</v>
      </c>
    </row>
    <row r="3369" spans="2:4" x14ac:dyDescent="0.25">
      <c r="C3369" t="s">
        <v>1701</v>
      </c>
    </row>
    <row r="3370" spans="2:4" x14ac:dyDescent="0.25">
      <c r="C3370" t="s">
        <v>2204</v>
      </c>
    </row>
    <row r="3371" spans="2:4" x14ac:dyDescent="0.25">
      <c r="C3371" t="s">
        <v>835</v>
      </c>
    </row>
    <row r="3372" spans="2:4" x14ac:dyDescent="0.25">
      <c r="C3372" t="s">
        <v>823</v>
      </c>
    </row>
    <row r="3373" spans="2:4" x14ac:dyDescent="0.25">
      <c r="C3373" t="s">
        <v>558</v>
      </c>
    </row>
    <row r="3374" spans="2:4" x14ac:dyDescent="0.25">
      <c r="D3374" t="s">
        <v>1886</v>
      </c>
    </row>
    <row r="3375" spans="2:4" x14ac:dyDescent="0.25">
      <c r="D3375" t="s">
        <v>2073</v>
      </c>
    </row>
    <row r="3376" spans="2:4" x14ac:dyDescent="0.25">
      <c r="D3376" t="s">
        <v>2072</v>
      </c>
    </row>
    <row r="3377" spans="2:3" x14ac:dyDescent="0.25">
      <c r="C3377" t="s">
        <v>559</v>
      </c>
    </row>
    <row r="3378" spans="2:3" x14ac:dyDescent="0.25">
      <c r="B3378" t="s">
        <v>559</v>
      </c>
    </row>
    <row r="3379" spans="2:3" x14ac:dyDescent="0.25">
      <c r="B3379" t="s">
        <v>830</v>
      </c>
    </row>
    <row r="3380" spans="2:3" x14ac:dyDescent="0.25">
      <c r="B3380" t="s">
        <v>558</v>
      </c>
    </row>
    <row r="3381" spans="2:3" x14ac:dyDescent="0.25">
      <c r="C3381" t="s">
        <v>2638</v>
      </c>
    </row>
    <row r="3382" spans="2:3" x14ac:dyDescent="0.25">
      <c r="C3382" t="s">
        <v>2639</v>
      </c>
    </row>
    <row r="3383" spans="2:3" x14ac:dyDescent="0.25">
      <c r="C3383" t="s">
        <v>2640</v>
      </c>
    </row>
    <row r="3384" spans="2:3" x14ac:dyDescent="0.25">
      <c r="C3384" t="s">
        <v>1748</v>
      </c>
    </row>
    <row r="3385" spans="2:3" x14ac:dyDescent="0.25">
      <c r="C3385" t="s">
        <v>832</v>
      </c>
    </row>
    <row r="3386" spans="2:3" x14ac:dyDescent="0.25">
      <c r="C3386" t="s">
        <v>2641</v>
      </c>
    </row>
    <row r="3387" spans="2:3" x14ac:dyDescent="0.25">
      <c r="C3387" t="s">
        <v>833</v>
      </c>
    </row>
    <row r="3388" spans="2:3" x14ac:dyDescent="0.25">
      <c r="C3388" t="s">
        <v>2642</v>
      </c>
    </row>
    <row r="3389" spans="2:3" x14ac:dyDescent="0.25">
      <c r="C3389" t="s">
        <v>2643</v>
      </c>
    </row>
    <row r="3390" spans="2:3" x14ac:dyDescent="0.25">
      <c r="C3390" t="s">
        <v>835</v>
      </c>
    </row>
    <row r="3391" spans="2:3" x14ac:dyDescent="0.25">
      <c r="C3391" t="s">
        <v>823</v>
      </c>
    </row>
    <row r="3392" spans="2:3" x14ac:dyDescent="0.25">
      <c r="C3392" t="s">
        <v>558</v>
      </c>
    </row>
    <row r="3393" spans="2:4" x14ac:dyDescent="0.25">
      <c r="D3393" t="s">
        <v>2232</v>
      </c>
    </row>
    <row r="3394" spans="2:4" x14ac:dyDescent="0.25">
      <c r="D3394" t="s">
        <v>2073</v>
      </c>
    </row>
    <row r="3395" spans="2:4" x14ac:dyDescent="0.25">
      <c r="D3395" t="s">
        <v>2072</v>
      </c>
    </row>
    <row r="3396" spans="2:4" x14ac:dyDescent="0.25">
      <c r="C3396" t="s">
        <v>559</v>
      </c>
    </row>
    <row r="3397" spans="2:4" x14ac:dyDescent="0.25">
      <c r="B3397" t="s">
        <v>559</v>
      </c>
    </row>
    <row r="3398" spans="2:4" x14ac:dyDescent="0.25">
      <c r="B3398" t="s">
        <v>830</v>
      </c>
    </row>
    <row r="3399" spans="2:4" x14ac:dyDescent="0.25">
      <c r="B3399" t="s">
        <v>558</v>
      </c>
    </row>
    <row r="3400" spans="2:4" x14ac:dyDescent="0.25">
      <c r="C3400" t="s">
        <v>2644</v>
      </c>
    </row>
    <row r="3401" spans="2:4" x14ac:dyDescent="0.25">
      <c r="C3401" t="s">
        <v>2645</v>
      </c>
    </row>
    <row r="3402" spans="2:4" x14ac:dyDescent="0.25">
      <c r="C3402" t="s">
        <v>2646</v>
      </c>
    </row>
    <row r="3403" spans="2:4" x14ac:dyDescent="0.25">
      <c r="C3403" t="s">
        <v>1753</v>
      </c>
    </row>
    <row r="3404" spans="2:4" x14ac:dyDescent="0.25">
      <c r="C3404" t="s">
        <v>832</v>
      </c>
    </row>
    <row r="3405" spans="2:4" x14ac:dyDescent="0.25">
      <c r="C3405" t="s">
        <v>2647</v>
      </c>
    </row>
    <row r="3406" spans="2:4" x14ac:dyDescent="0.25">
      <c r="C3406" t="s">
        <v>833</v>
      </c>
    </row>
    <row r="3407" spans="2:4" x14ac:dyDescent="0.25">
      <c r="C3407" t="s">
        <v>2648</v>
      </c>
    </row>
    <row r="3408" spans="2:4" x14ac:dyDescent="0.25">
      <c r="C3408" t="s">
        <v>2649</v>
      </c>
    </row>
    <row r="3409" spans="2:4" x14ac:dyDescent="0.25">
      <c r="C3409" t="s">
        <v>835</v>
      </c>
    </row>
    <row r="3410" spans="2:4" x14ac:dyDescent="0.25">
      <c r="C3410" t="s">
        <v>823</v>
      </c>
    </row>
    <row r="3411" spans="2:4" x14ac:dyDescent="0.25">
      <c r="C3411" t="s">
        <v>558</v>
      </c>
    </row>
    <row r="3412" spans="2:4" x14ac:dyDescent="0.25">
      <c r="D3412" t="s">
        <v>1462</v>
      </c>
    </row>
    <row r="3413" spans="2:4" x14ac:dyDescent="0.25">
      <c r="D3413" t="s">
        <v>2073</v>
      </c>
    </row>
    <row r="3414" spans="2:4" x14ac:dyDescent="0.25">
      <c r="D3414" t="s">
        <v>2072</v>
      </c>
    </row>
    <row r="3415" spans="2:4" x14ac:dyDescent="0.25">
      <c r="C3415" t="s">
        <v>559</v>
      </c>
    </row>
    <row r="3416" spans="2:4" x14ac:dyDescent="0.25">
      <c r="B3416" t="s">
        <v>559</v>
      </c>
    </row>
    <row r="3417" spans="2:4" x14ac:dyDescent="0.25">
      <c r="B3417" t="s">
        <v>830</v>
      </c>
    </row>
    <row r="3418" spans="2:4" x14ac:dyDescent="0.25">
      <c r="B3418" t="s">
        <v>558</v>
      </c>
    </row>
    <row r="3419" spans="2:4" x14ac:dyDescent="0.25">
      <c r="C3419" t="s">
        <v>2650</v>
      </c>
    </row>
    <row r="3420" spans="2:4" x14ac:dyDescent="0.25">
      <c r="C3420" t="s">
        <v>2651</v>
      </c>
    </row>
    <row r="3421" spans="2:4" x14ac:dyDescent="0.25">
      <c r="C3421" t="s">
        <v>2652</v>
      </c>
    </row>
    <row r="3422" spans="2:4" x14ac:dyDescent="0.25">
      <c r="C3422" t="s">
        <v>2401</v>
      </c>
    </row>
    <row r="3423" spans="2:4" x14ac:dyDescent="0.25">
      <c r="C3423" t="s">
        <v>832</v>
      </c>
    </row>
    <row r="3424" spans="2:4" x14ac:dyDescent="0.25">
      <c r="C3424" t="s">
        <v>2653</v>
      </c>
    </row>
    <row r="3425" spans="2:4" x14ac:dyDescent="0.25">
      <c r="C3425" t="s">
        <v>833</v>
      </c>
    </row>
    <row r="3426" spans="2:4" x14ac:dyDescent="0.25">
      <c r="C3426" t="s">
        <v>2648</v>
      </c>
    </row>
    <row r="3427" spans="2:4" x14ac:dyDescent="0.25">
      <c r="C3427" t="s">
        <v>2654</v>
      </c>
    </row>
    <row r="3428" spans="2:4" x14ac:dyDescent="0.25">
      <c r="C3428" t="s">
        <v>835</v>
      </c>
    </row>
    <row r="3429" spans="2:4" x14ac:dyDescent="0.25">
      <c r="C3429" t="s">
        <v>823</v>
      </c>
    </row>
    <row r="3430" spans="2:4" x14ac:dyDescent="0.25">
      <c r="C3430" t="s">
        <v>558</v>
      </c>
    </row>
    <row r="3431" spans="2:4" x14ac:dyDescent="0.25">
      <c r="D3431" t="s">
        <v>1584</v>
      </c>
    </row>
    <row r="3432" spans="2:4" x14ac:dyDescent="0.25">
      <c r="D3432" t="s">
        <v>2073</v>
      </c>
    </row>
    <row r="3433" spans="2:4" x14ac:dyDescent="0.25">
      <c r="D3433" t="s">
        <v>2072</v>
      </c>
    </row>
    <row r="3434" spans="2:4" x14ac:dyDescent="0.25">
      <c r="C3434" t="s">
        <v>559</v>
      </c>
    </row>
    <row r="3435" spans="2:4" x14ac:dyDescent="0.25">
      <c r="B3435" t="s">
        <v>559</v>
      </c>
    </row>
    <row r="3436" spans="2:4" x14ac:dyDescent="0.25">
      <c r="B3436" t="s">
        <v>830</v>
      </c>
    </row>
    <row r="3437" spans="2:4" x14ac:dyDescent="0.25">
      <c r="B3437" t="s">
        <v>558</v>
      </c>
    </row>
    <row r="3438" spans="2:4" x14ac:dyDescent="0.25">
      <c r="C3438" t="s">
        <v>1942</v>
      </c>
    </row>
    <row r="3439" spans="2:4" x14ac:dyDescent="0.25">
      <c r="C3439" t="s">
        <v>1943</v>
      </c>
    </row>
    <row r="3440" spans="2:4" x14ac:dyDescent="0.25">
      <c r="C3440" t="s">
        <v>1944</v>
      </c>
    </row>
    <row r="3441" spans="2:4" x14ac:dyDescent="0.25">
      <c r="C3441" t="s">
        <v>837</v>
      </c>
    </row>
    <row r="3442" spans="2:4" x14ac:dyDescent="0.25">
      <c r="C3442" t="s">
        <v>832</v>
      </c>
    </row>
    <row r="3443" spans="2:4" x14ac:dyDescent="0.25">
      <c r="C3443" t="s">
        <v>1945</v>
      </c>
    </row>
    <row r="3444" spans="2:4" x14ac:dyDescent="0.25">
      <c r="C3444" t="s">
        <v>833</v>
      </c>
    </row>
    <row r="3445" spans="2:4" x14ac:dyDescent="0.25">
      <c r="C3445" t="s">
        <v>1701</v>
      </c>
    </row>
    <row r="3446" spans="2:4" x14ac:dyDescent="0.25">
      <c r="C3446" t="s">
        <v>2205</v>
      </c>
    </row>
    <row r="3447" spans="2:4" x14ac:dyDescent="0.25">
      <c r="C3447" t="s">
        <v>835</v>
      </c>
    </row>
    <row r="3448" spans="2:4" x14ac:dyDescent="0.25">
      <c r="C3448" t="s">
        <v>823</v>
      </c>
    </row>
    <row r="3449" spans="2:4" x14ac:dyDescent="0.25">
      <c r="C3449" t="s">
        <v>558</v>
      </c>
    </row>
    <row r="3450" spans="2:4" x14ac:dyDescent="0.25">
      <c r="D3450" t="s">
        <v>1946</v>
      </c>
    </row>
    <row r="3451" spans="2:4" x14ac:dyDescent="0.25">
      <c r="D3451" t="s">
        <v>2073</v>
      </c>
    </row>
    <row r="3452" spans="2:4" x14ac:dyDescent="0.25">
      <c r="D3452" t="s">
        <v>2072</v>
      </c>
    </row>
    <row r="3453" spans="2:4" x14ac:dyDescent="0.25">
      <c r="C3453" t="s">
        <v>559</v>
      </c>
    </row>
    <row r="3454" spans="2:4" x14ac:dyDescent="0.25">
      <c r="B3454" t="s">
        <v>559</v>
      </c>
    </row>
    <row r="3455" spans="2:4" x14ac:dyDescent="0.25">
      <c r="B3455" t="s">
        <v>830</v>
      </c>
    </row>
    <row r="3456" spans="2:4" x14ac:dyDescent="0.25">
      <c r="B3456" t="s">
        <v>558</v>
      </c>
    </row>
    <row r="3457" spans="3:4" x14ac:dyDescent="0.25">
      <c r="C3457" t="s">
        <v>2655</v>
      </c>
    </row>
    <row r="3458" spans="3:4" x14ac:dyDescent="0.25">
      <c r="C3458" t="s">
        <v>2656</v>
      </c>
    </row>
    <row r="3459" spans="3:4" x14ac:dyDescent="0.25">
      <c r="C3459" t="s">
        <v>2657</v>
      </c>
    </row>
    <row r="3460" spans="3:4" x14ac:dyDescent="0.25">
      <c r="C3460" t="s">
        <v>1908</v>
      </c>
    </row>
    <row r="3461" spans="3:4" x14ac:dyDescent="0.25">
      <c r="C3461" t="s">
        <v>832</v>
      </c>
    </row>
    <row r="3462" spans="3:4" x14ac:dyDescent="0.25">
      <c r="C3462" t="s">
        <v>2658</v>
      </c>
    </row>
    <row r="3463" spans="3:4" x14ac:dyDescent="0.25">
      <c r="C3463" t="s">
        <v>833</v>
      </c>
    </row>
    <row r="3464" spans="3:4" x14ac:dyDescent="0.25">
      <c r="C3464" t="s">
        <v>2659</v>
      </c>
    </row>
    <row r="3465" spans="3:4" x14ac:dyDescent="0.25">
      <c r="C3465" t="s">
        <v>2660</v>
      </c>
    </row>
    <row r="3466" spans="3:4" x14ac:dyDescent="0.25">
      <c r="C3466" t="s">
        <v>835</v>
      </c>
    </row>
    <row r="3467" spans="3:4" x14ac:dyDescent="0.25">
      <c r="C3467" t="s">
        <v>823</v>
      </c>
    </row>
    <row r="3468" spans="3:4" x14ac:dyDescent="0.25">
      <c r="C3468" t="s">
        <v>558</v>
      </c>
    </row>
    <row r="3469" spans="3:4" x14ac:dyDescent="0.25">
      <c r="D3469" t="s">
        <v>2232</v>
      </c>
    </row>
    <row r="3470" spans="3:4" x14ac:dyDescent="0.25">
      <c r="D3470" t="s">
        <v>2073</v>
      </c>
    </row>
    <row r="3471" spans="3:4" x14ac:dyDescent="0.25">
      <c r="D3471" t="s">
        <v>2072</v>
      </c>
    </row>
    <row r="3472" spans="3:4" x14ac:dyDescent="0.25">
      <c r="C3472" t="s">
        <v>559</v>
      </c>
    </row>
    <row r="3473" spans="2:4" x14ac:dyDescent="0.25">
      <c r="B3473" t="s">
        <v>559</v>
      </c>
    </row>
    <row r="3474" spans="2:4" x14ac:dyDescent="0.25">
      <c r="B3474" t="s">
        <v>830</v>
      </c>
    </row>
    <row r="3475" spans="2:4" x14ac:dyDescent="0.25">
      <c r="B3475" t="s">
        <v>558</v>
      </c>
    </row>
    <row r="3476" spans="2:4" x14ac:dyDescent="0.25">
      <c r="C3476" t="s">
        <v>2661</v>
      </c>
    </row>
    <row r="3477" spans="2:4" x14ac:dyDescent="0.25">
      <c r="C3477" t="s">
        <v>2834</v>
      </c>
    </row>
    <row r="3478" spans="2:4" x14ac:dyDescent="0.25">
      <c r="C3478" t="s">
        <v>2662</v>
      </c>
    </row>
    <row r="3479" spans="2:4" x14ac:dyDescent="0.25">
      <c r="C3479" t="s">
        <v>2394</v>
      </c>
    </row>
    <row r="3480" spans="2:4" x14ac:dyDescent="0.25">
      <c r="C3480" t="s">
        <v>832</v>
      </c>
    </row>
    <row r="3481" spans="2:4" x14ac:dyDescent="0.25">
      <c r="C3481" t="s">
        <v>2663</v>
      </c>
    </row>
    <row r="3482" spans="2:4" x14ac:dyDescent="0.25">
      <c r="C3482" t="s">
        <v>833</v>
      </c>
    </row>
    <row r="3483" spans="2:4" x14ac:dyDescent="0.25">
      <c r="C3483" t="s">
        <v>2659</v>
      </c>
    </row>
    <row r="3484" spans="2:4" x14ac:dyDescent="0.25">
      <c r="C3484" t="s">
        <v>2664</v>
      </c>
    </row>
    <row r="3485" spans="2:4" x14ac:dyDescent="0.25">
      <c r="C3485" t="s">
        <v>835</v>
      </c>
    </row>
    <row r="3486" spans="2:4" x14ac:dyDescent="0.25">
      <c r="C3486" t="s">
        <v>823</v>
      </c>
    </row>
    <row r="3487" spans="2:4" x14ac:dyDescent="0.25">
      <c r="C3487" t="s">
        <v>558</v>
      </c>
    </row>
    <row r="3488" spans="2:4" x14ac:dyDescent="0.25">
      <c r="D3488" t="s">
        <v>2237</v>
      </c>
    </row>
    <row r="3489" spans="2:4" x14ac:dyDescent="0.25">
      <c r="D3489" t="s">
        <v>2073</v>
      </c>
    </row>
    <row r="3490" spans="2:4" x14ac:dyDescent="0.25">
      <c r="D3490" t="s">
        <v>2072</v>
      </c>
    </row>
    <row r="3491" spans="2:4" x14ac:dyDescent="0.25">
      <c r="C3491" t="s">
        <v>559</v>
      </c>
    </row>
    <row r="3492" spans="2:4" x14ac:dyDescent="0.25">
      <c r="B3492" t="s">
        <v>559</v>
      </c>
    </row>
    <row r="3493" spans="2:4" x14ac:dyDescent="0.25">
      <c r="B3493" t="s">
        <v>830</v>
      </c>
    </row>
    <row r="3494" spans="2:4" x14ac:dyDescent="0.25">
      <c r="B3494" t="s">
        <v>558</v>
      </c>
    </row>
    <row r="3495" spans="2:4" x14ac:dyDescent="0.25">
      <c r="C3495" t="s">
        <v>1718</v>
      </c>
    </row>
    <row r="3496" spans="2:4" x14ac:dyDescent="0.25">
      <c r="C3496" t="s">
        <v>1719</v>
      </c>
    </row>
    <row r="3497" spans="2:4" x14ac:dyDescent="0.25">
      <c r="C3497" t="s">
        <v>1720</v>
      </c>
    </row>
    <row r="3498" spans="2:4" x14ac:dyDescent="0.25">
      <c r="C3498" t="s">
        <v>1721</v>
      </c>
    </row>
    <row r="3499" spans="2:4" x14ac:dyDescent="0.25">
      <c r="C3499" t="s">
        <v>832</v>
      </c>
    </row>
    <row r="3500" spans="2:4" x14ac:dyDescent="0.25">
      <c r="C3500" t="s">
        <v>1722</v>
      </c>
    </row>
    <row r="3501" spans="2:4" x14ac:dyDescent="0.25">
      <c r="C3501" t="s">
        <v>833</v>
      </c>
    </row>
    <row r="3502" spans="2:4" x14ac:dyDescent="0.25">
      <c r="C3502" t="s">
        <v>1701</v>
      </c>
    </row>
    <row r="3503" spans="2:4" x14ac:dyDescent="0.25">
      <c r="C3503" t="s">
        <v>2173</v>
      </c>
    </row>
    <row r="3504" spans="2:4" x14ac:dyDescent="0.25">
      <c r="C3504" t="s">
        <v>835</v>
      </c>
    </row>
    <row r="3505" spans="2:4" x14ac:dyDescent="0.25">
      <c r="C3505" t="s">
        <v>823</v>
      </c>
    </row>
    <row r="3506" spans="2:4" x14ac:dyDescent="0.25">
      <c r="C3506" t="s">
        <v>558</v>
      </c>
    </row>
    <row r="3507" spans="2:4" x14ac:dyDescent="0.25">
      <c r="D3507" t="s">
        <v>2285</v>
      </c>
    </row>
    <row r="3508" spans="2:4" x14ac:dyDescent="0.25">
      <c r="D3508" t="s">
        <v>2074</v>
      </c>
    </row>
    <row r="3509" spans="2:4" x14ac:dyDescent="0.25">
      <c r="D3509" t="s">
        <v>2236</v>
      </c>
    </row>
    <row r="3510" spans="2:4" x14ac:dyDescent="0.25">
      <c r="C3510" t="s">
        <v>559</v>
      </c>
    </row>
    <row r="3511" spans="2:4" x14ac:dyDescent="0.25">
      <c r="C3511" t="s">
        <v>823</v>
      </c>
    </row>
    <row r="3512" spans="2:4" x14ac:dyDescent="0.25">
      <c r="C3512" t="s">
        <v>558</v>
      </c>
    </row>
    <row r="3513" spans="2:4" x14ac:dyDescent="0.25">
      <c r="D3513" t="s">
        <v>2286</v>
      </c>
    </row>
    <row r="3514" spans="2:4" x14ac:dyDescent="0.25">
      <c r="D3514" t="s">
        <v>2073</v>
      </c>
    </row>
    <row r="3515" spans="2:4" x14ac:dyDescent="0.25">
      <c r="D3515" t="s">
        <v>2072</v>
      </c>
    </row>
    <row r="3516" spans="2:4" x14ac:dyDescent="0.25">
      <c r="C3516" t="s">
        <v>559</v>
      </c>
    </row>
    <row r="3517" spans="2:4" x14ac:dyDescent="0.25">
      <c r="B3517" t="s">
        <v>559</v>
      </c>
    </row>
    <row r="3518" spans="2:4" x14ac:dyDescent="0.25">
      <c r="B3518" t="s">
        <v>830</v>
      </c>
    </row>
    <row r="3519" spans="2:4" x14ac:dyDescent="0.25">
      <c r="B3519" t="s">
        <v>558</v>
      </c>
    </row>
    <row r="3520" spans="2:4" x14ac:dyDescent="0.25">
      <c r="C3520" t="s">
        <v>2048</v>
      </c>
    </row>
    <row r="3521" spans="2:4" x14ac:dyDescent="0.25">
      <c r="C3521" t="s">
        <v>2049</v>
      </c>
    </row>
    <row r="3522" spans="2:4" x14ac:dyDescent="0.25">
      <c r="C3522" t="s">
        <v>2050</v>
      </c>
    </row>
    <row r="3523" spans="2:4" x14ac:dyDescent="0.25">
      <c r="C3523" t="s">
        <v>1908</v>
      </c>
    </row>
    <row r="3524" spans="2:4" x14ac:dyDescent="0.25">
      <c r="C3524" t="s">
        <v>832</v>
      </c>
    </row>
    <row r="3525" spans="2:4" x14ac:dyDescent="0.25">
      <c r="C3525" t="s">
        <v>2051</v>
      </c>
    </row>
    <row r="3526" spans="2:4" x14ac:dyDescent="0.25">
      <c r="C3526" t="s">
        <v>833</v>
      </c>
    </row>
    <row r="3527" spans="2:4" x14ac:dyDescent="0.25">
      <c r="C3527" t="s">
        <v>1701</v>
      </c>
    </row>
    <row r="3528" spans="2:4" x14ac:dyDescent="0.25">
      <c r="C3528" t="s">
        <v>2174</v>
      </c>
    </row>
    <row r="3529" spans="2:4" x14ac:dyDescent="0.25">
      <c r="C3529" t="s">
        <v>835</v>
      </c>
    </row>
    <row r="3530" spans="2:4" x14ac:dyDescent="0.25">
      <c r="C3530" t="s">
        <v>823</v>
      </c>
    </row>
    <row r="3531" spans="2:4" x14ac:dyDescent="0.25">
      <c r="C3531" t="s">
        <v>558</v>
      </c>
    </row>
    <row r="3532" spans="2:4" x14ac:dyDescent="0.25">
      <c r="D3532" t="s">
        <v>2287</v>
      </c>
    </row>
    <row r="3533" spans="2:4" x14ac:dyDescent="0.25">
      <c r="D3533" t="s">
        <v>2074</v>
      </c>
    </row>
    <row r="3534" spans="2:4" x14ac:dyDescent="0.25">
      <c r="D3534" t="s">
        <v>2236</v>
      </c>
    </row>
    <row r="3535" spans="2:4" x14ac:dyDescent="0.25">
      <c r="C3535" t="s">
        <v>559</v>
      </c>
    </row>
    <row r="3536" spans="2:4" x14ac:dyDescent="0.25">
      <c r="B3536" t="s">
        <v>559</v>
      </c>
    </row>
    <row r="3537" spans="2:4" x14ac:dyDescent="0.25">
      <c r="B3537" t="s">
        <v>830</v>
      </c>
    </row>
    <row r="3538" spans="2:4" x14ac:dyDescent="0.25">
      <c r="B3538" t="s">
        <v>558</v>
      </c>
    </row>
    <row r="3539" spans="2:4" x14ac:dyDescent="0.25">
      <c r="C3539" t="s">
        <v>2665</v>
      </c>
    </row>
    <row r="3540" spans="2:4" x14ac:dyDescent="0.25">
      <c r="C3540" t="s">
        <v>2666</v>
      </c>
    </row>
    <row r="3541" spans="2:4" x14ac:dyDescent="0.25">
      <c r="C3541" t="s">
        <v>2667</v>
      </c>
    </row>
    <row r="3542" spans="2:4" x14ac:dyDescent="0.25">
      <c r="C3542" t="s">
        <v>1825</v>
      </c>
    </row>
    <row r="3543" spans="2:4" x14ac:dyDescent="0.25">
      <c r="C3543" t="s">
        <v>832</v>
      </c>
    </row>
    <row r="3544" spans="2:4" x14ac:dyDescent="0.25">
      <c r="C3544" t="s">
        <v>2668</v>
      </c>
    </row>
    <row r="3545" spans="2:4" x14ac:dyDescent="0.25">
      <c r="C3545" t="s">
        <v>833</v>
      </c>
    </row>
    <row r="3546" spans="2:4" x14ac:dyDescent="0.25">
      <c r="C3546" t="s">
        <v>2669</v>
      </c>
    </row>
    <row r="3547" spans="2:4" x14ac:dyDescent="0.25">
      <c r="C3547" t="s">
        <v>2670</v>
      </c>
    </row>
    <row r="3548" spans="2:4" x14ac:dyDescent="0.25">
      <c r="C3548" t="s">
        <v>835</v>
      </c>
    </row>
    <row r="3549" spans="2:4" x14ac:dyDescent="0.25">
      <c r="C3549" t="s">
        <v>823</v>
      </c>
    </row>
    <row r="3550" spans="2:4" x14ac:dyDescent="0.25">
      <c r="C3550" t="s">
        <v>558</v>
      </c>
    </row>
    <row r="3551" spans="2:4" x14ac:dyDescent="0.25">
      <c r="D3551" t="s">
        <v>2265</v>
      </c>
    </row>
    <row r="3552" spans="2:4" x14ac:dyDescent="0.25">
      <c r="D3552" t="s">
        <v>851</v>
      </c>
    </row>
    <row r="3553" spans="2:4" x14ac:dyDescent="0.25">
      <c r="D3553" t="s">
        <v>2236</v>
      </c>
    </row>
    <row r="3554" spans="2:4" x14ac:dyDescent="0.25">
      <c r="C3554" t="s">
        <v>559</v>
      </c>
    </row>
    <row r="3555" spans="2:4" x14ac:dyDescent="0.25">
      <c r="B3555" t="s">
        <v>559</v>
      </c>
    </row>
    <row r="3556" spans="2:4" x14ac:dyDescent="0.25">
      <c r="B3556" t="s">
        <v>830</v>
      </c>
    </row>
    <row r="3557" spans="2:4" x14ac:dyDescent="0.25">
      <c r="B3557" t="s">
        <v>558</v>
      </c>
    </row>
    <row r="3558" spans="2:4" x14ac:dyDescent="0.25">
      <c r="C3558" t="s">
        <v>1767</v>
      </c>
    </row>
    <row r="3559" spans="2:4" x14ac:dyDescent="0.25">
      <c r="C3559" t="s">
        <v>1768</v>
      </c>
    </row>
    <row r="3560" spans="2:4" x14ac:dyDescent="0.25">
      <c r="C3560" t="s">
        <v>1769</v>
      </c>
    </row>
    <row r="3561" spans="2:4" x14ac:dyDescent="0.25">
      <c r="C3561" t="s">
        <v>1770</v>
      </c>
    </row>
    <row r="3562" spans="2:4" x14ac:dyDescent="0.25">
      <c r="C3562" t="s">
        <v>832</v>
      </c>
    </row>
    <row r="3563" spans="2:4" x14ac:dyDescent="0.25">
      <c r="C3563" t="s">
        <v>1771</v>
      </c>
    </row>
    <row r="3564" spans="2:4" x14ac:dyDescent="0.25">
      <c r="C3564" t="s">
        <v>833</v>
      </c>
    </row>
    <row r="3565" spans="2:4" x14ac:dyDescent="0.25">
      <c r="C3565" t="s">
        <v>1701</v>
      </c>
    </row>
    <row r="3566" spans="2:4" x14ac:dyDescent="0.25">
      <c r="C3566" t="s">
        <v>2175</v>
      </c>
    </row>
    <row r="3567" spans="2:4" x14ac:dyDescent="0.25">
      <c r="C3567" t="s">
        <v>835</v>
      </c>
    </row>
    <row r="3568" spans="2:4" x14ac:dyDescent="0.25">
      <c r="C3568" t="s">
        <v>823</v>
      </c>
    </row>
    <row r="3569" spans="2:4" x14ac:dyDescent="0.25">
      <c r="C3569" t="s">
        <v>558</v>
      </c>
    </row>
    <row r="3570" spans="2:4" x14ac:dyDescent="0.25">
      <c r="D3570" t="s">
        <v>2288</v>
      </c>
    </row>
    <row r="3571" spans="2:4" x14ac:dyDescent="0.25">
      <c r="D3571" t="s">
        <v>2074</v>
      </c>
    </row>
    <row r="3572" spans="2:4" x14ac:dyDescent="0.25">
      <c r="D3572" t="s">
        <v>2236</v>
      </c>
    </row>
    <row r="3573" spans="2:4" x14ac:dyDescent="0.25">
      <c r="C3573" t="s">
        <v>559</v>
      </c>
    </row>
    <row r="3574" spans="2:4" x14ac:dyDescent="0.25">
      <c r="B3574" t="s">
        <v>559</v>
      </c>
    </row>
    <row r="3575" spans="2:4" x14ac:dyDescent="0.25">
      <c r="B3575" t="s">
        <v>830</v>
      </c>
    </row>
    <row r="3576" spans="2:4" x14ac:dyDescent="0.25">
      <c r="B3576" t="s">
        <v>558</v>
      </c>
    </row>
    <row r="3577" spans="2:4" x14ac:dyDescent="0.25">
      <c r="C3577" t="s">
        <v>2671</v>
      </c>
    </row>
    <row r="3578" spans="2:4" x14ac:dyDescent="0.25">
      <c r="C3578" t="s">
        <v>2672</v>
      </c>
    </row>
    <row r="3579" spans="2:4" x14ac:dyDescent="0.25">
      <c r="C3579" t="s">
        <v>2673</v>
      </c>
    </row>
    <row r="3580" spans="2:4" x14ac:dyDescent="0.25">
      <c r="C3580" t="s">
        <v>1825</v>
      </c>
    </row>
    <row r="3581" spans="2:4" x14ac:dyDescent="0.25">
      <c r="C3581" t="s">
        <v>832</v>
      </c>
    </row>
    <row r="3582" spans="2:4" x14ac:dyDescent="0.25">
      <c r="C3582" t="s">
        <v>2674</v>
      </c>
    </row>
    <row r="3583" spans="2:4" x14ac:dyDescent="0.25">
      <c r="C3583" t="s">
        <v>833</v>
      </c>
    </row>
    <row r="3584" spans="2:4" x14ac:dyDescent="0.25">
      <c r="C3584" t="s">
        <v>2675</v>
      </c>
    </row>
    <row r="3585" spans="2:4" x14ac:dyDescent="0.25">
      <c r="C3585" t="s">
        <v>2676</v>
      </c>
    </row>
    <row r="3586" spans="2:4" x14ac:dyDescent="0.25">
      <c r="C3586" t="s">
        <v>835</v>
      </c>
    </row>
    <row r="3587" spans="2:4" x14ac:dyDescent="0.25">
      <c r="C3587" t="s">
        <v>823</v>
      </c>
    </row>
    <row r="3588" spans="2:4" x14ac:dyDescent="0.25">
      <c r="C3588" t="s">
        <v>558</v>
      </c>
    </row>
    <row r="3589" spans="2:4" x14ac:dyDescent="0.25">
      <c r="D3589" t="s">
        <v>2270</v>
      </c>
    </row>
    <row r="3590" spans="2:4" x14ac:dyDescent="0.25">
      <c r="D3590" t="s">
        <v>2074</v>
      </c>
    </row>
    <row r="3591" spans="2:4" x14ac:dyDescent="0.25">
      <c r="D3591" t="s">
        <v>2236</v>
      </c>
    </row>
    <row r="3592" spans="2:4" x14ac:dyDescent="0.25">
      <c r="C3592" t="s">
        <v>559</v>
      </c>
    </row>
    <row r="3593" spans="2:4" x14ac:dyDescent="0.25">
      <c r="B3593" t="s">
        <v>559</v>
      </c>
    </row>
    <row r="3594" spans="2:4" x14ac:dyDescent="0.25">
      <c r="B3594" t="s">
        <v>830</v>
      </c>
    </row>
    <row r="3595" spans="2:4" x14ac:dyDescent="0.25">
      <c r="B3595" t="s">
        <v>558</v>
      </c>
    </row>
    <row r="3596" spans="2:4" x14ac:dyDescent="0.25">
      <c r="C3596" t="s">
        <v>2677</v>
      </c>
    </row>
    <row r="3597" spans="2:4" x14ac:dyDescent="0.25">
      <c r="C3597" t="s">
        <v>2818</v>
      </c>
    </row>
    <row r="3598" spans="2:4" x14ac:dyDescent="0.25">
      <c r="C3598" t="s">
        <v>2678</v>
      </c>
    </row>
    <row r="3599" spans="2:4" x14ac:dyDescent="0.25">
      <c r="C3599" t="s">
        <v>2394</v>
      </c>
    </row>
    <row r="3600" spans="2:4" x14ac:dyDescent="0.25">
      <c r="C3600" t="s">
        <v>832</v>
      </c>
    </row>
    <row r="3601" spans="3:4" x14ac:dyDescent="0.25">
      <c r="C3601" t="s">
        <v>2679</v>
      </c>
    </row>
    <row r="3602" spans="3:4" x14ac:dyDescent="0.25">
      <c r="C3602" t="s">
        <v>833</v>
      </c>
    </row>
    <row r="3603" spans="3:4" x14ac:dyDescent="0.25">
      <c r="C3603" t="s">
        <v>2680</v>
      </c>
    </row>
    <row r="3604" spans="3:4" x14ac:dyDescent="0.25">
      <c r="C3604" t="s">
        <v>2681</v>
      </c>
    </row>
    <row r="3605" spans="3:4" x14ac:dyDescent="0.25">
      <c r="C3605" t="s">
        <v>835</v>
      </c>
    </row>
    <row r="3606" spans="3:4" x14ac:dyDescent="0.25">
      <c r="C3606" t="s">
        <v>823</v>
      </c>
    </row>
    <row r="3607" spans="3:4" x14ac:dyDescent="0.25">
      <c r="C3607" t="s">
        <v>558</v>
      </c>
    </row>
    <row r="3608" spans="3:4" x14ac:dyDescent="0.25">
      <c r="D3608" t="s">
        <v>2271</v>
      </c>
    </row>
    <row r="3609" spans="3:4" x14ac:dyDescent="0.25">
      <c r="D3609" t="s">
        <v>2074</v>
      </c>
    </row>
    <row r="3610" spans="3:4" x14ac:dyDescent="0.25">
      <c r="D3610" t="s">
        <v>2236</v>
      </c>
    </row>
    <row r="3611" spans="3:4" x14ac:dyDescent="0.25">
      <c r="C3611" t="s">
        <v>559</v>
      </c>
    </row>
    <row r="3612" spans="3:4" x14ac:dyDescent="0.25">
      <c r="C3612" t="s">
        <v>823</v>
      </c>
    </row>
    <row r="3613" spans="3:4" x14ac:dyDescent="0.25">
      <c r="C3613" t="s">
        <v>558</v>
      </c>
    </row>
    <row r="3614" spans="3:4" x14ac:dyDescent="0.25">
      <c r="D3614" t="s">
        <v>2272</v>
      </c>
    </row>
    <row r="3615" spans="3:4" x14ac:dyDescent="0.25">
      <c r="D3615" t="s">
        <v>851</v>
      </c>
    </row>
    <row r="3616" spans="3:4" x14ac:dyDescent="0.25">
      <c r="D3616" t="s">
        <v>852</v>
      </c>
    </row>
    <row r="3617" spans="2:3" x14ac:dyDescent="0.25">
      <c r="C3617" t="s">
        <v>559</v>
      </c>
    </row>
    <row r="3618" spans="2:3" x14ac:dyDescent="0.25">
      <c r="B3618" t="s">
        <v>559</v>
      </c>
    </row>
    <row r="3619" spans="2:3" x14ac:dyDescent="0.25">
      <c r="B3619" t="s">
        <v>830</v>
      </c>
    </row>
    <row r="3620" spans="2:3" x14ac:dyDescent="0.25">
      <c r="B3620" t="s">
        <v>558</v>
      </c>
    </row>
    <row r="3621" spans="2:3" x14ac:dyDescent="0.25">
      <c r="C3621" t="s">
        <v>2682</v>
      </c>
    </row>
    <row r="3622" spans="2:3" x14ac:dyDescent="0.25">
      <c r="C3622" t="s">
        <v>2807</v>
      </c>
    </row>
    <row r="3623" spans="2:3" x14ac:dyDescent="0.25">
      <c r="C3623" t="s">
        <v>2683</v>
      </c>
    </row>
    <row r="3624" spans="2:3" x14ac:dyDescent="0.25">
      <c r="C3624" t="s">
        <v>1770</v>
      </c>
    </row>
    <row r="3625" spans="2:3" x14ac:dyDescent="0.25">
      <c r="C3625" t="s">
        <v>832</v>
      </c>
    </row>
    <row r="3626" spans="2:3" x14ac:dyDescent="0.25">
      <c r="C3626" t="s">
        <v>2684</v>
      </c>
    </row>
    <row r="3627" spans="2:3" x14ac:dyDescent="0.25">
      <c r="C3627" t="s">
        <v>833</v>
      </c>
    </row>
    <row r="3628" spans="2:3" x14ac:dyDescent="0.25">
      <c r="C3628" t="s">
        <v>2685</v>
      </c>
    </row>
    <row r="3629" spans="2:3" x14ac:dyDescent="0.25">
      <c r="C3629" t="s">
        <v>2686</v>
      </c>
    </row>
    <row r="3630" spans="2:3" x14ac:dyDescent="0.25">
      <c r="C3630" t="s">
        <v>835</v>
      </c>
    </row>
    <row r="3631" spans="2:3" x14ac:dyDescent="0.25">
      <c r="C3631" t="s">
        <v>823</v>
      </c>
    </row>
    <row r="3632" spans="2:3" x14ac:dyDescent="0.25">
      <c r="C3632" t="s">
        <v>558</v>
      </c>
    </row>
    <row r="3633" spans="2:4" x14ac:dyDescent="0.25">
      <c r="D3633" t="s">
        <v>2273</v>
      </c>
    </row>
    <row r="3634" spans="2:4" x14ac:dyDescent="0.25">
      <c r="D3634" t="s">
        <v>2074</v>
      </c>
    </row>
    <row r="3635" spans="2:4" x14ac:dyDescent="0.25">
      <c r="D3635" t="s">
        <v>2236</v>
      </c>
    </row>
    <row r="3636" spans="2:4" x14ac:dyDescent="0.25">
      <c r="C3636" t="s">
        <v>559</v>
      </c>
    </row>
    <row r="3637" spans="2:4" x14ac:dyDescent="0.25">
      <c r="B3637" t="s">
        <v>559</v>
      </c>
    </row>
    <row r="3638" spans="2:4" x14ac:dyDescent="0.25">
      <c r="B3638" t="s">
        <v>830</v>
      </c>
    </row>
    <row r="3639" spans="2:4" x14ac:dyDescent="0.25">
      <c r="B3639" t="s">
        <v>558</v>
      </c>
    </row>
    <row r="3640" spans="2:4" x14ac:dyDescent="0.25">
      <c r="C3640" t="s">
        <v>2687</v>
      </c>
    </row>
    <row r="3641" spans="2:4" x14ac:dyDescent="0.25">
      <c r="C3641" t="s">
        <v>2801</v>
      </c>
    </row>
    <row r="3642" spans="2:4" x14ac:dyDescent="0.25">
      <c r="C3642" t="s">
        <v>2688</v>
      </c>
    </row>
    <row r="3643" spans="2:4" x14ac:dyDescent="0.25">
      <c r="C3643" t="s">
        <v>1940</v>
      </c>
    </row>
    <row r="3644" spans="2:4" x14ac:dyDescent="0.25">
      <c r="C3644" t="s">
        <v>832</v>
      </c>
    </row>
    <row r="3645" spans="2:4" x14ac:dyDescent="0.25">
      <c r="C3645" t="s">
        <v>2689</v>
      </c>
    </row>
    <row r="3646" spans="2:4" x14ac:dyDescent="0.25">
      <c r="C3646" t="s">
        <v>833</v>
      </c>
    </row>
    <row r="3647" spans="2:4" x14ac:dyDescent="0.25">
      <c r="C3647" t="s">
        <v>2690</v>
      </c>
    </row>
    <row r="3648" spans="2:4" x14ac:dyDescent="0.25">
      <c r="C3648" t="s">
        <v>2691</v>
      </c>
    </row>
    <row r="3649" spans="2:4" x14ac:dyDescent="0.25">
      <c r="C3649" t="s">
        <v>835</v>
      </c>
    </row>
    <row r="3650" spans="2:4" x14ac:dyDescent="0.25">
      <c r="C3650" t="s">
        <v>823</v>
      </c>
    </row>
    <row r="3651" spans="2:4" x14ac:dyDescent="0.25">
      <c r="C3651" t="s">
        <v>558</v>
      </c>
    </row>
    <row r="3652" spans="2:4" x14ac:dyDescent="0.25">
      <c r="D3652" t="s">
        <v>2274</v>
      </c>
    </row>
    <row r="3653" spans="2:4" x14ac:dyDescent="0.25">
      <c r="D3653" t="s">
        <v>2074</v>
      </c>
    </row>
    <row r="3654" spans="2:4" x14ac:dyDescent="0.25">
      <c r="D3654" t="s">
        <v>2236</v>
      </c>
    </row>
    <row r="3655" spans="2:4" x14ac:dyDescent="0.25">
      <c r="C3655" t="s">
        <v>559</v>
      </c>
    </row>
    <row r="3656" spans="2:4" x14ac:dyDescent="0.25">
      <c r="B3656" t="s">
        <v>559</v>
      </c>
    </row>
    <row r="3657" spans="2:4" x14ac:dyDescent="0.25">
      <c r="B3657" t="s">
        <v>830</v>
      </c>
    </row>
    <row r="3658" spans="2:4" x14ac:dyDescent="0.25">
      <c r="B3658" t="s">
        <v>558</v>
      </c>
    </row>
    <row r="3659" spans="2:4" x14ac:dyDescent="0.25">
      <c r="C3659" t="s">
        <v>1821</v>
      </c>
    </row>
    <row r="3660" spans="2:4" x14ac:dyDescent="0.25">
      <c r="C3660" t="s">
        <v>1822</v>
      </c>
    </row>
    <row r="3661" spans="2:4" x14ac:dyDescent="0.25">
      <c r="C3661" t="s">
        <v>1823</v>
      </c>
    </row>
    <row r="3662" spans="2:4" x14ac:dyDescent="0.25">
      <c r="C3662" t="s">
        <v>1699</v>
      </c>
    </row>
    <row r="3663" spans="2:4" x14ac:dyDescent="0.25">
      <c r="C3663" t="s">
        <v>832</v>
      </c>
    </row>
    <row r="3664" spans="2:4" x14ac:dyDescent="0.25">
      <c r="C3664" t="s">
        <v>1824</v>
      </c>
    </row>
    <row r="3665" spans="2:4" x14ac:dyDescent="0.25">
      <c r="C3665" t="s">
        <v>833</v>
      </c>
    </row>
    <row r="3666" spans="2:4" x14ac:dyDescent="0.25">
      <c r="C3666" t="s">
        <v>1701</v>
      </c>
    </row>
    <row r="3667" spans="2:4" x14ac:dyDescent="0.25">
      <c r="C3667" t="s">
        <v>2839</v>
      </c>
    </row>
    <row r="3668" spans="2:4" x14ac:dyDescent="0.25">
      <c r="C3668" t="s">
        <v>835</v>
      </c>
    </row>
    <row r="3669" spans="2:4" x14ac:dyDescent="0.25">
      <c r="C3669" t="s">
        <v>823</v>
      </c>
    </row>
    <row r="3670" spans="2:4" x14ac:dyDescent="0.25">
      <c r="C3670" t="s">
        <v>558</v>
      </c>
    </row>
    <row r="3671" spans="2:4" x14ac:dyDescent="0.25">
      <c r="D3671" t="s">
        <v>2283</v>
      </c>
    </row>
    <row r="3672" spans="2:4" x14ac:dyDescent="0.25">
      <c r="D3672" t="s">
        <v>2074</v>
      </c>
    </row>
    <row r="3673" spans="2:4" x14ac:dyDescent="0.25">
      <c r="D3673" t="s">
        <v>2236</v>
      </c>
    </row>
    <row r="3674" spans="2:4" x14ac:dyDescent="0.25">
      <c r="C3674" t="s">
        <v>559</v>
      </c>
    </row>
    <row r="3675" spans="2:4" x14ac:dyDescent="0.25">
      <c r="B3675" t="s">
        <v>559</v>
      </c>
    </row>
    <row r="3676" spans="2:4" x14ac:dyDescent="0.25">
      <c r="B3676" t="s">
        <v>830</v>
      </c>
    </row>
    <row r="3677" spans="2:4" x14ac:dyDescent="0.25">
      <c r="B3677" t="s">
        <v>558</v>
      </c>
    </row>
    <row r="3678" spans="2:4" x14ac:dyDescent="0.25">
      <c r="C3678" t="s">
        <v>2692</v>
      </c>
    </row>
    <row r="3679" spans="2:4" x14ac:dyDescent="0.25">
      <c r="C3679" t="s">
        <v>2792</v>
      </c>
    </row>
    <row r="3680" spans="2:4" x14ac:dyDescent="0.25">
      <c r="C3680" t="s">
        <v>2693</v>
      </c>
    </row>
    <row r="3681" spans="2:4" x14ac:dyDescent="0.25">
      <c r="C3681" t="s">
        <v>1721</v>
      </c>
    </row>
    <row r="3682" spans="2:4" x14ac:dyDescent="0.25">
      <c r="C3682" t="s">
        <v>832</v>
      </c>
    </row>
    <row r="3683" spans="2:4" x14ac:dyDescent="0.25">
      <c r="C3683" t="s">
        <v>2694</v>
      </c>
    </row>
    <row r="3684" spans="2:4" x14ac:dyDescent="0.25">
      <c r="C3684" t="s">
        <v>833</v>
      </c>
    </row>
    <row r="3685" spans="2:4" x14ac:dyDescent="0.25">
      <c r="C3685" t="s">
        <v>2695</v>
      </c>
    </row>
    <row r="3686" spans="2:4" x14ac:dyDescent="0.25">
      <c r="C3686" t="s">
        <v>2696</v>
      </c>
    </row>
    <row r="3687" spans="2:4" x14ac:dyDescent="0.25">
      <c r="C3687" t="s">
        <v>835</v>
      </c>
    </row>
    <row r="3688" spans="2:4" x14ac:dyDescent="0.25">
      <c r="C3688" t="s">
        <v>823</v>
      </c>
    </row>
    <row r="3689" spans="2:4" x14ac:dyDescent="0.25">
      <c r="C3689" t="s">
        <v>558</v>
      </c>
    </row>
    <row r="3690" spans="2:4" x14ac:dyDescent="0.25">
      <c r="D3690" t="s">
        <v>2276</v>
      </c>
    </row>
    <row r="3691" spans="2:4" x14ac:dyDescent="0.25">
      <c r="D3691" t="s">
        <v>2074</v>
      </c>
    </row>
    <row r="3692" spans="2:4" x14ac:dyDescent="0.25">
      <c r="D3692" t="s">
        <v>2236</v>
      </c>
    </row>
    <row r="3693" spans="2:4" x14ac:dyDescent="0.25">
      <c r="C3693" t="s">
        <v>559</v>
      </c>
    </row>
    <row r="3694" spans="2:4" x14ac:dyDescent="0.25">
      <c r="B3694" t="s">
        <v>559</v>
      </c>
    </row>
    <row r="3695" spans="2:4" x14ac:dyDescent="0.25">
      <c r="B3695" t="s">
        <v>830</v>
      </c>
    </row>
    <row r="3696" spans="2:4" x14ac:dyDescent="0.25">
      <c r="B3696" t="s">
        <v>558</v>
      </c>
    </row>
    <row r="3697" spans="3:4" x14ac:dyDescent="0.25">
      <c r="C3697" t="s">
        <v>2697</v>
      </c>
    </row>
    <row r="3698" spans="3:4" x14ac:dyDescent="0.25">
      <c r="C3698" t="s">
        <v>2790</v>
      </c>
    </row>
    <row r="3699" spans="3:4" x14ac:dyDescent="0.25">
      <c r="C3699" t="s">
        <v>2698</v>
      </c>
    </row>
    <row r="3700" spans="3:4" x14ac:dyDescent="0.25">
      <c r="C3700" t="s">
        <v>1748</v>
      </c>
    </row>
    <row r="3701" spans="3:4" x14ac:dyDescent="0.25">
      <c r="C3701" t="s">
        <v>832</v>
      </c>
    </row>
    <row r="3702" spans="3:4" x14ac:dyDescent="0.25">
      <c r="C3702" t="s">
        <v>2699</v>
      </c>
    </row>
    <row r="3703" spans="3:4" x14ac:dyDescent="0.25">
      <c r="C3703" t="s">
        <v>833</v>
      </c>
    </row>
    <row r="3704" spans="3:4" x14ac:dyDescent="0.25">
      <c r="C3704" t="s">
        <v>2700</v>
      </c>
    </row>
    <row r="3705" spans="3:4" x14ac:dyDescent="0.25">
      <c r="C3705" t="s">
        <v>2701</v>
      </c>
    </row>
    <row r="3706" spans="3:4" x14ac:dyDescent="0.25">
      <c r="C3706" t="s">
        <v>835</v>
      </c>
    </row>
    <row r="3707" spans="3:4" x14ac:dyDescent="0.25">
      <c r="C3707" t="s">
        <v>823</v>
      </c>
    </row>
    <row r="3708" spans="3:4" x14ac:dyDescent="0.25">
      <c r="C3708" t="s">
        <v>558</v>
      </c>
    </row>
    <row r="3709" spans="3:4" x14ac:dyDescent="0.25">
      <c r="D3709" t="s">
        <v>2277</v>
      </c>
    </row>
    <row r="3710" spans="3:4" x14ac:dyDescent="0.25">
      <c r="D3710" t="s">
        <v>2074</v>
      </c>
    </row>
    <row r="3711" spans="3:4" x14ac:dyDescent="0.25">
      <c r="D3711" t="s">
        <v>2236</v>
      </c>
    </row>
    <row r="3712" spans="3:4" x14ac:dyDescent="0.25">
      <c r="C3712" t="s">
        <v>559</v>
      </c>
    </row>
    <row r="3713" spans="2:4" x14ac:dyDescent="0.25">
      <c r="B3713" t="s">
        <v>559</v>
      </c>
    </row>
    <row r="3714" spans="2:4" x14ac:dyDescent="0.25">
      <c r="B3714" t="s">
        <v>830</v>
      </c>
    </row>
    <row r="3715" spans="2:4" x14ac:dyDescent="0.25">
      <c r="B3715" t="s">
        <v>558</v>
      </c>
    </row>
    <row r="3716" spans="2:4" x14ac:dyDescent="0.25">
      <c r="C3716" t="s">
        <v>2702</v>
      </c>
    </row>
    <row r="3717" spans="2:4" x14ac:dyDescent="0.25">
      <c r="C3717" t="s">
        <v>2808</v>
      </c>
    </row>
    <row r="3718" spans="2:4" x14ac:dyDescent="0.25">
      <c r="C3718" t="s">
        <v>2703</v>
      </c>
    </row>
    <row r="3719" spans="2:4" x14ac:dyDescent="0.25">
      <c r="C3719" t="s">
        <v>1908</v>
      </c>
    </row>
    <row r="3720" spans="2:4" x14ac:dyDescent="0.25">
      <c r="C3720" t="s">
        <v>832</v>
      </c>
    </row>
    <row r="3721" spans="2:4" x14ac:dyDescent="0.25">
      <c r="C3721" t="s">
        <v>2704</v>
      </c>
    </row>
    <row r="3722" spans="2:4" x14ac:dyDescent="0.25">
      <c r="C3722" t="s">
        <v>833</v>
      </c>
    </row>
    <row r="3723" spans="2:4" x14ac:dyDescent="0.25">
      <c r="C3723" t="s">
        <v>2705</v>
      </c>
    </row>
    <row r="3724" spans="2:4" x14ac:dyDescent="0.25">
      <c r="C3724" t="s">
        <v>2706</v>
      </c>
    </row>
    <row r="3725" spans="2:4" x14ac:dyDescent="0.25">
      <c r="C3725" t="s">
        <v>835</v>
      </c>
    </row>
    <row r="3726" spans="2:4" x14ac:dyDescent="0.25">
      <c r="C3726" t="s">
        <v>823</v>
      </c>
    </row>
    <row r="3727" spans="2:4" x14ac:dyDescent="0.25">
      <c r="C3727" t="s">
        <v>558</v>
      </c>
    </row>
    <row r="3728" spans="2:4" x14ac:dyDescent="0.25">
      <c r="D3728" t="s">
        <v>2278</v>
      </c>
    </row>
    <row r="3729" spans="2:4" x14ac:dyDescent="0.25">
      <c r="D3729" t="s">
        <v>2074</v>
      </c>
    </row>
    <row r="3730" spans="2:4" x14ac:dyDescent="0.25">
      <c r="D3730" t="s">
        <v>2236</v>
      </c>
    </row>
    <row r="3731" spans="2:4" x14ac:dyDescent="0.25">
      <c r="C3731" t="s">
        <v>559</v>
      </c>
    </row>
    <row r="3732" spans="2:4" x14ac:dyDescent="0.25">
      <c r="B3732" t="s">
        <v>559</v>
      </c>
    </row>
    <row r="3733" spans="2:4" x14ac:dyDescent="0.25">
      <c r="B3733" t="s">
        <v>830</v>
      </c>
    </row>
    <row r="3734" spans="2:4" x14ac:dyDescent="0.25">
      <c r="B3734" t="s">
        <v>558</v>
      </c>
    </row>
    <row r="3735" spans="2:4" x14ac:dyDescent="0.25">
      <c r="C3735" t="s">
        <v>2052</v>
      </c>
    </row>
    <row r="3736" spans="2:4" x14ac:dyDescent="0.25">
      <c r="C3736" t="s">
        <v>2053</v>
      </c>
    </row>
    <row r="3737" spans="2:4" x14ac:dyDescent="0.25">
      <c r="C3737" t="s">
        <v>2054</v>
      </c>
    </row>
    <row r="3738" spans="2:4" x14ac:dyDescent="0.25">
      <c r="C3738" t="s">
        <v>1726</v>
      </c>
    </row>
    <row r="3739" spans="2:4" x14ac:dyDescent="0.25">
      <c r="C3739" t="s">
        <v>832</v>
      </c>
    </row>
    <row r="3740" spans="2:4" x14ac:dyDescent="0.25">
      <c r="C3740" t="s">
        <v>2055</v>
      </c>
    </row>
    <row r="3741" spans="2:4" x14ac:dyDescent="0.25">
      <c r="C3741" t="s">
        <v>833</v>
      </c>
    </row>
    <row r="3742" spans="2:4" x14ac:dyDescent="0.25">
      <c r="C3742" t="s">
        <v>1701</v>
      </c>
    </row>
    <row r="3743" spans="2:4" x14ac:dyDescent="0.25">
      <c r="C3743" t="s">
        <v>2176</v>
      </c>
    </row>
    <row r="3744" spans="2:4" x14ac:dyDescent="0.25">
      <c r="C3744" t="s">
        <v>835</v>
      </c>
    </row>
    <row r="3745" spans="2:4" x14ac:dyDescent="0.25">
      <c r="C3745" t="s">
        <v>823</v>
      </c>
    </row>
    <row r="3746" spans="2:4" x14ac:dyDescent="0.25">
      <c r="C3746" t="s">
        <v>558</v>
      </c>
    </row>
    <row r="3747" spans="2:4" x14ac:dyDescent="0.25">
      <c r="D3747" t="s">
        <v>2266</v>
      </c>
    </row>
    <row r="3748" spans="2:4" x14ac:dyDescent="0.25">
      <c r="D3748" t="s">
        <v>2073</v>
      </c>
    </row>
    <row r="3749" spans="2:4" x14ac:dyDescent="0.25">
      <c r="D3749" t="s">
        <v>2236</v>
      </c>
    </row>
    <row r="3750" spans="2:4" x14ac:dyDescent="0.25">
      <c r="C3750" t="s">
        <v>559</v>
      </c>
    </row>
    <row r="3751" spans="2:4" x14ac:dyDescent="0.25">
      <c r="B3751" t="s">
        <v>559</v>
      </c>
    </row>
    <row r="3752" spans="2:4" x14ac:dyDescent="0.25">
      <c r="B3752" t="s">
        <v>830</v>
      </c>
    </row>
    <row r="3753" spans="2:4" x14ac:dyDescent="0.25">
      <c r="B3753" t="s">
        <v>558</v>
      </c>
    </row>
    <row r="3754" spans="2:4" x14ac:dyDescent="0.25">
      <c r="C3754" t="s">
        <v>2707</v>
      </c>
    </row>
    <row r="3755" spans="2:4" x14ac:dyDescent="0.25">
      <c r="C3755" t="s">
        <v>2708</v>
      </c>
    </row>
    <row r="3756" spans="2:4" x14ac:dyDescent="0.25">
      <c r="C3756" t="s">
        <v>2709</v>
      </c>
    </row>
    <row r="3757" spans="2:4" x14ac:dyDescent="0.25">
      <c r="C3757" t="s">
        <v>1711</v>
      </c>
    </row>
    <row r="3758" spans="2:4" x14ac:dyDescent="0.25">
      <c r="C3758" t="s">
        <v>832</v>
      </c>
    </row>
    <row r="3759" spans="2:4" x14ac:dyDescent="0.25">
      <c r="C3759" t="s">
        <v>2710</v>
      </c>
    </row>
    <row r="3760" spans="2:4" x14ac:dyDescent="0.25">
      <c r="C3760" t="s">
        <v>833</v>
      </c>
    </row>
    <row r="3761" spans="2:4" x14ac:dyDescent="0.25">
      <c r="C3761" t="s">
        <v>2711</v>
      </c>
    </row>
    <row r="3762" spans="2:4" x14ac:dyDescent="0.25">
      <c r="C3762" t="s">
        <v>2712</v>
      </c>
    </row>
    <row r="3763" spans="2:4" x14ac:dyDescent="0.25">
      <c r="C3763" t="s">
        <v>835</v>
      </c>
    </row>
    <row r="3764" spans="2:4" x14ac:dyDescent="0.25">
      <c r="C3764" t="s">
        <v>823</v>
      </c>
    </row>
    <row r="3765" spans="2:4" x14ac:dyDescent="0.25">
      <c r="C3765" t="s">
        <v>558</v>
      </c>
    </row>
    <row r="3766" spans="2:4" x14ac:dyDescent="0.25">
      <c r="D3766" t="s">
        <v>2279</v>
      </c>
    </row>
    <row r="3767" spans="2:4" x14ac:dyDescent="0.25">
      <c r="D3767" t="s">
        <v>2074</v>
      </c>
    </row>
    <row r="3768" spans="2:4" x14ac:dyDescent="0.25">
      <c r="D3768" t="s">
        <v>2236</v>
      </c>
    </row>
    <row r="3769" spans="2:4" x14ac:dyDescent="0.25">
      <c r="C3769" t="s">
        <v>559</v>
      </c>
    </row>
    <row r="3770" spans="2:4" x14ac:dyDescent="0.25">
      <c r="B3770" t="s">
        <v>559</v>
      </c>
    </row>
    <row r="3771" spans="2:4" x14ac:dyDescent="0.25">
      <c r="B3771" t="s">
        <v>830</v>
      </c>
    </row>
    <row r="3772" spans="2:4" x14ac:dyDescent="0.25">
      <c r="B3772" t="s">
        <v>558</v>
      </c>
    </row>
    <row r="3773" spans="2:4" x14ac:dyDescent="0.25">
      <c r="C3773" t="s">
        <v>2713</v>
      </c>
    </row>
    <row r="3774" spans="2:4" x14ac:dyDescent="0.25">
      <c r="C3774" t="s">
        <v>2794</v>
      </c>
    </row>
    <row r="3775" spans="2:4" x14ac:dyDescent="0.25">
      <c r="C3775" t="s">
        <v>2714</v>
      </c>
    </row>
    <row r="3776" spans="2:4" x14ac:dyDescent="0.25">
      <c r="C3776" t="s">
        <v>2544</v>
      </c>
    </row>
    <row r="3777" spans="2:4" x14ac:dyDescent="0.25">
      <c r="C3777" t="s">
        <v>832</v>
      </c>
    </row>
    <row r="3778" spans="2:4" x14ac:dyDescent="0.25">
      <c r="C3778" t="s">
        <v>2715</v>
      </c>
    </row>
    <row r="3779" spans="2:4" x14ac:dyDescent="0.25">
      <c r="C3779" t="s">
        <v>833</v>
      </c>
    </row>
    <row r="3780" spans="2:4" x14ac:dyDescent="0.25">
      <c r="C3780" t="s">
        <v>2716</v>
      </c>
    </row>
    <row r="3781" spans="2:4" x14ac:dyDescent="0.25">
      <c r="C3781" t="s">
        <v>2717</v>
      </c>
    </row>
    <row r="3782" spans="2:4" x14ac:dyDescent="0.25">
      <c r="C3782" t="s">
        <v>835</v>
      </c>
    </row>
    <row r="3783" spans="2:4" x14ac:dyDescent="0.25">
      <c r="C3783" t="s">
        <v>823</v>
      </c>
    </row>
    <row r="3784" spans="2:4" x14ac:dyDescent="0.25">
      <c r="C3784" t="s">
        <v>558</v>
      </c>
    </row>
    <row r="3785" spans="2:4" x14ac:dyDescent="0.25">
      <c r="D3785" t="s">
        <v>2269</v>
      </c>
    </row>
    <row r="3786" spans="2:4" x14ac:dyDescent="0.25">
      <c r="D3786" t="s">
        <v>2074</v>
      </c>
    </row>
    <row r="3787" spans="2:4" x14ac:dyDescent="0.25">
      <c r="D3787" t="s">
        <v>2236</v>
      </c>
    </row>
    <row r="3788" spans="2:4" x14ac:dyDescent="0.25">
      <c r="C3788" t="s">
        <v>559</v>
      </c>
    </row>
    <row r="3789" spans="2:4" x14ac:dyDescent="0.25">
      <c r="B3789" t="s">
        <v>559</v>
      </c>
    </row>
    <row r="3790" spans="2:4" x14ac:dyDescent="0.25">
      <c r="B3790" t="s">
        <v>830</v>
      </c>
    </row>
    <row r="3791" spans="2:4" x14ac:dyDescent="0.25">
      <c r="B3791" t="s">
        <v>558</v>
      </c>
    </row>
    <row r="3792" spans="2:4" x14ac:dyDescent="0.25">
      <c r="C3792" t="s">
        <v>2718</v>
      </c>
    </row>
    <row r="3793" spans="2:4" x14ac:dyDescent="0.25">
      <c r="C3793" t="s">
        <v>2719</v>
      </c>
    </row>
    <row r="3794" spans="2:4" x14ac:dyDescent="0.25">
      <c r="C3794" t="s">
        <v>2720</v>
      </c>
    </row>
    <row r="3795" spans="2:4" x14ac:dyDescent="0.25">
      <c r="C3795" t="s">
        <v>1890</v>
      </c>
    </row>
    <row r="3796" spans="2:4" x14ac:dyDescent="0.25">
      <c r="C3796" t="s">
        <v>832</v>
      </c>
    </row>
    <row r="3797" spans="2:4" x14ac:dyDescent="0.25">
      <c r="C3797" t="s">
        <v>2721</v>
      </c>
    </row>
    <row r="3798" spans="2:4" x14ac:dyDescent="0.25">
      <c r="C3798" t="s">
        <v>833</v>
      </c>
    </row>
    <row r="3799" spans="2:4" x14ac:dyDescent="0.25">
      <c r="C3799" t="s">
        <v>2722</v>
      </c>
    </row>
    <row r="3800" spans="2:4" x14ac:dyDescent="0.25">
      <c r="C3800" t="s">
        <v>2723</v>
      </c>
    </row>
    <row r="3801" spans="2:4" x14ac:dyDescent="0.25">
      <c r="C3801" t="s">
        <v>835</v>
      </c>
    </row>
    <row r="3802" spans="2:4" x14ac:dyDescent="0.25">
      <c r="C3802" t="s">
        <v>823</v>
      </c>
    </row>
    <row r="3803" spans="2:4" x14ac:dyDescent="0.25">
      <c r="C3803" t="s">
        <v>558</v>
      </c>
    </row>
    <row r="3804" spans="2:4" x14ac:dyDescent="0.25">
      <c r="D3804" t="s">
        <v>2280</v>
      </c>
    </row>
    <row r="3805" spans="2:4" x14ac:dyDescent="0.25">
      <c r="D3805" t="s">
        <v>2074</v>
      </c>
    </row>
    <row r="3806" spans="2:4" x14ac:dyDescent="0.25">
      <c r="D3806" t="s">
        <v>2236</v>
      </c>
    </row>
    <row r="3807" spans="2:4" x14ac:dyDescent="0.25">
      <c r="C3807" t="s">
        <v>559</v>
      </c>
    </row>
    <row r="3808" spans="2:4" x14ac:dyDescent="0.25">
      <c r="B3808" t="s">
        <v>559</v>
      </c>
    </row>
    <row r="3809" spans="2:3" x14ac:dyDescent="0.25">
      <c r="B3809" t="s">
        <v>830</v>
      </c>
    </row>
    <row r="3810" spans="2:3" x14ac:dyDescent="0.25">
      <c r="B3810" t="s">
        <v>558</v>
      </c>
    </row>
    <row r="3811" spans="2:3" x14ac:dyDescent="0.25">
      <c r="C3811" t="s">
        <v>1874</v>
      </c>
    </row>
    <row r="3812" spans="2:3" x14ac:dyDescent="0.25">
      <c r="C3812" t="s">
        <v>1875</v>
      </c>
    </row>
    <row r="3813" spans="2:3" x14ac:dyDescent="0.25">
      <c r="C3813" t="s">
        <v>1876</v>
      </c>
    </row>
    <row r="3814" spans="2:3" x14ac:dyDescent="0.25">
      <c r="C3814" t="s">
        <v>1706</v>
      </c>
    </row>
    <row r="3815" spans="2:3" x14ac:dyDescent="0.25">
      <c r="C3815" t="s">
        <v>832</v>
      </c>
    </row>
    <row r="3816" spans="2:3" x14ac:dyDescent="0.25">
      <c r="C3816" t="s">
        <v>1877</v>
      </c>
    </row>
    <row r="3817" spans="2:3" x14ac:dyDescent="0.25">
      <c r="C3817" t="s">
        <v>833</v>
      </c>
    </row>
    <row r="3818" spans="2:3" x14ac:dyDescent="0.25">
      <c r="C3818" t="s">
        <v>1701</v>
      </c>
    </row>
    <row r="3819" spans="2:3" x14ac:dyDescent="0.25">
      <c r="C3819" t="s">
        <v>2177</v>
      </c>
    </row>
    <row r="3820" spans="2:3" x14ac:dyDescent="0.25">
      <c r="C3820" t="s">
        <v>835</v>
      </c>
    </row>
    <row r="3821" spans="2:3" x14ac:dyDescent="0.25">
      <c r="B3821" t="s">
        <v>559</v>
      </c>
    </row>
    <row r="3822" spans="2:3" x14ac:dyDescent="0.25">
      <c r="B3822" t="s">
        <v>830</v>
      </c>
    </row>
    <row r="3823" spans="2:3" x14ac:dyDescent="0.25">
      <c r="B3823" t="s">
        <v>558</v>
      </c>
    </row>
    <row r="3824" spans="2:3" x14ac:dyDescent="0.25">
      <c r="C3824" t="s">
        <v>2724</v>
      </c>
    </row>
    <row r="3825" spans="2:4" x14ac:dyDescent="0.25">
      <c r="C3825" t="s">
        <v>2725</v>
      </c>
    </row>
    <row r="3826" spans="2:4" x14ac:dyDescent="0.25">
      <c r="C3826" t="s">
        <v>2726</v>
      </c>
    </row>
    <row r="3827" spans="2:4" x14ac:dyDescent="0.25">
      <c r="C3827" t="s">
        <v>1721</v>
      </c>
    </row>
    <row r="3828" spans="2:4" x14ac:dyDescent="0.25">
      <c r="C3828" t="s">
        <v>832</v>
      </c>
    </row>
    <row r="3829" spans="2:4" x14ac:dyDescent="0.25">
      <c r="C3829" t="s">
        <v>2727</v>
      </c>
    </row>
    <row r="3830" spans="2:4" x14ac:dyDescent="0.25">
      <c r="C3830" t="s">
        <v>833</v>
      </c>
    </row>
    <row r="3831" spans="2:4" x14ac:dyDescent="0.25">
      <c r="C3831" t="s">
        <v>2728</v>
      </c>
    </row>
    <row r="3832" spans="2:4" x14ac:dyDescent="0.25">
      <c r="C3832" t="s">
        <v>2729</v>
      </c>
    </row>
    <row r="3833" spans="2:4" x14ac:dyDescent="0.25">
      <c r="C3833" t="s">
        <v>835</v>
      </c>
    </row>
    <row r="3834" spans="2:4" x14ac:dyDescent="0.25">
      <c r="C3834" t="s">
        <v>823</v>
      </c>
    </row>
    <row r="3835" spans="2:4" x14ac:dyDescent="0.25">
      <c r="C3835" t="s">
        <v>558</v>
      </c>
    </row>
    <row r="3836" spans="2:4" x14ac:dyDescent="0.25">
      <c r="D3836" t="s">
        <v>2272</v>
      </c>
    </row>
    <row r="3837" spans="2:4" x14ac:dyDescent="0.25">
      <c r="D3837" t="s">
        <v>2074</v>
      </c>
    </row>
    <row r="3838" spans="2:4" x14ac:dyDescent="0.25">
      <c r="D3838" t="s">
        <v>2236</v>
      </c>
    </row>
    <row r="3839" spans="2:4" x14ac:dyDescent="0.25">
      <c r="C3839" t="s">
        <v>559</v>
      </c>
    </row>
    <row r="3840" spans="2:4" x14ac:dyDescent="0.25">
      <c r="B3840" t="s">
        <v>559</v>
      </c>
    </row>
    <row r="3841" spans="2:4" x14ac:dyDescent="0.25">
      <c r="B3841" t="s">
        <v>830</v>
      </c>
    </row>
    <row r="3842" spans="2:4" x14ac:dyDescent="0.25">
      <c r="B3842" t="s">
        <v>558</v>
      </c>
    </row>
    <row r="3843" spans="2:4" x14ac:dyDescent="0.25">
      <c r="C3843" t="s">
        <v>2730</v>
      </c>
    </row>
    <row r="3844" spans="2:4" x14ac:dyDescent="0.25">
      <c r="C3844" t="s">
        <v>2835</v>
      </c>
    </row>
    <row r="3845" spans="2:4" x14ac:dyDescent="0.25">
      <c r="C3845" t="s">
        <v>2731</v>
      </c>
    </row>
    <row r="3846" spans="2:4" x14ac:dyDescent="0.25">
      <c r="C3846" t="s">
        <v>1748</v>
      </c>
    </row>
    <row r="3847" spans="2:4" x14ac:dyDescent="0.25">
      <c r="C3847" t="s">
        <v>832</v>
      </c>
    </row>
    <row r="3848" spans="2:4" x14ac:dyDescent="0.25">
      <c r="C3848" t="s">
        <v>2732</v>
      </c>
    </row>
    <row r="3849" spans="2:4" x14ac:dyDescent="0.25">
      <c r="C3849" t="s">
        <v>833</v>
      </c>
    </row>
    <row r="3850" spans="2:4" x14ac:dyDescent="0.25">
      <c r="C3850" t="s">
        <v>2733</v>
      </c>
    </row>
    <row r="3851" spans="2:4" x14ac:dyDescent="0.25">
      <c r="C3851" t="s">
        <v>2734</v>
      </c>
    </row>
    <row r="3852" spans="2:4" x14ac:dyDescent="0.25">
      <c r="C3852" t="s">
        <v>835</v>
      </c>
    </row>
    <row r="3853" spans="2:4" x14ac:dyDescent="0.25">
      <c r="C3853" t="s">
        <v>823</v>
      </c>
    </row>
    <row r="3854" spans="2:4" x14ac:dyDescent="0.25">
      <c r="C3854" t="s">
        <v>558</v>
      </c>
    </row>
    <row r="3855" spans="2:4" x14ac:dyDescent="0.25">
      <c r="D3855" t="s">
        <v>2275</v>
      </c>
    </row>
    <row r="3856" spans="2:4" x14ac:dyDescent="0.25">
      <c r="D3856" t="s">
        <v>851</v>
      </c>
    </row>
    <row r="3857" spans="2:4" x14ac:dyDescent="0.25">
      <c r="D3857" t="s">
        <v>2236</v>
      </c>
    </row>
    <row r="3858" spans="2:4" x14ac:dyDescent="0.25">
      <c r="C3858" t="s">
        <v>559</v>
      </c>
    </row>
    <row r="3859" spans="2:4" x14ac:dyDescent="0.25">
      <c r="B3859" t="s">
        <v>559</v>
      </c>
    </row>
    <row r="3860" spans="2:4" x14ac:dyDescent="0.25">
      <c r="B3860" t="s">
        <v>830</v>
      </c>
    </row>
    <row r="3861" spans="2:4" x14ac:dyDescent="0.25">
      <c r="B3861" t="s">
        <v>558</v>
      </c>
    </row>
    <row r="3862" spans="2:4" x14ac:dyDescent="0.25">
      <c r="C3862" t="s">
        <v>2735</v>
      </c>
    </row>
    <row r="3863" spans="2:4" x14ac:dyDescent="0.25">
      <c r="C3863" t="s">
        <v>2795</v>
      </c>
    </row>
    <row r="3864" spans="2:4" x14ac:dyDescent="0.25">
      <c r="C3864" t="s">
        <v>2736</v>
      </c>
    </row>
    <row r="3865" spans="2:4" x14ac:dyDescent="0.25">
      <c r="C3865" t="s">
        <v>1825</v>
      </c>
    </row>
    <row r="3866" spans="2:4" x14ac:dyDescent="0.25">
      <c r="C3866" t="s">
        <v>832</v>
      </c>
    </row>
    <row r="3867" spans="2:4" x14ac:dyDescent="0.25">
      <c r="C3867" t="s">
        <v>2737</v>
      </c>
    </row>
    <row r="3868" spans="2:4" x14ac:dyDescent="0.25">
      <c r="C3868" t="s">
        <v>833</v>
      </c>
    </row>
    <row r="3869" spans="2:4" x14ac:dyDescent="0.25">
      <c r="C3869" t="s">
        <v>2738</v>
      </c>
    </row>
    <row r="3870" spans="2:4" x14ac:dyDescent="0.25">
      <c r="C3870" t="s">
        <v>2739</v>
      </c>
    </row>
    <row r="3871" spans="2:4" x14ac:dyDescent="0.25">
      <c r="C3871" t="s">
        <v>835</v>
      </c>
    </row>
    <row r="3872" spans="2:4" x14ac:dyDescent="0.25">
      <c r="C3872" t="s">
        <v>823</v>
      </c>
    </row>
    <row r="3873" spans="2:4" x14ac:dyDescent="0.25">
      <c r="C3873" t="s">
        <v>558</v>
      </c>
    </row>
    <row r="3874" spans="2:4" x14ac:dyDescent="0.25">
      <c r="D3874" t="s">
        <v>2265</v>
      </c>
    </row>
    <row r="3875" spans="2:4" x14ac:dyDescent="0.25">
      <c r="D3875" t="s">
        <v>2074</v>
      </c>
    </row>
    <row r="3876" spans="2:4" x14ac:dyDescent="0.25">
      <c r="D3876" t="s">
        <v>2236</v>
      </c>
    </row>
    <row r="3877" spans="2:4" x14ac:dyDescent="0.25">
      <c r="C3877" t="s">
        <v>559</v>
      </c>
    </row>
    <row r="3878" spans="2:4" x14ac:dyDescent="0.25">
      <c r="B3878" t="s">
        <v>559</v>
      </c>
    </row>
    <row r="3879" spans="2:4" x14ac:dyDescent="0.25">
      <c r="B3879" t="s">
        <v>830</v>
      </c>
    </row>
    <row r="3880" spans="2:4" x14ac:dyDescent="0.25">
      <c r="B3880" t="s">
        <v>558</v>
      </c>
    </row>
    <row r="3881" spans="2:4" x14ac:dyDescent="0.25">
      <c r="C3881" t="s">
        <v>2740</v>
      </c>
    </row>
    <row r="3882" spans="2:4" x14ac:dyDescent="0.25">
      <c r="C3882" t="s">
        <v>2836</v>
      </c>
    </row>
    <row r="3883" spans="2:4" x14ac:dyDescent="0.25">
      <c r="C3883" t="s">
        <v>2741</v>
      </c>
    </row>
    <row r="3884" spans="2:4" x14ac:dyDescent="0.25">
      <c r="C3884" t="s">
        <v>2394</v>
      </c>
    </row>
    <row r="3885" spans="2:4" x14ac:dyDescent="0.25">
      <c r="C3885" t="s">
        <v>832</v>
      </c>
    </row>
    <row r="3886" spans="2:4" x14ac:dyDescent="0.25">
      <c r="C3886" t="s">
        <v>2742</v>
      </c>
    </row>
    <row r="3887" spans="2:4" x14ac:dyDescent="0.25">
      <c r="C3887" t="s">
        <v>833</v>
      </c>
    </row>
    <row r="3888" spans="2:4" x14ac:dyDescent="0.25">
      <c r="C3888" t="s">
        <v>2743</v>
      </c>
    </row>
    <row r="3889" spans="2:4" x14ac:dyDescent="0.25">
      <c r="C3889" t="s">
        <v>2744</v>
      </c>
    </row>
    <row r="3890" spans="2:4" x14ac:dyDescent="0.25">
      <c r="C3890" t="s">
        <v>835</v>
      </c>
    </row>
    <row r="3891" spans="2:4" x14ac:dyDescent="0.25">
      <c r="C3891" t="s">
        <v>823</v>
      </c>
    </row>
    <row r="3892" spans="2:4" x14ac:dyDescent="0.25">
      <c r="C3892" t="s">
        <v>558</v>
      </c>
    </row>
    <row r="3893" spans="2:4" x14ac:dyDescent="0.25">
      <c r="D3893" t="s">
        <v>2281</v>
      </c>
    </row>
    <row r="3894" spans="2:4" x14ac:dyDescent="0.25">
      <c r="D3894" t="s">
        <v>2074</v>
      </c>
    </row>
    <row r="3895" spans="2:4" x14ac:dyDescent="0.25">
      <c r="D3895" t="s">
        <v>2236</v>
      </c>
    </row>
    <row r="3896" spans="2:4" x14ac:dyDescent="0.25">
      <c r="C3896" t="s">
        <v>559</v>
      </c>
    </row>
    <row r="3897" spans="2:4" x14ac:dyDescent="0.25">
      <c r="B3897" t="s">
        <v>559</v>
      </c>
    </row>
    <row r="3898" spans="2:4" x14ac:dyDescent="0.25">
      <c r="B3898" t="s">
        <v>830</v>
      </c>
    </row>
    <row r="3899" spans="2:4" x14ac:dyDescent="0.25">
      <c r="B3899" t="s">
        <v>558</v>
      </c>
    </row>
    <row r="3900" spans="2:4" x14ac:dyDescent="0.25">
      <c r="C3900" t="s">
        <v>2745</v>
      </c>
    </row>
    <row r="3901" spans="2:4" x14ac:dyDescent="0.25">
      <c r="C3901" t="s">
        <v>2804</v>
      </c>
    </row>
    <row r="3902" spans="2:4" x14ac:dyDescent="0.25">
      <c r="C3902" t="s">
        <v>2746</v>
      </c>
    </row>
    <row r="3903" spans="2:4" x14ac:dyDescent="0.25">
      <c r="C3903" t="s">
        <v>1770</v>
      </c>
    </row>
    <row r="3904" spans="2:4" x14ac:dyDescent="0.25">
      <c r="C3904" t="s">
        <v>832</v>
      </c>
    </row>
    <row r="3905" spans="2:4" x14ac:dyDescent="0.25">
      <c r="C3905" t="s">
        <v>2747</v>
      </c>
    </row>
    <row r="3906" spans="2:4" x14ac:dyDescent="0.25">
      <c r="C3906" t="s">
        <v>833</v>
      </c>
    </row>
    <row r="3907" spans="2:4" x14ac:dyDescent="0.25">
      <c r="C3907" t="s">
        <v>2743</v>
      </c>
    </row>
    <row r="3908" spans="2:4" x14ac:dyDescent="0.25">
      <c r="C3908" t="s">
        <v>2748</v>
      </c>
    </row>
    <row r="3909" spans="2:4" x14ac:dyDescent="0.25">
      <c r="C3909" t="s">
        <v>835</v>
      </c>
    </row>
    <row r="3910" spans="2:4" x14ac:dyDescent="0.25">
      <c r="C3910" t="s">
        <v>823</v>
      </c>
    </row>
    <row r="3911" spans="2:4" x14ac:dyDescent="0.25">
      <c r="C3911" t="s">
        <v>558</v>
      </c>
    </row>
    <row r="3912" spans="2:4" x14ac:dyDescent="0.25">
      <c r="D3912" t="s">
        <v>2282</v>
      </c>
    </row>
    <row r="3913" spans="2:4" x14ac:dyDescent="0.25">
      <c r="D3913" t="s">
        <v>2074</v>
      </c>
    </row>
    <row r="3914" spans="2:4" x14ac:dyDescent="0.25">
      <c r="D3914" t="s">
        <v>2236</v>
      </c>
    </row>
    <row r="3915" spans="2:4" x14ac:dyDescent="0.25">
      <c r="C3915" t="s">
        <v>559</v>
      </c>
    </row>
    <row r="3916" spans="2:4" x14ac:dyDescent="0.25">
      <c r="B3916" t="s">
        <v>559</v>
      </c>
    </row>
    <row r="3917" spans="2:4" x14ac:dyDescent="0.25">
      <c r="B3917" t="s">
        <v>830</v>
      </c>
    </row>
    <row r="3918" spans="2:4" x14ac:dyDescent="0.25">
      <c r="B3918" t="s">
        <v>558</v>
      </c>
    </row>
    <row r="3919" spans="2:4" x14ac:dyDescent="0.25">
      <c r="C3919" t="s">
        <v>2056</v>
      </c>
    </row>
    <row r="3920" spans="2:4" x14ac:dyDescent="0.25">
      <c r="C3920" t="s">
        <v>2057</v>
      </c>
    </row>
    <row r="3921" spans="2:4" x14ac:dyDescent="0.25">
      <c r="C3921" t="s">
        <v>2058</v>
      </c>
    </row>
    <row r="3922" spans="2:4" x14ac:dyDescent="0.25">
      <c r="C3922" t="s">
        <v>1726</v>
      </c>
    </row>
    <row r="3923" spans="2:4" x14ac:dyDescent="0.25">
      <c r="C3923" t="s">
        <v>832</v>
      </c>
    </row>
    <row r="3924" spans="2:4" x14ac:dyDescent="0.25">
      <c r="C3924" t="s">
        <v>2059</v>
      </c>
    </row>
    <row r="3925" spans="2:4" x14ac:dyDescent="0.25">
      <c r="C3925" t="s">
        <v>833</v>
      </c>
    </row>
    <row r="3926" spans="2:4" x14ac:dyDescent="0.25">
      <c r="C3926" t="s">
        <v>1701</v>
      </c>
    </row>
    <row r="3927" spans="2:4" x14ac:dyDescent="0.25">
      <c r="C3927" t="s">
        <v>2178</v>
      </c>
    </row>
    <row r="3928" spans="2:4" x14ac:dyDescent="0.25">
      <c r="C3928" t="s">
        <v>835</v>
      </c>
    </row>
    <row r="3929" spans="2:4" x14ac:dyDescent="0.25">
      <c r="C3929" t="s">
        <v>823</v>
      </c>
    </row>
    <row r="3930" spans="2:4" x14ac:dyDescent="0.25">
      <c r="C3930" t="s">
        <v>558</v>
      </c>
    </row>
    <row r="3931" spans="2:4" x14ac:dyDescent="0.25">
      <c r="D3931" t="s">
        <v>2264</v>
      </c>
    </row>
    <row r="3932" spans="2:4" x14ac:dyDescent="0.25">
      <c r="D3932" t="s">
        <v>2074</v>
      </c>
    </row>
    <row r="3933" spans="2:4" x14ac:dyDescent="0.25">
      <c r="D3933" t="s">
        <v>2236</v>
      </c>
    </row>
    <row r="3934" spans="2:4" x14ac:dyDescent="0.25">
      <c r="C3934" t="s">
        <v>559</v>
      </c>
    </row>
    <row r="3935" spans="2:4" x14ac:dyDescent="0.25">
      <c r="B3935" t="s">
        <v>559</v>
      </c>
    </row>
    <row r="3936" spans="2:4" x14ac:dyDescent="0.25">
      <c r="B3936" t="s">
        <v>830</v>
      </c>
    </row>
    <row r="3937" spans="2:4" x14ac:dyDescent="0.25">
      <c r="B3937" t="s">
        <v>558</v>
      </c>
    </row>
    <row r="3938" spans="2:4" x14ac:dyDescent="0.25">
      <c r="C3938" t="s">
        <v>1933</v>
      </c>
    </row>
    <row r="3939" spans="2:4" x14ac:dyDescent="0.25">
      <c r="C3939" t="s">
        <v>1934</v>
      </c>
    </row>
    <row r="3940" spans="2:4" x14ac:dyDescent="0.25">
      <c r="C3940" t="s">
        <v>1935</v>
      </c>
    </row>
    <row r="3941" spans="2:4" x14ac:dyDescent="0.25">
      <c r="C3941" t="s">
        <v>1711</v>
      </c>
    </row>
    <row r="3942" spans="2:4" x14ac:dyDescent="0.25">
      <c r="C3942" t="s">
        <v>832</v>
      </c>
    </row>
    <row r="3943" spans="2:4" x14ac:dyDescent="0.25">
      <c r="C3943" t="s">
        <v>1936</v>
      </c>
    </row>
    <row r="3944" spans="2:4" x14ac:dyDescent="0.25">
      <c r="C3944" t="s">
        <v>833</v>
      </c>
    </row>
    <row r="3945" spans="2:4" x14ac:dyDescent="0.25">
      <c r="C3945" t="s">
        <v>1701</v>
      </c>
    </row>
    <row r="3946" spans="2:4" x14ac:dyDescent="0.25">
      <c r="C3946" t="s">
        <v>2179</v>
      </c>
    </row>
    <row r="3947" spans="2:4" x14ac:dyDescent="0.25">
      <c r="C3947" t="s">
        <v>835</v>
      </c>
    </row>
    <row r="3948" spans="2:4" x14ac:dyDescent="0.25">
      <c r="C3948" t="s">
        <v>823</v>
      </c>
    </row>
    <row r="3949" spans="2:4" x14ac:dyDescent="0.25">
      <c r="C3949" t="s">
        <v>558</v>
      </c>
    </row>
    <row r="3950" spans="2:4" x14ac:dyDescent="0.25">
      <c r="D3950" t="s">
        <v>2289</v>
      </c>
    </row>
    <row r="3951" spans="2:4" x14ac:dyDescent="0.25">
      <c r="D3951" t="s">
        <v>2074</v>
      </c>
    </row>
    <row r="3952" spans="2:4" x14ac:dyDescent="0.25">
      <c r="D3952" t="s">
        <v>2236</v>
      </c>
    </row>
    <row r="3953" spans="2:3" x14ac:dyDescent="0.25">
      <c r="C3953" t="s">
        <v>559</v>
      </c>
    </row>
    <row r="3954" spans="2:3" x14ac:dyDescent="0.25">
      <c r="B3954" t="s">
        <v>559</v>
      </c>
    </row>
    <row r="3955" spans="2:3" x14ac:dyDescent="0.25">
      <c r="B3955" t="s">
        <v>830</v>
      </c>
    </row>
    <row r="3956" spans="2:3" x14ac:dyDescent="0.25">
      <c r="B3956" t="s">
        <v>558</v>
      </c>
    </row>
    <row r="3957" spans="2:3" x14ac:dyDescent="0.25">
      <c r="C3957" t="s">
        <v>1920</v>
      </c>
    </row>
    <row r="3958" spans="2:3" x14ac:dyDescent="0.25">
      <c r="C3958" t="s">
        <v>1921</v>
      </c>
    </row>
    <row r="3959" spans="2:3" x14ac:dyDescent="0.25">
      <c r="C3959" t="s">
        <v>1922</v>
      </c>
    </row>
    <row r="3960" spans="2:3" x14ac:dyDescent="0.25">
      <c r="C3960" t="s">
        <v>1923</v>
      </c>
    </row>
    <row r="3961" spans="2:3" x14ac:dyDescent="0.25">
      <c r="C3961" t="s">
        <v>832</v>
      </c>
    </row>
    <row r="3962" spans="2:3" x14ac:dyDescent="0.25">
      <c r="C3962" t="s">
        <v>1924</v>
      </c>
    </row>
    <row r="3963" spans="2:3" x14ac:dyDescent="0.25">
      <c r="C3963" t="s">
        <v>833</v>
      </c>
    </row>
    <row r="3964" spans="2:3" x14ac:dyDescent="0.25">
      <c r="C3964" t="s">
        <v>1701</v>
      </c>
    </row>
    <row r="3965" spans="2:3" x14ac:dyDescent="0.25">
      <c r="C3965" t="s">
        <v>2180</v>
      </c>
    </row>
    <row r="3966" spans="2:3" x14ac:dyDescent="0.25">
      <c r="C3966" t="s">
        <v>835</v>
      </c>
    </row>
    <row r="3967" spans="2:3" x14ac:dyDescent="0.25">
      <c r="C3967" t="s">
        <v>823</v>
      </c>
    </row>
    <row r="3968" spans="2:3" x14ac:dyDescent="0.25">
      <c r="C3968" t="s">
        <v>558</v>
      </c>
    </row>
    <row r="3969" spans="2:4" x14ac:dyDescent="0.25">
      <c r="D3969" t="s">
        <v>2262</v>
      </c>
    </row>
    <row r="3970" spans="2:4" x14ac:dyDescent="0.25">
      <c r="D3970" t="s">
        <v>2074</v>
      </c>
    </row>
    <row r="3971" spans="2:4" x14ac:dyDescent="0.25">
      <c r="D3971" t="s">
        <v>2236</v>
      </c>
    </row>
    <row r="3972" spans="2:4" x14ac:dyDescent="0.25">
      <c r="C3972" t="s">
        <v>559</v>
      </c>
    </row>
    <row r="3973" spans="2:4" x14ac:dyDescent="0.25">
      <c r="B3973" t="s">
        <v>559</v>
      </c>
    </row>
    <row r="3974" spans="2:4" x14ac:dyDescent="0.25">
      <c r="B3974" t="s">
        <v>830</v>
      </c>
    </row>
    <row r="3975" spans="2:4" x14ac:dyDescent="0.25">
      <c r="B3975" t="s">
        <v>558</v>
      </c>
    </row>
    <row r="3976" spans="2:4" x14ac:dyDescent="0.25">
      <c r="C3976" t="s">
        <v>2060</v>
      </c>
    </row>
    <row r="3977" spans="2:4" x14ac:dyDescent="0.25">
      <c r="C3977" t="s">
        <v>2061</v>
      </c>
    </row>
    <row r="3978" spans="2:4" x14ac:dyDescent="0.25">
      <c r="C3978" t="s">
        <v>2062</v>
      </c>
    </row>
    <row r="3979" spans="2:4" x14ac:dyDescent="0.25">
      <c r="C3979" t="s">
        <v>1706</v>
      </c>
    </row>
    <row r="3980" spans="2:4" x14ac:dyDescent="0.25">
      <c r="C3980" t="s">
        <v>832</v>
      </c>
    </row>
    <row r="3981" spans="2:4" x14ac:dyDescent="0.25">
      <c r="C3981" t="s">
        <v>2063</v>
      </c>
    </row>
    <row r="3982" spans="2:4" x14ac:dyDescent="0.25">
      <c r="C3982" t="s">
        <v>833</v>
      </c>
    </row>
    <row r="3983" spans="2:4" x14ac:dyDescent="0.25">
      <c r="C3983" t="s">
        <v>1701</v>
      </c>
    </row>
    <row r="3984" spans="2:4" x14ac:dyDescent="0.25">
      <c r="C3984" t="s">
        <v>2290</v>
      </c>
    </row>
    <row r="3985" spans="2:4" x14ac:dyDescent="0.25">
      <c r="C3985" t="s">
        <v>835</v>
      </c>
    </row>
    <row r="3986" spans="2:4" x14ac:dyDescent="0.25">
      <c r="C3986" t="s">
        <v>823</v>
      </c>
    </row>
    <row r="3987" spans="2:4" x14ac:dyDescent="0.25">
      <c r="C3987" t="s">
        <v>558</v>
      </c>
    </row>
    <row r="3988" spans="2:4" x14ac:dyDescent="0.25">
      <c r="D3988" t="s">
        <v>2291</v>
      </c>
    </row>
    <row r="3989" spans="2:4" x14ac:dyDescent="0.25">
      <c r="D3989" t="s">
        <v>2074</v>
      </c>
    </row>
    <row r="3990" spans="2:4" x14ac:dyDescent="0.25">
      <c r="D3990" t="s">
        <v>2236</v>
      </c>
    </row>
    <row r="3991" spans="2:4" x14ac:dyDescent="0.25">
      <c r="C3991" t="s">
        <v>559</v>
      </c>
    </row>
    <row r="3992" spans="2:4" x14ac:dyDescent="0.25">
      <c r="B3992" t="s">
        <v>559</v>
      </c>
    </row>
    <row r="3993" spans="2:4" x14ac:dyDescent="0.25">
      <c r="B3993" t="s">
        <v>830</v>
      </c>
    </row>
    <row r="3994" spans="2:4" x14ac:dyDescent="0.25">
      <c r="B3994" t="s">
        <v>558</v>
      </c>
    </row>
    <row r="3995" spans="2:4" x14ac:dyDescent="0.25">
      <c r="C3995" t="s">
        <v>1816</v>
      </c>
    </row>
    <row r="3996" spans="2:4" x14ac:dyDescent="0.25">
      <c r="C3996" t="s">
        <v>1817</v>
      </c>
    </row>
    <row r="3997" spans="2:4" x14ac:dyDescent="0.25">
      <c r="C3997" t="s">
        <v>1818</v>
      </c>
    </row>
    <row r="3998" spans="2:4" x14ac:dyDescent="0.25">
      <c r="C3998" t="s">
        <v>1726</v>
      </c>
    </row>
    <row r="3999" spans="2:4" x14ac:dyDescent="0.25">
      <c r="C3999" t="s">
        <v>832</v>
      </c>
    </row>
    <row r="4000" spans="2:4" x14ac:dyDescent="0.25">
      <c r="C4000" t="s">
        <v>1819</v>
      </c>
    </row>
    <row r="4001" spans="3:4" x14ac:dyDescent="0.25">
      <c r="C4001" t="s">
        <v>833</v>
      </c>
    </row>
    <row r="4002" spans="3:4" x14ac:dyDescent="0.25">
      <c r="C4002" t="s">
        <v>1820</v>
      </c>
    </row>
    <row r="4003" spans="3:4" x14ac:dyDescent="0.25">
      <c r="C4003" t="s">
        <v>2181</v>
      </c>
    </row>
    <row r="4004" spans="3:4" x14ac:dyDescent="0.25">
      <c r="C4004" t="s">
        <v>835</v>
      </c>
    </row>
    <row r="4005" spans="3:4" x14ac:dyDescent="0.25">
      <c r="C4005" t="s">
        <v>823</v>
      </c>
    </row>
    <row r="4006" spans="3:4" x14ac:dyDescent="0.25">
      <c r="C4006" t="s">
        <v>558</v>
      </c>
    </row>
    <row r="4007" spans="3:4" x14ac:dyDescent="0.25">
      <c r="D4007" t="s">
        <v>2264</v>
      </c>
    </row>
    <row r="4008" spans="3:4" x14ac:dyDescent="0.25">
      <c r="D4008" t="s">
        <v>2074</v>
      </c>
    </row>
    <row r="4009" spans="3:4" x14ac:dyDescent="0.25">
      <c r="D4009" t="s">
        <v>2236</v>
      </c>
    </row>
    <row r="4010" spans="3:4" x14ac:dyDescent="0.25">
      <c r="C4010" t="s">
        <v>559</v>
      </c>
    </row>
    <row r="4011" spans="3:4" x14ac:dyDescent="0.25">
      <c r="C4011" t="s">
        <v>823</v>
      </c>
    </row>
    <row r="4012" spans="3:4" x14ac:dyDescent="0.25">
      <c r="C4012" t="s">
        <v>558</v>
      </c>
    </row>
    <row r="4013" spans="3:4" x14ac:dyDescent="0.25">
      <c r="D4013" t="s">
        <v>2238</v>
      </c>
    </row>
    <row r="4014" spans="3:4" x14ac:dyDescent="0.25">
      <c r="D4014" t="s">
        <v>2073</v>
      </c>
    </row>
    <row r="4015" spans="3:4" x14ac:dyDescent="0.25">
      <c r="D4015" t="s">
        <v>2236</v>
      </c>
    </row>
    <row r="4016" spans="3:4" x14ac:dyDescent="0.25">
      <c r="C4016" t="s">
        <v>559</v>
      </c>
    </row>
    <row r="4017" spans="2:4" x14ac:dyDescent="0.25">
      <c r="B4017" t="s">
        <v>559</v>
      </c>
    </row>
    <row r="4018" spans="2:4" x14ac:dyDescent="0.25">
      <c r="B4018" t="s">
        <v>830</v>
      </c>
    </row>
    <row r="4019" spans="2:4" x14ac:dyDescent="0.25">
      <c r="B4019" t="s">
        <v>558</v>
      </c>
    </row>
    <row r="4020" spans="2:4" x14ac:dyDescent="0.25">
      <c r="C4020" t="s">
        <v>2749</v>
      </c>
    </row>
    <row r="4021" spans="2:4" x14ac:dyDescent="0.25">
      <c r="C4021" t="s">
        <v>2750</v>
      </c>
    </row>
    <row r="4022" spans="2:4" x14ac:dyDescent="0.25">
      <c r="C4022" t="s">
        <v>2751</v>
      </c>
    </row>
    <row r="4023" spans="2:4" x14ac:dyDescent="0.25">
      <c r="C4023" t="s">
        <v>1721</v>
      </c>
    </row>
    <row r="4024" spans="2:4" x14ac:dyDescent="0.25">
      <c r="C4024" t="s">
        <v>832</v>
      </c>
    </row>
    <row r="4025" spans="2:4" x14ac:dyDescent="0.25">
      <c r="C4025" t="s">
        <v>2752</v>
      </c>
    </row>
    <row r="4026" spans="2:4" x14ac:dyDescent="0.25">
      <c r="C4026" t="s">
        <v>833</v>
      </c>
    </row>
    <row r="4027" spans="2:4" x14ac:dyDescent="0.25">
      <c r="C4027" t="s">
        <v>2753</v>
      </c>
    </row>
    <row r="4028" spans="2:4" x14ac:dyDescent="0.25">
      <c r="C4028" t="s">
        <v>2754</v>
      </c>
    </row>
    <row r="4029" spans="2:4" x14ac:dyDescent="0.25">
      <c r="C4029" t="s">
        <v>835</v>
      </c>
    </row>
    <row r="4030" spans="2:4" x14ac:dyDescent="0.25">
      <c r="C4030" t="s">
        <v>823</v>
      </c>
    </row>
    <row r="4031" spans="2:4" x14ac:dyDescent="0.25">
      <c r="C4031" t="s">
        <v>558</v>
      </c>
    </row>
    <row r="4032" spans="2:4" x14ac:dyDescent="0.25">
      <c r="D4032" t="s">
        <v>2255</v>
      </c>
    </row>
    <row r="4033" spans="2:4" x14ac:dyDescent="0.25">
      <c r="D4033" t="s">
        <v>851</v>
      </c>
    </row>
    <row r="4034" spans="2:4" x14ac:dyDescent="0.25">
      <c r="D4034" t="s">
        <v>852</v>
      </c>
    </row>
    <row r="4035" spans="2:4" x14ac:dyDescent="0.25">
      <c r="C4035" t="s">
        <v>559</v>
      </c>
    </row>
    <row r="4036" spans="2:4" x14ac:dyDescent="0.25">
      <c r="B4036" t="s">
        <v>559</v>
      </c>
    </row>
    <row r="4037" spans="2:4" x14ac:dyDescent="0.25">
      <c r="B4037" t="s">
        <v>830</v>
      </c>
    </row>
    <row r="4038" spans="2:4" x14ac:dyDescent="0.25">
      <c r="B4038" t="s">
        <v>558</v>
      </c>
    </row>
    <row r="4039" spans="2:4" x14ac:dyDescent="0.25">
      <c r="C4039" t="s">
        <v>2755</v>
      </c>
    </row>
    <row r="4040" spans="2:4" x14ac:dyDescent="0.25">
      <c r="C4040" t="s">
        <v>2819</v>
      </c>
    </row>
    <row r="4041" spans="2:4" x14ac:dyDescent="0.25">
      <c r="C4041" t="s">
        <v>2756</v>
      </c>
    </row>
    <row r="4042" spans="2:4" x14ac:dyDescent="0.25">
      <c r="C4042" t="s">
        <v>1908</v>
      </c>
    </row>
    <row r="4043" spans="2:4" x14ac:dyDescent="0.25">
      <c r="C4043" t="s">
        <v>832</v>
      </c>
    </row>
    <row r="4044" spans="2:4" x14ac:dyDescent="0.25">
      <c r="C4044" t="s">
        <v>2757</v>
      </c>
    </row>
    <row r="4045" spans="2:4" x14ac:dyDescent="0.25">
      <c r="C4045" t="s">
        <v>833</v>
      </c>
    </row>
    <row r="4046" spans="2:4" x14ac:dyDescent="0.25">
      <c r="C4046" t="s">
        <v>2758</v>
      </c>
    </row>
    <row r="4047" spans="2:4" x14ac:dyDescent="0.25">
      <c r="C4047" t="s">
        <v>2759</v>
      </c>
    </row>
    <row r="4048" spans="2:4" x14ac:dyDescent="0.25">
      <c r="C4048" t="s">
        <v>835</v>
      </c>
    </row>
    <row r="4049" spans="2:4" x14ac:dyDescent="0.25">
      <c r="C4049" t="s">
        <v>823</v>
      </c>
    </row>
    <row r="4050" spans="2:4" x14ac:dyDescent="0.25">
      <c r="C4050" t="s">
        <v>558</v>
      </c>
    </row>
    <row r="4051" spans="2:4" x14ac:dyDescent="0.25">
      <c r="D4051" t="s">
        <v>2256</v>
      </c>
    </row>
    <row r="4052" spans="2:4" x14ac:dyDescent="0.25">
      <c r="D4052" t="s">
        <v>851</v>
      </c>
    </row>
    <row r="4053" spans="2:4" x14ac:dyDescent="0.25">
      <c r="D4053" t="s">
        <v>852</v>
      </c>
    </row>
    <row r="4054" spans="2:4" x14ac:dyDescent="0.25">
      <c r="C4054" t="s">
        <v>559</v>
      </c>
    </row>
    <row r="4055" spans="2:4" x14ac:dyDescent="0.25">
      <c r="B4055" t="s">
        <v>559</v>
      </c>
    </row>
    <row r="4056" spans="2:4" x14ac:dyDescent="0.25">
      <c r="B4056" t="s">
        <v>830</v>
      </c>
    </row>
    <row r="4057" spans="2:4" x14ac:dyDescent="0.25">
      <c r="B4057" t="s">
        <v>558</v>
      </c>
    </row>
    <row r="4058" spans="2:4" x14ac:dyDescent="0.25">
      <c r="C4058" t="s">
        <v>2760</v>
      </c>
    </row>
    <row r="4059" spans="2:4" x14ac:dyDescent="0.25">
      <c r="C4059" t="s">
        <v>2761</v>
      </c>
    </row>
    <row r="4060" spans="2:4" x14ac:dyDescent="0.25">
      <c r="C4060" t="s">
        <v>2762</v>
      </c>
    </row>
    <row r="4061" spans="2:4" x14ac:dyDescent="0.25">
      <c r="C4061" t="s">
        <v>1721</v>
      </c>
    </row>
    <row r="4062" spans="2:4" x14ac:dyDescent="0.25">
      <c r="C4062" t="s">
        <v>832</v>
      </c>
    </row>
    <row r="4063" spans="2:4" x14ac:dyDescent="0.25">
      <c r="C4063" t="s">
        <v>2763</v>
      </c>
    </row>
    <row r="4064" spans="2:4" x14ac:dyDescent="0.25">
      <c r="C4064" t="s">
        <v>833</v>
      </c>
    </row>
    <row r="4065" spans="2:4" x14ac:dyDescent="0.25">
      <c r="C4065" t="s">
        <v>2764</v>
      </c>
    </row>
    <row r="4066" spans="2:4" x14ac:dyDescent="0.25">
      <c r="C4066" t="s">
        <v>2765</v>
      </c>
    </row>
    <row r="4067" spans="2:4" x14ac:dyDescent="0.25">
      <c r="C4067" t="s">
        <v>835</v>
      </c>
    </row>
    <row r="4068" spans="2:4" x14ac:dyDescent="0.25">
      <c r="C4068" t="s">
        <v>823</v>
      </c>
    </row>
    <row r="4069" spans="2:4" x14ac:dyDescent="0.25">
      <c r="C4069" t="s">
        <v>558</v>
      </c>
    </row>
    <row r="4070" spans="2:4" x14ac:dyDescent="0.25">
      <c r="D4070" t="s">
        <v>2257</v>
      </c>
    </row>
    <row r="4071" spans="2:4" x14ac:dyDescent="0.25">
      <c r="D4071" t="s">
        <v>851</v>
      </c>
    </row>
    <row r="4072" spans="2:4" x14ac:dyDescent="0.25">
      <c r="D4072" t="s">
        <v>852</v>
      </c>
    </row>
    <row r="4073" spans="2:4" x14ac:dyDescent="0.25">
      <c r="C4073" t="s">
        <v>559</v>
      </c>
    </row>
    <row r="4074" spans="2:4" x14ac:dyDescent="0.25">
      <c r="B4074" t="s">
        <v>559</v>
      </c>
    </row>
    <row r="4075" spans="2:4" x14ac:dyDescent="0.25">
      <c r="B4075" t="s">
        <v>830</v>
      </c>
    </row>
    <row r="4076" spans="2:4" x14ac:dyDescent="0.25">
      <c r="B4076" t="s">
        <v>558</v>
      </c>
    </row>
    <row r="4077" spans="2:4" x14ac:dyDescent="0.25">
      <c r="C4077" t="s">
        <v>2766</v>
      </c>
    </row>
    <row r="4078" spans="2:4" x14ac:dyDescent="0.25">
      <c r="C4078" t="s">
        <v>2837</v>
      </c>
    </row>
    <row r="4079" spans="2:4" x14ac:dyDescent="0.25">
      <c r="C4079" t="s">
        <v>2767</v>
      </c>
    </row>
    <row r="4080" spans="2:4" x14ac:dyDescent="0.25">
      <c r="C4080" t="s">
        <v>1825</v>
      </c>
    </row>
    <row r="4081" spans="2:4" x14ac:dyDescent="0.25">
      <c r="C4081" t="s">
        <v>832</v>
      </c>
    </row>
    <row r="4082" spans="2:4" x14ac:dyDescent="0.25">
      <c r="C4082" t="s">
        <v>2768</v>
      </c>
    </row>
    <row r="4083" spans="2:4" x14ac:dyDescent="0.25">
      <c r="C4083" t="s">
        <v>833</v>
      </c>
    </row>
    <row r="4084" spans="2:4" x14ac:dyDescent="0.25">
      <c r="C4084" t="s">
        <v>2769</v>
      </c>
    </row>
    <row r="4085" spans="2:4" x14ac:dyDescent="0.25">
      <c r="C4085" t="s">
        <v>2770</v>
      </c>
    </row>
    <row r="4086" spans="2:4" x14ac:dyDescent="0.25">
      <c r="C4086" t="s">
        <v>835</v>
      </c>
    </row>
    <row r="4087" spans="2:4" x14ac:dyDescent="0.25">
      <c r="C4087" t="s">
        <v>823</v>
      </c>
    </row>
    <row r="4088" spans="2:4" x14ac:dyDescent="0.25">
      <c r="C4088" t="s">
        <v>558</v>
      </c>
    </row>
    <row r="4089" spans="2:4" x14ac:dyDescent="0.25">
      <c r="D4089" t="s">
        <v>2258</v>
      </c>
    </row>
    <row r="4090" spans="2:4" x14ac:dyDescent="0.25">
      <c r="D4090" t="s">
        <v>851</v>
      </c>
    </row>
    <row r="4091" spans="2:4" x14ac:dyDescent="0.25">
      <c r="D4091" t="s">
        <v>852</v>
      </c>
    </row>
    <row r="4092" spans="2:4" x14ac:dyDescent="0.25">
      <c r="C4092" t="s">
        <v>559</v>
      </c>
    </row>
    <row r="4093" spans="2:4" x14ac:dyDescent="0.25">
      <c r="B4093" t="s">
        <v>559</v>
      </c>
    </row>
    <row r="4094" spans="2:4" x14ac:dyDescent="0.25">
      <c r="B4094" t="s">
        <v>830</v>
      </c>
    </row>
    <row r="4095" spans="2:4" x14ac:dyDescent="0.25">
      <c r="B4095" t="s">
        <v>558</v>
      </c>
    </row>
    <row r="4096" spans="2:4" x14ac:dyDescent="0.25">
      <c r="C4096" t="s">
        <v>2771</v>
      </c>
    </row>
    <row r="4097" spans="2:4" x14ac:dyDescent="0.25">
      <c r="C4097" t="s">
        <v>2772</v>
      </c>
    </row>
    <row r="4098" spans="2:4" x14ac:dyDescent="0.25">
      <c r="C4098" t="s">
        <v>2773</v>
      </c>
    </row>
    <row r="4099" spans="2:4" x14ac:dyDescent="0.25">
      <c r="C4099" t="s">
        <v>1890</v>
      </c>
    </row>
    <row r="4100" spans="2:4" x14ac:dyDescent="0.25">
      <c r="C4100" t="s">
        <v>832</v>
      </c>
    </row>
    <row r="4101" spans="2:4" x14ac:dyDescent="0.25">
      <c r="C4101" t="s">
        <v>2774</v>
      </c>
    </row>
    <row r="4102" spans="2:4" x14ac:dyDescent="0.25">
      <c r="C4102" t="s">
        <v>833</v>
      </c>
    </row>
    <row r="4103" spans="2:4" x14ac:dyDescent="0.25">
      <c r="C4103" t="s">
        <v>2775</v>
      </c>
    </row>
    <row r="4104" spans="2:4" x14ac:dyDescent="0.25">
      <c r="C4104" t="s">
        <v>2776</v>
      </c>
    </row>
    <row r="4105" spans="2:4" x14ac:dyDescent="0.25">
      <c r="C4105" t="s">
        <v>835</v>
      </c>
    </row>
    <row r="4106" spans="2:4" x14ac:dyDescent="0.25">
      <c r="C4106" t="s">
        <v>823</v>
      </c>
    </row>
    <row r="4107" spans="2:4" x14ac:dyDescent="0.25">
      <c r="C4107" t="s">
        <v>558</v>
      </c>
    </row>
    <row r="4108" spans="2:4" x14ac:dyDescent="0.25">
      <c r="D4108" t="s">
        <v>2257</v>
      </c>
    </row>
    <row r="4109" spans="2:4" x14ac:dyDescent="0.25">
      <c r="D4109" t="s">
        <v>2074</v>
      </c>
    </row>
    <row r="4110" spans="2:4" x14ac:dyDescent="0.25">
      <c r="D4110" t="s">
        <v>2236</v>
      </c>
    </row>
    <row r="4111" spans="2:4" x14ac:dyDescent="0.25">
      <c r="C4111" t="s">
        <v>559</v>
      </c>
    </row>
    <row r="4112" spans="2:4" x14ac:dyDescent="0.25">
      <c r="B4112" t="s">
        <v>559</v>
      </c>
    </row>
    <row r="4113" spans="2:4" x14ac:dyDescent="0.25">
      <c r="B4113" t="s">
        <v>830</v>
      </c>
    </row>
    <row r="4114" spans="2:4" x14ac:dyDescent="0.25">
      <c r="B4114" t="s">
        <v>558</v>
      </c>
    </row>
    <row r="4115" spans="2:4" x14ac:dyDescent="0.25">
      <c r="C4115" t="s">
        <v>2777</v>
      </c>
    </row>
    <row r="4116" spans="2:4" x14ac:dyDescent="0.25">
      <c r="C4116" t="s">
        <v>2778</v>
      </c>
    </row>
    <row r="4117" spans="2:4" x14ac:dyDescent="0.25">
      <c r="C4117" t="s">
        <v>2779</v>
      </c>
    </row>
    <row r="4118" spans="2:4" x14ac:dyDescent="0.25">
      <c r="C4118" t="s">
        <v>1721</v>
      </c>
    </row>
    <row r="4119" spans="2:4" x14ac:dyDescent="0.25">
      <c r="C4119" t="s">
        <v>832</v>
      </c>
    </row>
    <row r="4120" spans="2:4" x14ac:dyDescent="0.25">
      <c r="C4120" t="s">
        <v>2780</v>
      </c>
    </row>
    <row r="4121" spans="2:4" x14ac:dyDescent="0.25">
      <c r="C4121" t="s">
        <v>833</v>
      </c>
    </row>
    <row r="4122" spans="2:4" x14ac:dyDescent="0.25">
      <c r="C4122" t="s">
        <v>2535</v>
      </c>
    </row>
    <row r="4123" spans="2:4" x14ac:dyDescent="0.25">
      <c r="C4123" t="s">
        <v>2781</v>
      </c>
    </row>
    <row r="4124" spans="2:4" x14ac:dyDescent="0.25">
      <c r="C4124" t="s">
        <v>835</v>
      </c>
    </row>
    <row r="4125" spans="2:4" x14ac:dyDescent="0.25">
      <c r="C4125" t="s">
        <v>823</v>
      </c>
    </row>
    <row r="4126" spans="2:4" x14ac:dyDescent="0.25">
      <c r="C4126" t="s">
        <v>558</v>
      </c>
    </row>
    <row r="4127" spans="2:4" x14ac:dyDescent="0.25">
      <c r="D4127" t="s">
        <v>2259</v>
      </c>
    </row>
    <row r="4128" spans="2:4" x14ac:dyDescent="0.25">
      <c r="D4128" t="s">
        <v>2074</v>
      </c>
    </row>
    <row r="4129" spans="2:4" x14ac:dyDescent="0.25">
      <c r="D4129" t="s">
        <v>2236</v>
      </c>
    </row>
    <row r="4130" spans="2:4" x14ac:dyDescent="0.25">
      <c r="C4130" t="s">
        <v>559</v>
      </c>
    </row>
    <row r="4131" spans="2:4" x14ac:dyDescent="0.25">
      <c r="B4131" t="s">
        <v>559</v>
      </c>
    </row>
    <row r="4132" spans="2:4" x14ac:dyDescent="0.25">
      <c r="B4132" t="s">
        <v>830</v>
      </c>
    </row>
    <row r="4133" spans="2:4" x14ac:dyDescent="0.25">
      <c r="B4133" t="s">
        <v>558</v>
      </c>
    </row>
    <row r="4134" spans="2:4" x14ac:dyDescent="0.25">
      <c r="C4134" t="s">
        <v>2782</v>
      </c>
    </row>
    <row r="4135" spans="2:4" x14ac:dyDescent="0.25">
      <c r="C4135" t="s">
        <v>2783</v>
      </c>
    </row>
    <row r="4136" spans="2:4" x14ac:dyDescent="0.25">
      <c r="C4136" t="s">
        <v>2784</v>
      </c>
    </row>
    <row r="4137" spans="2:4" x14ac:dyDescent="0.25">
      <c r="C4137" t="s">
        <v>1753</v>
      </c>
    </row>
    <row r="4138" spans="2:4" x14ac:dyDescent="0.25">
      <c r="C4138" t="s">
        <v>832</v>
      </c>
    </row>
    <row r="4139" spans="2:4" x14ac:dyDescent="0.25">
      <c r="C4139" t="s">
        <v>2785</v>
      </c>
    </row>
    <row r="4140" spans="2:4" x14ac:dyDescent="0.25">
      <c r="C4140" t="s">
        <v>833</v>
      </c>
    </row>
    <row r="4141" spans="2:4" x14ac:dyDescent="0.25">
      <c r="C4141" t="s">
        <v>2535</v>
      </c>
    </row>
    <row r="4142" spans="2:4" x14ac:dyDescent="0.25">
      <c r="C4142" t="s">
        <v>2786</v>
      </c>
    </row>
    <row r="4143" spans="2:4" x14ac:dyDescent="0.25">
      <c r="C4143" t="s">
        <v>835</v>
      </c>
    </row>
    <row r="4144" spans="2:4" x14ac:dyDescent="0.25">
      <c r="C4144" t="s">
        <v>823</v>
      </c>
    </row>
    <row r="4145" spans="1:4" x14ac:dyDescent="0.25">
      <c r="C4145" t="s">
        <v>558</v>
      </c>
    </row>
    <row r="4146" spans="1:4" x14ac:dyDescent="0.25">
      <c r="D4146" t="s">
        <v>2260</v>
      </c>
    </row>
    <row r="4147" spans="1:4" x14ac:dyDescent="0.25">
      <c r="D4147" t="s">
        <v>851</v>
      </c>
    </row>
    <row r="4148" spans="1:4" x14ac:dyDescent="0.25">
      <c r="D4148" t="s">
        <v>2236</v>
      </c>
    </row>
    <row r="4149" spans="1:4" x14ac:dyDescent="0.25">
      <c r="C4149" t="s">
        <v>559</v>
      </c>
    </row>
    <row r="4150" spans="1:4" x14ac:dyDescent="0.25">
      <c r="B4150" t="s">
        <v>559</v>
      </c>
    </row>
    <row r="4152" spans="1:4" x14ac:dyDescent="0.25">
      <c r="A4152" t="s">
        <v>559</v>
      </c>
    </row>
  </sheetData>
  <pageMargins left="0.7" right="0.7" top="0.75" bottom="0.75" header="0.3" footer="0.3"/>
  <pageSetup orientation="portrait"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D90"/>
  <sheetViews>
    <sheetView workbookViewId="0">
      <selection activeCell="H25" sqref="H25"/>
    </sheetView>
  </sheetViews>
  <sheetFormatPr defaultRowHeight="15" x14ac:dyDescent="0.25"/>
  <sheetData>
    <row r="1" spans="1:4" s="20" customFormat="1" x14ac:dyDescent="0.25">
      <c r="A1" s="29" t="s">
        <v>1116</v>
      </c>
    </row>
    <row r="2" spans="1:4" s="20" customFormat="1" x14ac:dyDescent="0.25">
      <c r="A2" s="29" t="s">
        <v>1106</v>
      </c>
    </row>
    <row r="3" spans="1:4" s="20" customFormat="1" x14ac:dyDescent="0.25">
      <c r="A3" s="29" t="s">
        <v>558</v>
      </c>
    </row>
    <row r="4" spans="1:4" s="20" customFormat="1" x14ac:dyDescent="0.25">
      <c r="A4" s="29"/>
    </row>
    <row r="5" spans="1:4" s="20" customFormat="1" x14ac:dyDescent="0.25">
      <c r="A5" s="29"/>
      <c r="B5" s="29" t="s">
        <v>1111</v>
      </c>
    </row>
    <row r="6" spans="1:4" x14ac:dyDescent="0.25">
      <c r="A6" s="20"/>
      <c r="B6" t="s">
        <v>817</v>
      </c>
    </row>
    <row r="7" spans="1:4" x14ac:dyDescent="0.25">
      <c r="A7" s="20"/>
      <c r="B7" t="s">
        <v>558</v>
      </c>
    </row>
    <row r="8" spans="1:4" x14ac:dyDescent="0.25">
      <c r="A8" s="20"/>
      <c r="C8" t="s">
        <v>1108</v>
      </c>
    </row>
    <row r="9" spans="1:4" x14ac:dyDescent="0.25">
      <c r="A9" s="20"/>
      <c r="C9" s="29" t="s">
        <v>1109</v>
      </c>
    </row>
    <row r="10" spans="1:4" x14ac:dyDescent="0.25">
      <c r="A10" s="20"/>
    </row>
    <row r="11" spans="1:4" x14ac:dyDescent="0.25">
      <c r="A11" s="20"/>
      <c r="C11" t="s">
        <v>1107</v>
      </c>
    </row>
    <row r="12" spans="1:4" x14ac:dyDescent="0.25">
      <c r="A12" s="20"/>
      <c r="C12" s="29" t="s">
        <v>816</v>
      </c>
    </row>
    <row r="13" spans="1:4" x14ac:dyDescent="0.25">
      <c r="A13" s="20"/>
    </row>
    <row r="14" spans="1:4" x14ac:dyDescent="0.25">
      <c r="A14" s="20"/>
      <c r="C14" t="s">
        <v>823</v>
      </c>
    </row>
    <row r="15" spans="1:4" x14ac:dyDescent="0.25">
      <c r="A15" s="20"/>
      <c r="C15" t="s">
        <v>558</v>
      </c>
    </row>
    <row r="16" spans="1:4" x14ac:dyDescent="0.25">
      <c r="A16" s="20"/>
      <c r="D16" t="s">
        <v>828</v>
      </c>
    </row>
    <row r="17" spans="1:4" x14ac:dyDescent="0.25">
      <c r="A17" s="20"/>
      <c r="D17" t="s">
        <v>851</v>
      </c>
    </row>
    <row r="18" spans="1:4" x14ac:dyDescent="0.25">
      <c r="A18" s="20"/>
      <c r="D18" t="s">
        <v>852</v>
      </c>
    </row>
    <row r="19" spans="1:4" x14ac:dyDescent="0.25">
      <c r="A19" s="20"/>
      <c r="C19" t="s">
        <v>559</v>
      </c>
    </row>
    <row r="20" spans="1:4" x14ac:dyDescent="0.25">
      <c r="A20" s="20"/>
      <c r="B20" t="s">
        <v>559</v>
      </c>
    </row>
    <row r="21" spans="1:4" s="20" customFormat="1" x14ac:dyDescent="0.25"/>
    <row r="22" spans="1:4" x14ac:dyDescent="0.25">
      <c r="A22" s="20"/>
      <c r="B22" s="29" t="s">
        <v>1110</v>
      </c>
    </row>
    <row r="23" spans="1:4" x14ac:dyDescent="0.25">
      <c r="A23" s="20"/>
      <c r="B23" t="s">
        <v>830</v>
      </c>
    </row>
    <row r="24" spans="1:4" x14ac:dyDescent="0.25">
      <c r="A24" s="20"/>
      <c r="B24" t="s">
        <v>558</v>
      </c>
    </row>
    <row r="25" spans="1:4" x14ac:dyDescent="0.25">
      <c r="A25" s="20"/>
      <c r="C25" t="s">
        <v>846</v>
      </c>
    </row>
    <row r="26" spans="1:4" x14ac:dyDescent="0.25">
      <c r="A26" s="20"/>
      <c r="C26" t="s">
        <v>1122</v>
      </c>
    </row>
    <row r="27" spans="1:4" x14ac:dyDescent="0.25">
      <c r="A27" s="20"/>
      <c r="C27" t="s">
        <v>1121</v>
      </c>
    </row>
    <row r="28" spans="1:4" x14ac:dyDescent="0.25">
      <c r="A28" s="20"/>
      <c r="C28" t="s">
        <v>1113</v>
      </c>
    </row>
    <row r="29" spans="1:4" x14ac:dyDescent="0.25">
      <c r="A29" s="20"/>
      <c r="C29" t="s">
        <v>832</v>
      </c>
    </row>
    <row r="30" spans="1:4" x14ac:dyDescent="0.25">
      <c r="A30" s="20"/>
      <c r="C30" t="s">
        <v>847</v>
      </c>
    </row>
    <row r="31" spans="1:4" x14ac:dyDescent="0.25">
      <c r="A31" s="20"/>
      <c r="C31" t="s">
        <v>833</v>
      </c>
    </row>
    <row r="32" spans="1:4" x14ac:dyDescent="0.25">
      <c r="A32" s="20"/>
      <c r="C32" t="s">
        <v>834</v>
      </c>
    </row>
    <row r="33" spans="1:4" x14ac:dyDescent="0.25">
      <c r="A33" s="20"/>
      <c r="C33" s="20" t="s">
        <v>1112</v>
      </c>
    </row>
    <row r="34" spans="1:4" x14ac:dyDescent="0.25">
      <c r="A34" s="20"/>
      <c r="C34" t="s">
        <v>835</v>
      </c>
    </row>
    <row r="35" spans="1:4" x14ac:dyDescent="0.25">
      <c r="A35" s="20"/>
      <c r="C35" t="s">
        <v>823</v>
      </c>
    </row>
    <row r="36" spans="1:4" x14ac:dyDescent="0.25">
      <c r="A36" s="20"/>
      <c r="C36" t="s">
        <v>558</v>
      </c>
    </row>
    <row r="37" spans="1:4" x14ac:dyDescent="0.25">
      <c r="A37" s="20"/>
      <c r="D37" t="s">
        <v>829</v>
      </c>
    </row>
    <row r="38" spans="1:4" x14ac:dyDescent="0.25">
      <c r="A38" s="20"/>
      <c r="D38" t="s">
        <v>851</v>
      </c>
    </row>
    <row r="39" spans="1:4" x14ac:dyDescent="0.25">
      <c r="A39" s="20"/>
      <c r="D39" t="s">
        <v>852</v>
      </c>
    </row>
    <row r="40" spans="1:4" x14ac:dyDescent="0.25">
      <c r="A40" s="20"/>
      <c r="C40" t="s">
        <v>559</v>
      </c>
    </row>
    <row r="41" spans="1:4" x14ac:dyDescent="0.25">
      <c r="A41" s="20"/>
      <c r="B41" t="s">
        <v>559</v>
      </c>
    </row>
    <row r="42" spans="1:4" x14ac:dyDescent="0.25">
      <c r="A42" s="20"/>
      <c r="B42" t="s">
        <v>830</v>
      </c>
    </row>
    <row r="43" spans="1:4" x14ac:dyDescent="0.25">
      <c r="A43" s="20"/>
      <c r="B43" t="s">
        <v>558</v>
      </c>
    </row>
    <row r="44" spans="1:4" x14ac:dyDescent="0.25">
      <c r="A44" s="20"/>
      <c r="C44" t="s">
        <v>842</v>
      </c>
    </row>
    <row r="45" spans="1:4" x14ac:dyDescent="0.25">
      <c r="A45" s="20"/>
      <c r="C45" t="s">
        <v>1120</v>
      </c>
    </row>
    <row r="46" spans="1:4" x14ac:dyDescent="0.25">
      <c r="A46" s="20"/>
      <c r="C46" t="s">
        <v>1117</v>
      </c>
    </row>
    <row r="47" spans="1:4" x14ac:dyDescent="0.25">
      <c r="A47" s="20"/>
      <c r="C47" t="s">
        <v>836</v>
      </c>
    </row>
    <row r="48" spans="1:4" x14ac:dyDescent="0.25">
      <c r="A48" s="20"/>
      <c r="C48" t="s">
        <v>832</v>
      </c>
    </row>
    <row r="49" spans="1:4" x14ac:dyDescent="0.25">
      <c r="A49" s="20"/>
      <c r="C49" t="s">
        <v>843</v>
      </c>
    </row>
    <row r="50" spans="1:4" x14ac:dyDescent="0.25">
      <c r="A50" s="20"/>
      <c r="C50" t="s">
        <v>833</v>
      </c>
    </row>
    <row r="51" spans="1:4" x14ac:dyDescent="0.25">
      <c r="A51" s="20"/>
      <c r="C51" t="s">
        <v>834</v>
      </c>
    </row>
    <row r="52" spans="1:4" x14ac:dyDescent="0.25">
      <c r="A52" s="20"/>
      <c r="C52" t="s">
        <v>1114</v>
      </c>
    </row>
    <row r="53" spans="1:4" x14ac:dyDescent="0.25">
      <c r="A53" s="20"/>
      <c r="C53" t="s">
        <v>835</v>
      </c>
    </row>
    <row r="54" spans="1:4" x14ac:dyDescent="0.25">
      <c r="A54" s="20"/>
      <c r="C54" t="s">
        <v>823</v>
      </c>
    </row>
    <row r="55" spans="1:4" x14ac:dyDescent="0.25">
      <c r="A55" s="20"/>
      <c r="C55" t="s">
        <v>558</v>
      </c>
    </row>
    <row r="56" spans="1:4" x14ac:dyDescent="0.25">
      <c r="A56" s="20"/>
      <c r="D56" t="s">
        <v>828</v>
      </c>
    </row>
    <row r="57" spans="1:4" x14ac:dyDescent="0.25">
      <c r="A57" s="20"/>
      <c r="D57" t="s">
        <v>851</v>
      </c>
    </row>
    <row r="58" spans="1:4" x14ac:dyDescent="0.25">
      <c r="A58" s="20"/>
      <c r="D58" t="s">
        <v>852</v>
      </c>
    </row>
    <row r="59" spans="1:4" x14ac:dyDescent="0.25">
      <c r="A59" s="20"/>
      <c r="C59" t="s">
        <v>559</v>
      </c>
    </row>
    <row r="60" spans="1:4" x14ac:dyDescent="0.25">
      <c r="A60" s="20"/>
      <c r="B60" t="s">
        <v>559</v>
      </c>
    </row>
    <row r="61" spans="1:4" x14ac:dyDescent="0.25">
      <c r="A61" s="20"/>
      <c r="B61" t="s">
        <v>830</v>
      </c>
    </row>
    <row r="62" spans="1:4" x14ac:dyDescent="0.25">
      <c r="A62" s="20"/>
      <c r="B62" t="s">
        <v>558</v>
      </c>
    </row>
    <row r="63" spans="1:4" x14ac:dyDescent="0.25">
      <c r="A63" s="20"/>
      <c r="C63" t="s">
        <v>844</v>
      </c>
    </row>
    <row r="64" spans="1:4" x14ac:dyDescent="0.25">
      <c r="A64" s="20"/>
      <c r="C64" t="s">
        <v>1119</v>
      </c>
    </row>
    <row r="65" spans="1:4" x14ac:dyDescent="0.25">
      <c r="A65" s="20"/>
      <c r="C65" t="s">
        <v>1118</v>
      </c>
    </row>
    <row r="66" spans="1:4" x14ac:dyDescent="0.25">
      <c r="A66" s="20"/>
      <c r="C66" t="s">
        <v>838</v>
      </c>
    </row>
    <row r="67" spans="1:4" x14ac:dyDescent="0.25">
      <c r="A67" s="20"/>
      <c r="C67" t="s">
        <v>832</v>
      </c>
    </row>
    <row r="68" spans="1:4" x14ac:dyDescent="0.25">
      <c r="A68" s="20"/>
      <c r="C68" t="s">
        <v>845</v>
      </c>
    </row>
    <row r="69" spans="1:4" x14ac:dyDescent="0.25">
      <c r="A69" s="20"/>
      <c r="C69" t="s">
        <v>833</v>
      </c>
    </row>
    <row r="70" spans="1:4" x14ac:dyDescent="0.25">
      <c r="A70" s="20"/>
      <c r="C70" t="s">
        <v>834</v>
      </c>
    </row>
    <row r="71" spans="1:4" x14ac:dyDescent="0.25">
      <c r="A71" s="20"/>
      <c r="C71" t="s">
        <v>1115</v>
      </c>
    </row>
    <row r="72" spans="1:4" x14ac:dyDescent="0.25">
      <c r="A72" s="20"/>
      <c r="C72" t="s">
        <v>835</v>
      </c>
    </row>
    <row r="73" spans="1:4" x14ac:dyDescent="0.25">
      <c r="A73" s="20"/>
      <c r="C73" t="s">
        <v>823</v>
      </c>
    </row>
    <row r="74" spans="1:4" x14ac:dyDescent="0.25">
      <c r="A74" s="20"/>
      <c r="C74" t="s">
        <v>558</v>
      </c>
    </row>
    <row r="75" spans="1:4" x14ac:dyDescent="0.25">
      <c r="A75" s="20"/>
      <c r="D75" t="s">
        <v>849</v>
      </c>
    </row>
    <row r="76" spans="1:4" x14ac:dyDescent="0.25">
      <c r="A76" s="20"/>
      <c r="D76" t="s">
        <v>851</v>
      </c>
    </row>
    <row r="77" spans="1:4" x14ac:dyDescent="0.25">
      <c r="A77" s="20"/>
      <c r="D77" t="s">
        <v>852</v>
      </c>
    </row>
    <row r="78" spans="1:4" x14ac:dyDescent="0.25">
      <c r="A78" s="20"/>
      <c r="C78" t="s">
        <v>559</v>
      </c>
    </row>
    <row r="79" spans="1:4" x14ac:dyDescent="0.25">
      <c r="A79" s="20"/>
      <c r="C79" t="s">
        <v>823</v>
      </c>
    </row>
    <row r="80" spans="1:4" x14ac:dyDescent="0.25">
      <c r="A80" s="20"/>
      <c r="C80" t="s">
        <v>558</v>
      </c>
    </row>
    <row r="81" spans="1:4" x14ac:dyDescent="0.25">
      <c r="A81" s="20"/>
      <c r="D81" t="s">
        <v>850</v>
      </c>
    </row>
    <row r="82" spans="1:4" x14ac:dyDescent="0.25">
      <c r="A82" s="20"/>
      <c r="D82" t="s">
        <v>851</v>
      </c>
    </row>
    <row r="83" spans="1:4" x14ac:dyDescent="0.25">
      <c r="A83" s="20"/>
      <c r="D83" t="s">
        <v>852</v>
      </c>
    </row>
    <row r="84" spans="1:4" x14ac:dyDescent="0.25">
      <c r="A84" s="20"/>
      <c r="C84" t="s">
        <v>559</v>
      </c>
    </row>
    <row r="85" spans="1:4" x14ac:dyDescent="0.25">
      <c r="B85" t="s">
        <v>559</v>
      </c>
    </row>
    <row r="86" spans="1:4" x14ac:dyDescent="0.25">
      <c r="A86" t="s">
        <v>559</v>
      </c>
    </row>
    <row r="88" spans="1:4" x14ac:dyDescent="0.25">
      <c r="A88" s="29" t="s">
        <v>1314</v>
      </c>
    </row>
    <row r="90" spans="1:4" x14ac:dyDescent="0.25">
      <c r="A90" s="29" t="s">
        <v>1315</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S124"/>
  <sheetViews>
    <sheetView workbookViewId="0">
      <selection activeCell="H30" sqref="H30"/>
    </sheetView>
  </sheetViews>
  <sheetFormatPr defaultRowHeight="15" x14ac:dyDescent="0.25"/>
  <sheetData>
    <row r="1" spans="1:6" x14ac:dyDescent="0.25">
      <c r="A1" s="29" t="s">
        <v>1123</v>
      </c>
    </row>
    <row r="2" spans="1:6" x14ac:dyDescent="0.25">
      <c r="A2" s="29" t="s">
        <v>1124</v>
      </c>
    </row>
    <row r="3" spans="1:6" x14ac:dyDescent="0.25">
      <c r="A3" t="s">
        <v>558</v>
      </c>
    </row>
    <row r="4" spans="1:6" x14ac:dyDescent="0.25">
      <c r="B4" s="20" t="s">
        <v>811</v>
      </c>
      <c r="C4" s="20"/>
      <c r="D4" s="20"/>
      <c r="E4" s="20"/>
      <c r="F4" s="20"/>
    </row>
    <row r="5" spans="1:6" x14ac:dyDescent="0.25">
      <c r="B5" s="20" t="s">
        <v>558</v>
      </c>
      <c r="C5" s="20"/>
      <c r="D5" s="20"/>
      <c r="E5" s="20"/>
      <c r="F5" s="20"/>
    </row>
    <row r="6" spans="1:6" x14ac:dyDescent="0.25">
      <c r="B6" s="20"/>
      <c r="C6" s="20" t="s">
        <v>823</v>
      </c>
      <c r="D6" s="20"/>
      <c r="E6" s="20"/>
      <c r="F6" s="20"/>
    </row>
    <row r="7" spans="1:6" x14ac:dyDescent="0.25">
      <c r="B7" s="20"/>
      <c r="C7" s="20" t="s">
        <v>558</v>
      </c>
      <c r="D7" s="20"/>
      <c r="E7" s="20"/>
      <c r="F7" s="20"/>
    </row>
    <row r="8" spans="1:6" x14ac:dyDescent="0.25">
      <c r="B8" s="20"/>
      <c r="C8" s="20"/>
      <c r="D8" s="20" t="s">
        <v>827</v>
      </c>
      <c r="E8" s="20"/>
      <c r="F8" s="20"/>
    </row>
    <row r="9" spans="1:6" x14ac:dyDescent="0.25">
      <c r="B9" s="20"/>
      <c r="C9" s="20"/>
      <c r="D9" s="20" t="s">
        <v>851</v>
      </c>
      <c r="E9" s="20"/>
      <c r="F9" s="20"/>
    </row>
    <row r="10" spans="1:6" x14ac:dyDescent="0.25">
      <c r="B10" s="20"/>
      <c r="C10" s="20"/>
      <c r="D10" s="20" t="s">
        <v>852</v>
      </c>
      <c r="E10" s="20"/>
      <c r="F10" s="20"/>
    </row>
    <row r="11" spans="1:6" x14ac:dyDescent="0.25">
      <c r="B11" s="20"/>
      <c r="C11" s="20" t="s">
        <v>559</v>
      </c>
      <c r="D11" s="20"/>
      <c r="E11" s="20"/>
      <c r="F11" s="20"/>
    </row>
    <row r="12" spans="1:6" x14ac:dyDescent="0.25">
      <c r="B12" s="20" t="s">
        <v>559</v>
      </c>
      <c r="C12" s="20"/>
      <c r="D12" s="20"/>
      <c r="E12" s="20"/>
      <c r="F12" s="20"/>
    </row>
    <row r="13" spans="1:6" x14ac:dyDescent="0.25">
      <c r="B13" t="s">
        <v>830</v>
      </c>
    </row>
    <row r="14" spans="1:6" x14ac:dyDescent="0.25">
      <c r="B14" t="s">
        <v>558</v>
      </c>
    </row>
    <row r="15" spans="1:6" x14ac:dyDescent="0.25">
      <c r="C15" t="s">
        <v>839</v>
      </c>
    </row>
    <row r="16" spans="1:6" x14ac:dyDescent="0.25">
      <c r="C16" t="s">
        <v>840</v>
      </c>
    </row>
    <row r="17" spans="3:4" x14ac:dyDescent="0.25">
      <c r="C17" t="s">
        <v>831</v>
      </c>
    </row>
    <row r="18" spans="3:4" x14ac:dyDescent="0.25">
      <c r="C18" t="s">
        <v>837</v>
      </c>
    </row>
    <row r="19" spans="3:4" x14ac:dyDescent="0.25">
      <c r="C19" t="s">
        <v>832</v>
      </c>
    </row>
    <row r="20" spans="3:4" x14ac:dyDescent="0.25">
      <c r="C20" t="s">
        <v>841</v>
      </c>
    </row>
    <row r="21" spans="3:4" x14ac:dyDescent="0.25">
      <c r="C21" t="s">
        <v>833</v>
      </c>
    </row>
    <row r="22" spans="3:4" x14ac:dyDescent="0.25">
      <c r="C22" t="s">
        <v>834</v>
      </c>
    </row>
    <row r="23" spans="3:4" x14ac:dyDescent="0.25">
      <c r="C23" t="s">
        <v>1125</v>
      </c>
    </row>
    <row r="24" spans="3:4" x14ac:dyDescent="0.25">
      <c r="C24" t="s">
        <v>835</v>
      </c>
    </row>
    <row r="25" spans="3:4" x14ac:dyDescent="0.25">
      <c r="C25" t="s">
        <v>823</v>
      </c>
    </row>
    <row r="26" spans="3:4" x14ac:dyDescent="0.25">
      <c r="C26" t="s">
        <v>558</v>
      </c>
    </row>
    <row r="27" spans="3:4" x14ac:dyDescent="0.25">
      <c r="D27" t="s">
        <v>848</v>
      </c>
    </row>
    <row r="28" spans="3:4" x14ac:dyDescent="0.25">
      <c r="D28" t="s">
        <v>851</v>
      </c>
    </row>
    <row r="29" spans="3:4" x14ac:dyDescent="0.25">
      <c r="D29" t="s">
        <v>852</v>
      </c>
    </row>
    <row r="30" spans="3:4" x14ac:dyDescent="0.25">
      <c r="C30" t="s">
        <v>559</v>
      </c>
    </row>
    <row r="31" spans="3:4" x14ac:dyDescent="0.25">
      <c r="C31" t="s">
        <v>823</v>
      </c>
    </row>
    <row r="32" spans="3:4" x14ac:dyDescent="0.25">
      <c r="C32" t="s">
        <v>558</v>
      </c>
    </row>
    <row r="33" spans="2:4" x14ac:dyDescent="0.25">
      <c r="D33" t="s">
        <v>827</v>
      </c>
    </row>
    <row r="34" spans="2:4" x14ac:dyDescent="0.25">
      <c r="D34" t="s">
        <v>851</v>
      </c>
    </row>
    <row r="35" spans="2:4" x14ac:dyDescent="0.25">
      <c r="D35" t="s">
        <v>852</v>
      </c>
    </row>
    <row r="36" spans="2:4" x14ac:dyDescent="0.25">
      <c r="C36" t="s">
        <v>559</v>
      </c>
    </row>
    <row r="37" spans="2:4" x14ac:dyDescent="0.25">
      <c r="B37" t="s">
        <v>559</v>
      </c>
    </row>
    <row r="80" spans="17:19" x14ac:dyDescent="0.25">
      <c r="Q80" s="20"/>
      <c r="R80" s="20"/>
      <c r="S80" s="20"/>
    </row>
    <row r="81" spans="17:19" x14ac:dyDescent="0.25">
      <c r="Q81" s="20"/>
      <c r="R81" s="20"/>
      <c r="S81" s="20"/>
    </row>
    <row r="82" spans="17:19" x14ac:dyDescent="0.25">
      <c r="Q82" s="20"/>
      <c r="R82" s="20"/>
      <c r="S82" s="20"/>
    </row>
    <row r="83" spans="17:19" x14ac:dyDescent="0.25">
      <c r="Q83" s="20"/>
      <c r="R83" s="20"/>
      <c r="S83" s="20"/>
    </row>
    <row r="84" spans="17:19" x14ac:dyDescent="0.25">
      <c r="Q84" s="20"/>
      <c r="R84" s="20"/>
      <c r="S84" s="20"/>
    </row>
    <row r="85" spans="17:19" x14ac:dyDescent="0.25">
      <c r="Q85" s="20"/>
      <c r="R85" s="20"/>
      <c r="S85" s="20"/>
    </row>
    <row r="86" spans="17:19" x14ac:dyDescent="0.25">
      <c r="Q86" s="20"/>
      <c r="R86" s="20"/>
      <c r="S86" s="20"/>
    </row>
    <row r="87" spans="17:19" x14ac:dyDescent="0.25">
      <c r="Q87" s="20"/>
      <c r="R87" s="20"/>
      <c r="S87" s="20"/>
    </row>
    <row r="88" spans="17:19" x14ac:dyDescent="0.25">
      <c r="Q88" s="20"/>
      <c r="R88" s="20"/>
      <c r="S88" s="20"/>
    </row>
    <row r="89" spans="17:19" x14ac:dyDescent="0.25">
      <c r="Q89" s="20"/>
      <c r="R89" s="20"/>
      <c r="S89" s="20"/>
    </row>
    <row r="90" spans="17:19" x14ac:dyDescent="0.25">
      <c r="Q90" s="20"/>
      <c r="R90" s="20"/>
      <c r="S90" s="20"/>
    </row>
    <row r="91" spans="17:19" x14ac:dyDescent="0.25">
      <c r="Q91" s="20"/>
      <c r="R91" s="20"/>
      <c r="S91" s="20"/>
    </row>
    <row r="92" spans="17:19" x14ac:dyDescent="0.25">
      <c r="Q92" s="20"/>
      <c r="R92" s="20"/>
      <c r="S92" s="20"/>
    </row>
    <row r="93" spans="17:19" x14ac:dyDescent="0.25">
      <c r="Q93" s="20"/>
      <c r="R93" s="20"/>
      <c r="S93" s="20"/>
    </row>
    <row r="94" spans="17:19" x14ac:dyDescent="0.25">
      <c r="Q94" s="20"/>
      <c r="R94" s="20"/>
      <c r="S94" s="20"/>
    </row>
    <row r="95" spans="17:19" x14ac:dyDescent="0.25">
      <c r="Q95" s="20"/>
      <c r="R95" s="20"/>
      <c r="S95" s="20"/>
    </row>
    <row r="96" spans="17:19" x14ac:dyDescent="0.25">
      <c r="Q96" s="20"/>
      <c r="R96" s="20"/>
      <c r="S96" s="20"/>
    </row>
    <row r="97" spans="17:19" x14ac:dyDescent="0.25">
      <c r="Q97" s="20"/>
      <c r="R97" s="20"/>
      <c r="S97" s="20"/>
    </row>
    <row r="98" spans="17:19" x14ac:dyDescent="0.25">
      <c r="Q98" s="20"/>
      <c r="R98" s="20"/>
      <c r="S98" s="20"/>
    </row>
    <row r="99" spans="17:19" x14ac:dyDescent="0.25">
      <c r="Q99" s="20"/>
      <c r="R99" s="20"/>
      <c r="S99" s="20"/>
    </row>
    <row r="100" spans="17:19" x14ac:dyDescent="0.25">
      <c r="Q100" s="20"/>
      <c r="R100" s="20"/>
      <c r="S100" s="20"/>
    </row>
    <row r="101" spans="17:19" x14ac:dyDescent="0.25">
      <c r="Q101" s="20"/>
      <c r="R101" s="20"/>
      <c r="S101" s="20"/>
    </row>
    <row r="102" spans="17:19" x14ac:dyDescent="0.25">
      <c r="Q102" s="20"/>
      <c r="R102" s="20"/>
      <c r="S102" s="20"/>
    </row>
    <row r="103" spans="17:19" x14ac:dyDescent="0.25">
      <c r="Q103" s="20"/>
      <c r="R103" s="20"/>
      <c r="S103" s="20"/>
    </row>
    <row r="104" spans="17:19" x14ac:dyDescent="0.25">
      <c r="Q104" s="20"/>
      <c r="R104" s="20"/>
      <c r="S104" s="20"/>
    </row>
    <row r="105" spans="17:19" x14ac:dyDescent="0.25">
      <c r="Q105" s="20"/>
      <c r="R105" s="20"/>
      <c r="S105" s="20"/>
    </row>
    <row r="106" spans="17:19" x14ac:dyDescent="0.25">
      <c r="Q106" s="20"/>
      <c r="R106" s="20"/>
      <c r="S106" s="20"/>
    </row>
    <row r="107" spans="17:19" x14ac:dyDescent="0.25">
      <c r="Q107" s="20"/>
      <c r="R107" s="20"/>
      <c r="S107" s="20"/>
    </row>
    <row r="108" spans="17:19" x14ac:dyDescent="0.25">
      <c r="Q108" s="20"/>
      <c r="R108" s="20"/>
      <c r="S108" s="20"/>
    </row>
    <row r="109" spans="17:19" x14ac:dyDescent="0.25">
      <c r="Q109" s="20"/>
      <c r="R109" s="20"/>
      <c r="S109" s="20"/>
    </row>
    <row r="110" spans="17:19" x14ac:dyDescent="0.25">
      <c r="Q110" s="20"/>
      <c r="R110" s="20"/>
      <c r="S110" s="20"/>
    </row>
    <row r="111" spans="17:19" x14ac:dyDescent="0.25">
      <c r="Q111" s="20"/>
      <c r="R111" s="20"/>
      <c r="S111" s="20"/>
    </row>
    <row r="112" spans="17:19" x14ac:dyDescent="0.25">
      <c r="Q112" s="20"/>
      <c r="R112" s="20"/>
      <c r="S112" s="20"/>
    </row>
    <row r="113" spans="17:19" x14ac:dyDescent="0.25">
      <c r="Q113" s="20"/>
      <c r="R113" s="20"/>
      <c r="S113" s="20"/>
    </row>
    <row r="114" spans="17:19" x14ac:dyDescent="0.25">
      <c r="Q114" s="20"/>
      <c r="R114" s="20"/>
      <c r="S114" s="20"/>
    </row>
    <row r="115" spans="17:19" x14ac:dyDescent="0.25">
      <c r="Q115" s="20"/>
      <c r="R115" s="20"/>
      <c r="S115" s="20"/>
    </row>
    <row r="116" spans="17:19" x14ac:dyDescent="0.25">
      <c r="Q116" s="20"/>
      <c r="R116" s="20"/>
      <c r="S116" s="20"/>
    </row>
    <row r="117" spans="17:19" x14ac:dyDescent="0.25">
      <c r="Q117" s="20"/>
      <c r="R117" s="20"/>
      <c r="S117" s="20"/>
    </row>
    <row r="118" spans="17:19" x14ac:dyDescent="0.25">
      <c r="Q118" s="20"/>
      <c r="R118" s="20"/>
      <c r="S118" s="20"/>
    </row>
    <row r="119" spans="17:19" x14ac:dyDescent="0.25">
      <c r="Q119" s="20"/>
      <c r="R119" s="20"/>
      <c r="S119" s="20"/>
    </row>
    <row r="120" spans="17:19" x14ac:dyDescent="0.25">
      <c r="Q120" s="20"/>
      <c r="R120" s="20"/>
      <c r="S120" s="20"/>
    </row>
    <row r="121" spans="17:19" x14ac:dyDescent="0.25">
      <c r="Q121" s="20"/>
      <c r="R121" s="20"/>
      <c r="S121" s="20"/>
    </row>
    <row r="122" spans="17:19" x14ac:dyDescent="0.25">
      <c r="Q122" s="20"/>
      <c r="R122" s="20"/>
      <c r="S122" s="20"/>
    </row>
    <row r="123" spans="17:19" x14ac:dyDescent="0.25">
      <c r="Q123" s="20"/>
      <c r="R123" s="20"/>
      <c r="S123" s="20"/>
    </row>
    <row r="124" spans="17:19" x14ac:dyDescent="0.25">
      <c r="Q124" s="20"/>
      <c r="R124" s="20"/>
      <c r="S124" s="20"/>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
  <sheetViews>
    <sheetView workbookViewId="0"/>
  </sheetViews>
  <sheetFormatPr defaultRowHeight="15" x14ac:dyDescent="0.25"/>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P541"/>
  <sheetViews>
    <sheetView workbookViewId="0">
      <selection activeCell="E8" sqref="E8"/>
    </sheetView>
  </sheetViews>
  <sheetFormatPr defaultRowHeight="15" x14ac:dyDescent="0.25"/>
  <cols>
    <col min="1" max="2" width="5.28515625" style="7" customWidth="1"/>
    <col min="3" max="3" width="6.85546875" style="7" bestFit="1" customWidth="1"/>
    <col min="4" max="4" width="56.28515625" style="7" bestFit="1" customWidth="1"/>
    <col min="5" max="5" width="78.7109375" style="7" bestFit="1" customWidth="1"/>
    <col min="6" max="16384" width="9.140625" style="7"/>
  </cols>
  <sheetData>
    <row r="1" spans="1:16" x14ac:dyDescent="0.25">
      <c r="E1" s="17"/>
    </row>
    <row r="2" spans="1:16" x14ac:dyDescent="0.25">
      <c r="A2" s="7">
        <v>1</v>
      </c>
      <c r="B2" s="7" t="s">
        <v>814</v>
      </c>
      <c r="E2" s="17"/>
    </row>
    <row r="3" spans="1:16" x14ac:dyDescent="0.25">
      <c r="A3" s="7">
        <v>2</v>
      </c>
      <c r="B3" s="7" t="s">
        <v>558</v>
      </c>
      <c r="E3" s="17"/>
    </row>
    <row r="4" spans="1:16" x14ac:dyDescent="0.25">
      <c r="A4" s="7">
        <v>3</v>
      </c>
      <c r="C4" s="7" t="s">
        <v>1313</v>
      </c>
      <c r="E4" s="17"/>
    </row>
    <row r="5" spans="1:16" x14ac:dyDescent="0.25">
      <c r="A5" s="7">
        <v>4</v>
      </c>
      <c r="C5" s="7" t="s">
        <v>558</v>
      </c>
      <c r="E5" s="17"/>
    </row>
    <row r="6" spans="1:16" x14ac:dyDescent="0.25">
      <c r="A6" s="7">
        <v>5</v>
      </c>
      <c r="D6" s="27" t="s">
        <v>1143</v>
      </c>
      <c r="E6" s="17"/>
    </row>
    <row r="7" spans="1:16" x14ac:dyDescent="0.25">
      <c r="A7" s="7">
        <v>6</v>
      </c>
      <c r="D7" s="20" t="s">
        <v>1144</v>
      </c>
      <c r="E7" s="17" t="s">
        <v>245</v>
      </c>
    </row>
    <row r="8" spans="1:16" x14ac:dyDescent="0.25">
      <c r="A8" s="7">
        <v>7</v>
      </c>
      <c r="D8" s="20" t="s">
        <v>1148</v>
      </c>
      <c r="E8" s="17" t="s">
        <v>257</v>
      </c>
      <c r="P8" s="23"/>
    </row>
    <row r="9" spans="1:16" x14ac:dyDescent="0.25">
      <c r="A9" s="7">
        <v>8</v>
      </c>
      <c r="D9" s="20" t="s">
        <v>1149</v>
      </c>
      <c r="E9" s="17" t="s">
        <v>2863</v>
      </c>
    </row>
    <row r="10" spans="1:16" x14ac:dyDescent="0.25">
      <c r="A10" s="7">
        <v>9</v>
      </c>
      <c r="D10" s="20" t="s">
        <v>1146</v>
      </c>
      <c r="E10" s="17" t="s">
        <v>463</v>
      </c>
    </row>
    <row r="11" spans="1:16" x14ac:dyDescent="0.25">
      <c r="A11" s="7">
        <v>10</v>
      </c>
      <c r="D11" s="20" t="s">
        <v>1147</v>
      </c>
      <c r="E11" s="30" t="s">
        <v>2864</v>
      </c>
    </row>
    <row r="12" spans="1:16" x14ac:dyDescent="0.25">
      <c r="A12" s="7">
        <v>11</v>
      </c>
      <c r="D12" s="20" t="s">
        <v>1145</v>
      </c>
      <c r="E12" s="17" t="s">
        <v>271</v>
      </c>
    </row>
    <row r="13" spans="1:16" x14ac:dyDescent="0.25">
      <c r="A13" s="7">
        <v>12</v>
      </c>
      <c r="D13" s="20"/>
      <c r="E13" s="17"/>
    </row>
    <row r="14" spans="1:16" x14ac:dyDescent="0.25">
      <c r="A14" s="7">
        <v>13</v>
      </c>
      <c r="D14" s="28" t="s">
        <v>1105</v>
      </c>
    </row>
    <row r="15" spans="1:16" x14ac:dyDescent="0.25">
      <c r="A15" s="7">
        <v>14</v>
      </c>
      <c r="C15" s="20"/>
      <c r="D15" s="20" t="s">
        <v>1158</v>
      </c>
      <c r="E15" s="20" t="s">
        <v>228</v>
      </c>
    </row>
    <row r="16" spans="1:16" x14ac:dyDescent="0.25">
      <c r="A16" s="7">
        <v>15</v>
      </c>
      <c r="C16" s="20"/>
      <c r="D16" s="20" t="s">
        <v>1159</v>
      </c>
      <c r="E16" s="20"/>
    </row>
    <row r="17" spans="1:5" x14ac:dyDescent="0.25">
      <c r="A17" s="7">
        <v>16</v>
      </c>
      <c r="D17" s="7" t="s">
        <v>976</v>
      </c>
      <c r="E17" s="7" t="s">
        <v>246</v>
      </c>
    </row>
    <row r="18" spans="1:5" x14ac:dyDescent="0.25">
      <c r="A18" s="7">
        <v>17</v>
      </c>
      <c r="D18" s="7" t="s">
        <v>977</v>
      </c>
      <c r="E18" s="7" t="s">
        <v>1309</v>
      </c>
    </row>
    <row r="19" spans="1:5" s="20" customFormat="1" x14ac:dyDescent="0.25">
      <c r="A19" s="7">
        <v>18</v>
      </c>
      <c r="B19" s="7"/>
      <c r="C19" s="7"/>
      <c r="D19" s="7" t="s">
        <v>949</v>
      </c>
      <c r="E19" s="7" t="s">
        <v>247</v>
      </c>
    </row>
    <row r="20" spans="1:5" s="20" customFormat="1" x14ac:dyDescent="0.25">
      <c r="A20" s="7">
        <v>19</v>
      </c>
      <c r="B20" s="7"/>
      <c r="C20" s="7"/>
      <c r="D20" s="7" t="s">
        <v>950</v>
      </c>
      <c r="E20" s="23" t="s">
        <v>1310</v>
      </c>
    </row>
    <row r="21" spans="1:5" x14ac:dyDescent="0.25">
      <c r="A21" s="7">
        <v>20</v>
      </c>
      <c r="C21" s="20"/>
      <c r="D21" s="20" t="s">
        <v>1226</v>
      </c>
      <c r="E21" s="20" t="s">
        <v>249</v>
      </c>
    </row>
    <row r="22" spans="1:5" x14ac:dyDescent="0.25">
      <c r="A22" s="7">
        <v>21</v>
      </c>
      <c r="C22" s="20"/>
      <c r="D22" s="20" t="s">
        <v>1227</v>
      </c>
      <c r="E22" s="20"/>
    </row>
    <row r="23" spans="1:5" x14ac:dyDescent="0.25">
      <c r="A23" s="7">
        <v>22</v>
      </c>
      <c r="C23" s="20"/>
      <c r="D23" s="20" t="s">
        <v>1178</v>
      </c>
      <c r="E23" s="20" t="s">
        <v>160</v>
      </c>
    </row>
    <row r="24" spans="1:5" x14ac:dyDescent="0.25">
      <c r="A24" s="7">
        <v>23</v>
      </c>
      <c r="C24" s="20"/>
      <c r="D24" s="20" t="s">
        <v>1179</v>
      </c>
      <c r="E24" s="20" t="s">
        <v>1311</v>
      </c>
    </row>
    <row r="25" spans="1:5" s="20" customFormat="1" x14ac:dyDescent="0.25">
      <c r="A25" s="7">
        <v>24</v>
      </c>
      <c r="B25" s="7"/>
      <c r="C25" s="7"/>
      <c r="D25" s="7"/>
      <c r="E25" s="7"/>
    </row>
    <row r="26" spans="1:5" s="20" customFormat="1" x14ac:dyDescent="0.25">
      <c r="A26" s="7">
        <v>25</v>
      </c>
      <c r="B26" s="7"/>
      <c r="C26" s="7"/>
      <c r="D26" s="27" t="s">
        <v>939</v>
      </c>
      <c r="E26" s="7"/>
    </row>
    <row r="27" spans="1:5" s="20" customFormat="1" x14ac:dyDescent="0.25">
      <c r="A27" s="7">
        <v>26</v>
      </c>
      <c r="B27" s="7"/>
      <c r="C27" s="7"/>
      <c r="D27" s="7" t="s">
        <v>1048</v>
      </c>
      <c r="E27" s="17" t="s">
        <v>358</v>
      </c>
    </row>
    <row r="28" spans="1:5" s="20" customFormat="1" x14ac:dyDescent="0.25">
      <c r="A28" s="7">
        <v>27</v>
      </c>
      <c r="B28" s="7"/>
      <c r="C28" s="7"/>
      <c r="D28" s="7" t="s">
        <v>1049</v>
      </c>
      <c r="E28" s="17"/>
    </row>
    <row r="29" spans="1:5" x14ac:dyDescent="0.25">
      <c r="A29" s="7">
        <v>28</v>
      </c>
      <c r="D29" s="7" t="s">
        <v>1050</v>
      </c>
      <c r="E29" s="17" t="s">
        <v>143</v>
      </c>
    </row>
    <row r="30" spans="1:5" x14ac:dyDescent="0.25">
      <c r="A30" s="7">
        <v>29</v>
      </c>
      <c r="D30" s="7" t="s">
        <v>1051</v>
      </c>
    </row>
    <row r="31" spans="1:5" x14ac:dyDescent="0.25">
      <c r="A31" s="7">
        <v>30</v>
      </c>
      <c r="D31" s="7" t="s">
        <v>980</v>
      </c>
      <c r="E31" s="7" t="s">
        <v>360</v>
      </c>
    </row>
    <row r="32" spans="1:5" x14ac:dyDescent="0.25">
      <c r="A32" s="7">
        <v>31</v>
      </c>
      <c r="D32" s="7" t="s">
        <v>981</v>
      </c>
    </row>
    <row r="33" spans="1:5" x14ac:dyDescent="0.25">
      <c r="A33" s="7">
        <v>32</v>
      </c>
      <c r="D33" s="7" t="s">
        <v>1052</v>
      </c>
      <c r="E33" s="7" t="s">
        <v>1312</v>
      </c>
    </row>
    <row r="34" spans="1:5" x14ac:dyDescent="0.25">
      <c r="A34" s="7">
        <v>33</v>
      </c>
      <c r="D34" s="7" t="s">
        <v>1053</v>
      </c>
    </row>
    <row r="35" spans="1:5" x14ac:dyDescent="0.25">
      <c r="A35" s="7">
        <v>34</v>
      </c>
      <c r="C35" s="20"/>
      <c r="D35" s="20" t="s">
        <v>1246</v>
      </c>
      <c r="E35" s="20" t="s">
        <v>363</v>
      </c>
    </row>
    <row r="36" spans="1:5" x14ac:dyDescent="0.25">
      <c r="A36" s="7">
        <v>35</v>
      </c>
      <c r="C36" s="20"/>
      <c r="D36" s="20" t="s">
        <v>1247</v>
      </c>
      <c r="E36" s="20"/>
    </row>
    <row r="37" spans="1:5" s="20" customFormat="1" x14ac:dyDescent="0.25">
      <c r="A37" s="7">
        <v>36</v>
      </c>
      <c r="B37" s="7"/>
      <c r="D37" s="20" t="s">
        <v>1222</v>
      </c>
      <c r="E37" s="20" t="s">
        <v>318</v>
      </c>
    </row>
    <row r="38" spans="1:5" s="20" customFormat="1" x14ac:dyDescent="0.25">
      <c r="A38" s="7">
        <v>37</v>
      </c>
      <c r="B38" s="7"/>
      <c r="D38" s="20" t="s">
        <v>1223</v>
      </c>
      <c r="E38" s="20" t="s">
        <v>1288</v>
      </c>
    </row>
    <row r="39" spans="1:5" x14ac:dyDescent="0.25">
      <c r="A39" s="7">
        <v>38</v>
      </c>
    </row>
    <row r="40" spans="1:5" x14ac:dyDescent="0.25">
      <c r="A40" s="7">
        <v>39</v>
      </c>
      <c r="D40" s="27" t="s">
        <v>937</v>
      </c>
    </row>
    <row r="41" spans="1:5" s="20" customFormat="1" x14ac:dyDescent="0.25">
      <c r="A41" s="7">
        <v>40</v>
      </c>
      <c r="B41" s="7"/>
      <c r="C41" s="7"/>
      <c r="D41" s="7" t="s">
        <v>1022</v>
      </c>
      <c r="E41" s="17" t="s">
        <v>537</v>
      </c>
    </row>
    <row r="42" spans="1:5" s="20" customFormat="1" x14ac:dyDescent="0.25">
      <c r="A42" s="7">
        <v>41</v>
      </c>
      <c r="B42" s="7"/>
      <c r="C42" s="7"/>
      <c r="D42" s="7" t="s">
        <v>1023</v>
      </c>
      <c r="E42" s="7" t="s">
        <v>1308</v>
      </c>
    </row>
    <row r="43" spans="1:5" x14ac:dyDescent="0.25">
      <c r="A43" s="7">
        <v>42</v>
      </c>
      <c r="D43" s="7" t="s">
        <v>1024</v>
      </c>
      <c r="E43" s="17" t="s">
        <v>540</v>
      </c>
    </row>
    <row r="44" spans="1:5" x14ac:dyDescent="0.25">
      <c r="A44" s="7">
        <v>43</v>
      </c>
      <c r="D44" s="7" t="s">
        <v>1025</v>
      </c>
    </row>
    <row r="45" spans="1:5" x14ac:dyDescent="0.25">
      <c r="A45" s="7">
        <v>44</v>
      </c>
      <c r="D45" s="7" t="s">
        <v>1026</v>
      </c>
      <c r="E45" s="17" t="s">
        <v>321</v>
      </c>
    </row>
    <row r="46" spans="1:5" x14ac:dyDescent="0.25">
      <c r="A46" s="7">
        <v>45</v>
      </c>
      <c r="D46" s="7" t="s">
        <v>1027</v>
      </c>
      <c r="E46" s="17"/>
    </row>
    <row r="47" spans="1:5" x14ac:dyDescent="0.25">
      <c r="A47" s="7">
        <v>46</v>
      </c>
    </row>
    <row r="48" spans="1:5" x14ac:dyDescent="0.25">
      <c r="A48" s="7">
        <v>47</v>
      </c>
      <c r="D48" s="28" t="s">
        <v>1280</v>
      </c>
    </row>
    <row r="49" spans="1:5" x14ac:dyDescent="0.25">
      <c r="A49" s="7">
        <v>48</v>
      </c>
      <c r="C49" s="20"/>
      <c r="D49" s="20" t="s">
        <v>1214</v>
      </c>
      <c r="E49" s="20" t="s">
        <v>251</v>
      </c>
    </row>
    <row r="50" spans="1:5" x14ac:dyDescent="0.25">
      <c r="A50" s="7">
        <v>49</v>
      </c>
      <c r="C50" s="20"/>
      <c r="D50" s="20" t="s">
        <v>1215</v>
      </c>
      <c r="E50" s="20" t="s">
        <v>1290</v>
      </c>
    </row>
    <row r="51" spans="1:5" x14ac:dyDescent="0.25">
      <c r="A51" s="7">
        <v>50</v>
      </c>
      <c r="C51" s="20"/>
      <c r="D51" s="20" t="s">
        <v>1164</v>
      </c>
      <c r="E51" s="20" t="s">
        <v>296</v>
      </c>
    </row>
    <row r="52" spans="1:5" x14ac:dyDescent="0.25">
      <c r="A52" s="7">
        <v>51</v>
      </c>
      <c r="C52" s="20"/>
      <c r="D52" s="20" t="s">
        <v>1165</v>
      </c>
      <c r="E52" s="20"/>
    </row>
    <row r="53" spans="1:5" s="20" customFormat="1" x14ac:dyDescent="0.25">
      <c r="A53" s="7">
        <v>52</v>
      </c>
      <c r="B53" s="7"/>
      <c r="D53" s="20" t="s">
        <v>1204</v>
      </c>
      <c r="E53" s="20" t="s">
        <v>74</v>
      </c>
    </row>
    <row r="54" spans="1:5" s="20" customFormat="1" x14ac:dyDescent="0.25">
      <c r="A54" s="7">
        <v>53</v>
      </c>
      <c r="B54" s="7"/>
      <c r="D54" s="20" t="s">
        <v>1205</v>
      </c>
    </row>
    <row r="55" spans="1:5" s="20" customFormat="1" x14ac:dyDescent="0.25">
      <c r="A55" s="7">
        <v>54</v>
      </c>
      <c r="B55" s="7"/>
      <c r="C55" s="7"/>
      <c r="D55" s="7" t="s">
        <v>943</v>
      </c>
      <c r="E55" s="7" t="s">
        <v>359</v>
      </c>
    </row>
    <row r="56" spans="1:5" s="20" customFormat="1" x14ac:dyDescent="0.25">
      <c r="A56" s="7">
        <v>55</v>
      </c>
      <c r="B56" s="7"/>
      <c r="C56" s="7"/>
      <c r="D56" s="7" t="s">
        <v>944</v>
      </c>
      <c r="E56" s="23" t="s">
        <v>1289</v>
      </c>
    </row>
    <row r="57" spans="1:5" s="20" customFormat="1" x14ac:dyDescent="0.25">
      <c r="A57" s="7">
        <v>56</v>
      </c>
      <c r="B57" s="7"/>
      <c r="C57" s="7"/>
      <c r="D57" s="7" t="s">
        <v>1067</v>
      </c>
      <c r="E57" s="17" t="s">
        <v>522</v>
      </c>
    </row>
    <row r="58" spans="1:5" s="20" customFormat="1" x14ac:dyDescent="0.25">
      <c r="A58" s="7">
        <v>57</v>
      </c>
      <c r="B58" s="7"/>
      <c r="C58" s="7"/>
      <c r="D58" s="7" t="s">
        <v>1069</v>
      </c>
      <c r="E58" s="7"/>
    </row>
    <row r="59" spans="1:5" x14ac:dyDescent="0.25">
      <c r="A59" s="7">
        <v>58</v>
      </c>
      <c r="D59" s="7" t="s">
        <v>947</v>
      </c>
      <c r="E59" s="7" t="s">
        <v>320</v>
      </c>
    </row>
    <row r="60" spans="1:5" x14ac:dyDescent="0.25">
      <c r="A60" s="7">
        <v>59</v>
      </c>
      <c r="D60" s="7" t="s">
        <v>948</v>
      </c>
    </row>
    <row r="61" spans="1:5" x14ac:dyDescent="0.25">
      <c r="A61" s="7">
        <v>60</v>
      </c>
      <c r="D61" s="7" t="s">
        <v>998</v>
      </c>
      <c r="E61" s="7" t="s">
        <v>215</v>
      </c>
    </row>
    <row r="62" spans="1:5" x14ac:dyDescent="0.25">
      <c r="A62" s="7">
        <v>61</v>
      </c>
      <c r="D62" s="7" t="s">
        <v>999</v>
      </c>
    </row>
    <row r="63" spans="1:5" x14ac:dyDescent="0.25">
      <c r="A63" s="7">
        <v>62</v>
      </c>
    </row>
    <row r="64" spans="1:5" x14ac:dyDescent="0.25">
      <c r="A64" s="7">
        <v>63</v>
      </c>
      <c r="D64" s="27" t="s">
        <v>940</v>
      </c>
    </row>
    <row r="65" spans="1:5" x14ac:dyDescent="0.25">
      <c r="A65" s="7">
        <v>64</v>
      </c>
      <c r="C65" s="20"/>
      <c r="D65" s="20" t="s">
        <v>1180</v>
      </c>
      <c r="E65" s="20" t="s">
        <v>250</v>
      </c>
    </row>
    <row r="66" spans="1:5" x14ac:dyDescent="0.25">
      <c r="A66" s="7">
        <v>65</v>
      </c>
      <c r="C66" s="20"/>
      <c r="D66" s="20" t="s">
        <v>1181</v>
      </c>
      <c r="E66" s="20"/>
    </row>
    <row r="67" spans="1:5" x14ac:dyDescent="0.25">
      <c r="A67" s="7">
        <v>66</v>
      </c>
      <c r="D67" s="7" t="s">
        <v>1066</v>
      </c>
      <c r="E67" s="17" t="s">
        <v>260</v>
      </c>
    </row>
    <row r="68" spans="1:5" x14ac:dyDescent="0.25">
      <c r="A68" s="7">
        <v>67</v>
      </c>
      <c r="D68" s="7" t="s">
        <v>1068</v>
      </c>
      <c r="E68" s="17"/>
    </row>
    <row r="69" spans="1:5" s="20" customFormat="1" x14ac:dyDescent="0.25">
      <c r="A69" s="7">
        <v>68</v>
      </c>
      <c r="B69" s="7"/>
      <c r="C69" s="17"/>
      <c r="D69" s="7" t="s">
        <v>1056</v>
      </c>
      <c r="E69" s="17" t="s">
        <v>279</v>
      </c>
    </row>
    <row r="70" spans="1:5" s="20" customFormat="1" x14ac:dyDescent="0.25">
      <c r="A70" s="7">
        <v>69</v>
      </c>
      <c r="B70" s="7"/>
      <c r="C70" s="17"/>
      <c r="D70" s="7" t="s">
        <v>1057</v>
      </c>
      <c r="E70" s="7"/>
    </row>
    <row r="71" spans="1:5" x14ac:dyDescent="0.25">
      <c r="A71" s="7">
        <v>70</v>
      </c>
      <c r="C71" s="17"/>
      <c r="D71" s="7" t="s">
        <v>945</v>
      </c>
      <c r="E71" s="7" t="s">
        <v>324</v>
      </c>
    </row>
    <row r="72" spans="1:5" x14ac:dyDescent="0.25">
      <c r="A72" s="7">
        <v>71</v>
      </c>
      <c r="D72" s="7" t="s">
        <v>946</v>
      </c>
    </row>
    <row r="73" spans="1:5" x14ac:dyDescent="0.25">
      <c r="A73" s="7">
        <v>72</v>
      </c>
      <c r="D73" s="7" t="s">
        <v>996</v>
      </c>
      <c r="E73" s="7" t="s">
        <v>323</v>
      </c>
    </row>
    <row r="74" spans="1:5" x14ac:dyDescent="0.25">
      <c r="A74" s="7">
        <v>73</v>
      </c>
      <c r="D74" s="7" t="s">
        <v>997</v>
      </c>
    </row>
    <row r="75" spans="1:5" x14ac:dyDescent="0.25">
      <c r="A75" s="7">
        <v>74</v>
      </c>
      <c r="C75" s="20"/>
      <c r="D75" s="20" t="s">
        <v>1172</v>
      </c>
      <c r="E75" s="20" t="s">
        <v>297</v>
      </c>
    </row>
    <row r="76" spans="1:5" x14ac:dyDescent="0.25">
      <c r="A76" s="7">
        <v>75</v>
      </c>
      <c r="C76" s="20"/>
      <c r="D76" s="20" t="s">
        <v>1173</v>
      </c>
      <c r="E76" s="20"/>
    </row>
    <row r="77" spans="1:5" x14ac:dyDescent="0.25">
      <c r="A77" s="7">
        <v>76</v>
      </c>
      <c r="C77" s="20"/>
      <c r="D77" s="20" t="s">
        <v>1262</v>
      </c>
      <c r="E77" s="20" t="s">
        <v>252</v>
      </c>
    </row>
    <row r="78" spans="1:5" x14ac:dyDescent="0.25">
      <c r="A78" s="7">
        <v>77</v>
      </c>
      <c r="C78" s="20"/>
      <c r="D78" s="20" t="s">
        <v>1263</v>
      </c>
      <c r="E78" s="20"/>
    </row>
    <row r="79" spans="1:5" s="20" customFormat="1" x14ac:dyDescent="0.25">
      <c r="A79" s="7">
        <v>78</v>
      </c>
      <c r="B79" s="7"/>
      <c r="D79" s="20" t="s">
        <v>1264</v>
      </c>
      <c r="E79" s="20" t="s">
        <v>278</v>
      </c>
    </row>
    <row r="80" spans="1:5" s="20" customFormat="1" x14ac:dyDescent="0.25">
      <c r="A80" s="7">
        <v>79</v>
      </c>
      <c r="B80" s="7"/>
      <c r="D80" s="20" t="s">
        <v>1265</v>
      </c>
    </row>
    <row r="81" spans="1:5" s="20" customFormat="1" x14ac:dyDescent="0.25">
      <c r="A81" s="7">
        <v>80</v>
      </c>
      <c r="B81" s="7"/>
      <c r="D81" s="20" t="s">
        <v>1212</v>
      </c>
      <c r="E81" s="20" t="s">
        <v>322</v>
      </c>
    </row>
    <row r="82" spans="1:5" s="20" customFormat="1" x14ac:dyDescent="0.25">
      <c r="A82" s="7">
        <v>81</v>
      </c>
      <c r="B82" s="7"/>
      <c r="D82" s="20" t="s">
        <v>1213</v>
      </c>
    </row>
    <row r="83" spans="1:5" s="20" customFormat="1" x14ac:dyDescent="0.25">
      <c r="A83" s="7">
        <v>82</v>
      </c>
      <c r="B83" s="7"/>
      <c r="D83" s="20" t="s">
        <v>1154</v>
      </c>
      <c r="E83" s="20" t="s">
        <v>128</v>
      </c>
    </row>
    <row r="84" spans="1:5" s="20" customFormat="1" x14ac:dyDescent="0.25">
      <c r="A84" s="7">
        <v>83</v>
      </c>
      <c r="B84" s="7"/>
      <c r="D84" s="20" t="s">
        <v>1155</v>
      </c>
    </row>
    <row r="85" spans="1:5" s="20" customFormat="1" x14ac:dyDescent="0.25">
      <c r="A85" s="7">
        <v>84</v>
      </c>
      <c r="B85" s="7"/>
      <c r="C85" s="7"/>
      <c r="D85" s="7" t="s">
        <v>1062</v>
      </c>
      <c r="E85" s="17" t="s">
        <v>261</v>
      </c>
    </row>
    <row r="86" spans="1:5" s="20" customFormat="1" x14ac:dyDescent="0.25">
      <c r="A86" s="7">
        <v>85</v>
      </c>
      <c r="B86" s="7"/>
      <c r="C86" s="7"/>
      <c r="D86" s="7" t="s">
        <v>1063</v>
      </c>
      <c r="E86" s="7"/>
    </row>
    <row r="87" spans="1:5" s="20" customFormat="1" x14ac:dyDescent="0.25">
      <c r="A87" s="7">
        <v>86</v>
      </c>
      <c r="B87" s="7"/>
      <c r="D87" s="20" t="s">
        <v>1200</v>
      </c>
      <c r="E87" s="20" t="s">
        <v>325</v>
      </c>
    </row>
    <row r="88" spans="1:5" s="20" customFormat="1" x14ac:dyDescent="0.25">
      <c r="A88" s="7">
        <v>87</v>
      </c>
      <c r="B88" s="7"/>
      <c r="D88" s="20" t="s">
        <v>1201</v>
      </c>
    </row>
    <row r="89" spans="1:5" x14ac:dyDescent="0.25">
      <c r="A89" s="7">
        <v>88</v>
      </c>
      <c r="C89" s="20"/>
      <c r="D89" s="20" t="s">
        <v>1198</v>
      </c>
      <c r="E89" s="20" t="s">
        <v>253</v>
      </c>
    </row>
    <row r="90" spans="1:5" x14ac:dyDescent="0.25">
      <c r="A90" s="7">
        <v>89</v>
      </c>
      <c r="C90" s="20"/>
      <c r="D90" s="20" t="s">
        <v>1199</v>
      </c>
      <c r="E90" s="20"/>
    </row>
    <row r="91" spans="1:5" s="20" customFormat="1" x14ac:dyDescent="0.25">
      <c r="A91" s="7">
        <v>90</v>
      </c>
      <c r="B91" s="7"/>
      <c r="D91" s="20" t="s">
        <v>1250</v>
      </c>
      <c r="E91" s="20" t="s">
        <v>824</v>
      </c>
    </row>
    <row r="92" spans="1:5" s="20" customFormat="1" x14ac:dyDescent="0.25">
      <c r="A92" s="7">
        <v>91</v>
      </c>
      <c r="B92" s="7"/>
      <c r="D92" s="20" t="s">
        <v>1251</v>
      </c>
    </row>
    <row r="93" spans="1:5" s="20" customFormat="1" x14ac:dyDescent="0.25">
      <c r="A93" s="7">
        <v>92</v>
      </c>
      <c r="B93" s="7"/>
      <c r="C93" s="7"/>
      <c r="D93" s="7" t="s">
        <v>1064</v>
      </c>
      <c r="E93" s="17" t="s">
        <v>326</v>
      </c>
    </row>
    <row r="94" spans="1:5" s="20" customFormat="1" x14ac:dyDescent="0.25">
      <c r="A94" s="7">
        <v>93</v>
      </c>
      <c r="B94" s="7"/>
      <c r="C94" s="7"/>
      <c r="D94" s="7" t="s">
        <v>1065</v>
      </c>
      <c r="E94" s="17"/>
    </row>
    <row r="95" spans="1:5" s="20" customFormat="1" x14ac:dyDescent="0.25">
      <c r="A95" s="7">
        <v>94</v>
      </c>
      <c r="B95" s="7"/>
      <c r="C95" s="7"/>
      <c r="D95" s="7"/>
      <c r="E95" s="7"/>
    </row>
    <row r="96" spans="1:5" s="20" customFormat="1" x14ac:dyDescent="0.25">
      <c r="A96" s="7">
        <v>95</v>
      </c>
      <c r="B96" s="7"/>
      <c r="C96" s="7"/>
      <c r="D96" s="28" t="s">
        <v>1275</v>
      </c>
      <c r="E96" s="7"/>
    </row>
    <row r="97" spans="1:5" x14ac:dyDescent="0.25">
      <c r="A97" s="7">
        <v>96</v>
      </c>
      <c r="D97" s="7" t="s">
        <v>982</v>
      </c>
      <c r="E97" s="7" t="s">
        <v>299</v>
      </c>
    </row>
    <row r="98" spans="1:5" x14ac:dyDescent="0.25">
      <c r="A98" s="7">
        <v>97</v>
      </c>
      <c r="D98" s="7" t="s">
        <v>983</v>
      </c>
      <c r="E98" s="7" t="s">
        <v>1306</v>
      </c>
    </row>
    <row r="99" spans="1:5" x14ac:dyDescent="0.25">
      <c r="A99" s="7">
        <v>98</v>
      </c>
      <c r="D99" s="7" t="s">
        <v>966</v>
      </c>
      <c r="E99" s="7" t="s">
        <v>298</v>
      </c>
    </row>
    <row r="100" spans="1:5" x14ac:dyDescent="0.25">
      <c r="A100" s="7">
        <v>99</v>
      </c>
      <c r="D100" s="7" t="s">
        <v>967</v>
      </c>
      <c r="E100" s="23" t="s">
        <v>1307</v>
      </c>
    </row>
    <row r="101" spans="1:5" x14ac:dyDescent="0.25">
      <c r="A101" s="7">
        <v>100</v>
      </c>
      <c r="D101" s="7" t="s">
        <v>1058</v>
      </c>
      <c r="E101" s="17" t="s">
        <v>264</v>
      </c>
    </row>
    <row r="102" spans="1:5" x14ac:dyDescent="0.25">
      <c r="A102" s="7">
        <v>101</v>
      </c>
      <c r="D102" s="7" t="s">
        <v>1059</v>
      </c>
    </row>
    <row r="103" spans="1:5" x14ac:dyDescent="0.25">
      <c r="A103" s="7">
        <v>102</v>
      </c>
      <c r="D103" s="7" t="s">
        <v>953</v>
      </c>
      <c r="E103" s="7" t="s">
        <v>263</v>
      </c>
    </row>
    <row r="104" spans="1:5" x14ac:dyDescent="0.25">
      <c r="A104" s="7">
        <v>103</v>
      </c>
      <c r="D104" s="7" t="s">
        <v>954</v>
      </c>
    </row>
    <row r="105" spans="1:5" x14ac:dyDescent="0.25">
      <c r="A105" s="7">
        <v>104</v>
      </c>
      <c r="D105" s="7" t="s">
        <v>988</v>
      </c>
      <c r="E105" s="7" t="s">
        <v>327</v>
      </c>
    </row>
    <row r="106" spans="1:5" x14ac:dyDescent="0.25">
      <c r="A106" s="7">
        <v>105</v>
      </c>
      <c r="D106" s="7" t="s">
        <v>989</v>
      </c>
    </row>
    <row r="107" spans="1:5" x14ac:dyDescent="0.25">
      <c r="A107" s="7">
        <v>106</v>
      </c>
      <c r="D107" s="7" t="s">
        <v>990</v>
      </c>
      <c r="E107" s="7" t="s">
        <v>268</v>
      </c>
    </row>
    <row r="108" spans="1:5" x14ac:dyDescent="0.25">
      <c r="A108" s="7">
        <v>107</v>
      </c>
      <c r="D108" s="7" t="s">
        <v>991</v>
      </c>
    </row>
    <row r="109" spans="1:5" x14ac:dyDescent="0.25">
      <c r="A109" s="7">
        <v>108</v>
      </c>
      <c r="D109" s="7" t="s">
        <v>986</v>
      </c>
      <c r="E109" s="7" t="s">
        <v>265</v>
      </c>
    </row>
    <row r="110" spans="1:5" x14ac:dyDescent="0.25">
      <c r="A110" s="7">
        <v>109</v>
      </c>
      <c r="D110" s="7" t="s">
        <v>987</v>
      </c>
    </row>
    <row r="111" spans="1:5" x14ac:dyDescent="0.25">
      <c r="A111" s="7">
        <v>110</v>
      </c>
      <c r="D111" s="7" t="s">
        <v>984</v>
      </c>
      <c r="E111" s="7" t="s">
        <v>266</v>
      </c>
    </row>
    <row r="112" spans="1:5" x14ac:dyDescent="0.25">
      <c r="A112" s="7">
        <v>111</v>
      </c>
      <c r="D112" s="7" t="s">
        <v>985</v>
      </c>
    </row>
    <row r="113" spans="1:5" x14ac:dyDescent="0.25">
      <c r="A113" s="7">
        <v>112</v>
      </c>
      <c r="C113" s="20"/>
      <c r="D113" s="20" t="s">
        <v>1184</v>
      </c>
      <c r="E113" s="20" t="s">
        <v>269</v>
      </c>
    </row>
    <row r="114" spans="1:5" x14ac:dyDescent="0.25">
      <c r="A114" s="7">
        <v>113</v>
      </c>
      <c r="C114" s="20"/>
      <c r="D114" s="20" t="s">
        <v>1185</v>
      </c>
      <c r="E114" s="20"/>
    </row>
    <row r="115" spans="1:5" x14ac:dyDescent="0.25">
      <c r="A115" s="7">
        <v>114</v>
      </c>
      <c r="D115" s="7" t="s">
        <v>1060</v>
      </c>
      <c r="E115" s="17" t="s">
        <v>267</v>
      </c>
    </row>
    <row r="116" spans="1:5" x14ac:dyDescent="0.25">
      <c r="A116" s="7">
        <v>115</v>
      </c>
      <c r="D116" s="7" t="s">
        <v>1061</v>
      </c>
    </row>
    <row r="117" spans="1:5" s="20" customFormat="1" x14ac:dyDescent="0.25">
      <c r="A117" s="7">
        <v>116</v>
      </c>
      <c r="B117" s="7"/>
      <c r="C117" s="7"/>
      <c r="D117" s="7" t="s">
        <v>1054</v>
      </c>
      <c r="E117" s="17" t="s">
        <v>270</v>
      </c>
    </row>
    <row r="118" spans="1:5" s="20" customFormat="1" x14ac:dyDescent="0.25">
      <c r="A118" s="7">
        <v>117</v>
      </c>
      <c r="B118" s="7"/>
      <c r="C118" s="7"/>
      <c r="D118" s="7" t="s">
        <v>1055</v>
      </c>
      <c r="E118" s="17"/>
    </row>
    <row r="119" spans="1:5" x14ac:dyDescent="0.25">
      <c r="A119" s="7">
        <v>118</v>
      </c>
    </row>
    <row r="120" spans="1:5" x14ac:dyDescent="0.25">
      <c r="A120" s="7">
        <v>119</v>
      </c>
      <c r="D120" s="28" t="s">
        <v>1281</v>
      </c>
    </row>
    <row r="121" spans="1:5" x14ac:dyDescent="0.25">
      <c r="A121" s="7">
        <v>120</v>
      </c>
      <c r="C121" s="20"/>
      <c r="D121" s="20" t="s">
        <v>1234</v>
      </c>
      <c r="E121" s="20" t="s">
        <v>330</v>
      </c>
    </row>
    <row r="122" spans="1:5" x14ac:dyDescent="0.25">
      <c r="A122" s="7">
        <v>121</v>
      </c>
      <c r="C122" s="20"/>
      <c r="D122" s="20" t="s">
        <v>1235</v>
      </c>
      <c r="E122" s="20" t="s">
        <v>1288</v>
      </c>
    </row>
    <row r="123" spans="1:5" x14ac:dyDescent="0.25">
      <c r="A123" s="7">
        <v>122</v>
      </c>
      <c r="C123" s="20"/>
      <c r="D123" s="20" t="s">
        <v>1232</v>
      </c>
      <c r="E123" s="20" t="s">
        <v>371</v>
      </c>
    </row>
    <row r="124" spans="1:5" x14ac:dyDescent="0.25">
      <c r="A124" s="7">
        <v>123</v>
      </c>
      <c r="C124" s="20"/>
      <c r="D124" s="20" t="s">
        <v>1233</v>
      </c>
      <c r="E124" s="20" t="s">
        <v>1288</v>
      </c>
    </row>
    <row r="125" spans="1:5" s="20" customFormat="1" x14ac:dyDescent="0.25">
      <c r="A125" s="7">
        <v>124</v>
      </c>
      <c r="B125" s="7"/>
      <c r="D125" s="20" t="s">
        <v>1166</v>
      </c>
      <c r="E125" s="20" t="s">
        <v>244</v>
      </c>
    </row>
    <row r="126" spans="1:5" s="20" customFormat="1" x14ac:dyDescent="0.25">
      <c r="A126" s="7">
        <v>125</v>
      </c>
      <c r="B126" s="7"/>
      <c r="D126" s="20" t="s">
        <v>1167</v>
      </c>
    </row>
    <row r="127" spans="1:5" s="20" customFormat="1" x14ac:dyDescent="0.25">
      <c r="A127" s="7">
        <v>126</v>
      </c>
      <c r="B127" s="7"/>
      <c r="C127" s="7"/>
      <c r="D127" s="7" t="s">
        <v>1088</v>
      </c>
      <c r="E127" s="17" t="s">
        <v>34</v>
      </c>
    </row>
    <row r="128" spans="1:5" s="20" customFormat="1" x14ac:dyDescent="0.25">
      <c r="A128" s="7">
        <v>127</v>
      </c>
      <c r="B128" s="7"/>
      <c r="C128" s="7"/>
      <c r="D128" s="7" t="s">
        <v>1089</v>
      </c>
      <c r="E128" s="17"/>
    </row>
    <row r="129" spans="1:5" s="20" customFormat="1" x14ac:dyDescent="0.25">
      <c r="A129" s="7">
        <v>128</v>
      </c>
      <c r="B129" s="7"/>
      <c r="D129" s="20" t="s">
        <v>1228</v>
      </c>
      <c r="E129" s="20" t="s">
        <v>242</v>
      </c>
    </row>
    <row r="130" spans="1:5" s="20" customFormat="1" x14ac:dyDescent="0.25">
      <c r="A130" s="7">
        <v>129</v>
      </c>
      <c r="B130" s="7"/>
      <c r="D130" s="20" t="s">
        <v>1229</v>
      </c>
    </row>
    <row r="131" spans="1:5" x14ac:dyDescent="0.25">
      <c r="A131" s="7">
        <v>130</v>
      </c>
      <c r="D131" s="7" t="s">
        <v>1072</v>
      </c>
      <c r="E131" s="17" t="s">
        <v>352</v>
      </c>
    </row>
    <row r="132" spans="1:5" x14ac:dyDescent="0.25">
      <c r="A132" s="7">
        <v>131</v>
      </c>
      <c r="D132" s="7" t="s">
        <v>1073</v>
      </c>
    </row>
    <row r="133" spans="1:5" s="20" customFormat="1" x14ac:dyDescent="0.25">
      <c r="A133" s="7">
        <v>132</v>
      </c>
      <c r="B133" s="7"/>
      <c r="D133" s="20" t="s">
        <v>1162</v>
      </c>
      <c r="E133" s="20" t="s">
        <v>353</v>
      </c>
    </row>
    <row r="134" spans="1:5" s="20" customFormat="1" x14ac:dyDescent="0.25">
      <c r="A134" s="7">
        <v>133</v>
      </c>
      <c r="B134" s="7"/>
      <c r="D134" s="20" t="s">
        <v>1163</v>
      </c>
    </row>
    <row r="135" spans="1:5" x14ac:dyDescent="0.25">
      <c r="A135" s="7">
        <v>134</v>
      </c>
      <c r="C135" s="20"/>
      <c r="D135" s="20" t="s">
        <v>1188</v>
      </c>
      <c r="E135" s="20" t="s">
        <v>465</v>
      </c>
    </row>
    <row r="136" spans="1:5" x14ac:dyDescent="0.25">
      <c r="A136" s="7">
        <v>135</v>
      </c>
      <c r="C136" s="20"/>
      <c r="D136" s="20" t="s">
        <v>1189</v>
      </c>
      <c r="E136" s="20"/>
    </row>
    <row r="137" spans="1:5" s="20" customFormat="1" x14ac:dyDescent="0.25">
      <c r="A137" s="7">
        <v>136</v>
      </c>
      <c r="B137" s="7"/>
      <c r="D137" s="20" t="s">
        <v>1174</v>
      </c>
      <c r="E137" s="20" t="s">
        <v>354</v>
      </c>
    </row>
    <row r="138" spans="1:5" s="20" customFormat="1" x14ac:dyDescent="0.25">
      <c r="A138" s="7">
        <v>137</v>
      </c>
      <c r="B138" s="7"/>
      <c r="D138" s="20" t="s">
        <v>1175</v>
      </c>
    </row>
    <row r="139" spans="1:5" s="20" customFormat="1" x14ac:dyDescent="0.25">
      <c r="A139" s="7">
        <v>138</v>
      </c>
      <c r="B139" s="7"/>
      <c r="D139" s="20" t="s">
        <v>1268</v>
      </c>
      <c r="E139" s="20" t="s">
        <v>557</v>
      </c>
    </row>
    <row r="140" spans="1:5" s="20" customFormat="1" x14ac:dyDescent="0.25">
      <c r="A140" s="7">
        <v>139</v>
      </c>
      <c r="B140" s="7"/>
      <c r="D140" s="20" t="s">
        <v>1269</v>
      </c>
    </row>
    <row r="141" spans="1:5" s="20" customFormat="1" x14ac:dyDescent="0.25">
      <c r="A141" s="7">
        <v>140</v>
      </c>
      <c r="B141" s="7"/>
      <c r="D141" s="20" t="s">
        <v>1240</v>
      </c>
      <c r="E141" s="20" t="s">
        <v>821</v>
      </c>
    </row>
    <row r="142" spans="1:5" s="20" customFormat="1" x14ac:dyDescent="0.25">
      <c r="A142" s="7">
        <v>141</v>
      </c>
      <c r="B142" s="7"/>
      <c r="D142" s="20" t="s">
        <v>1241</v>
      </c>
    </row>
    <row r="143" spans="1:5" s="20" customFormat="1" x14ac:dyDescent="0.25">
      <c r="A143" s="7">
        <v>142</v>
      </c>
      <c r="B143" s="7"/>
      <c r="C143" s="7"/>
      <c r="D143" s="7"/>
      <c r="E143" s="7"/>
    </row>
    <row r="144" spans="1:5" s="20" customFormat="1" x14ac:dyDescent="0.25">
      <c r="A144" s="7">
        <v>143</v>
      </c>
      <c r="B144" s="7"/>
      <c r="C144" s="7"/>
      <c r="D144" s="27" t="s">
        <v>1104</v>
      </c>
      <c r="E144" s="7"/>
    </row>
    <row r="145" spans="1:5" s="20" customFormat="1" x14ac:dyDescent="0.25">
      <c r="A145" s="7">
        <v>144</v>
      </c>
      <c r="B145" s="7"/>
      <c r="D145" s="20" t="s">
        <v>1258</v>
      </c>
      <c r="E145" s="20" t="s">
        <v>107</v>
      </c>
    </row>
    <row r="146" spans="1:5" s="20" customFormat="1" x14ac:dyDescent="0.25">
      <c r="A146" s="7">
        <v>145</v>
      </c>
      <c r="B146" s="7"/>
      <c r="D146" s="20" t="s">
        <v>1259</v>
      </c>
    </row>
    <row r="147" spans="1:5" x14ac:dyDescent="0.25">
      <c r="A147" s="7">
        <v>146</v>
      </c>
      <c r="D147" s="7" t="s">
        <v>1098</v>
      </c>
      <c r="E147" s="17" t="s">
        <v>111</v>
      </c>
    </row>
    <row r="148" spans="1:5" x14ac:dyDescent="0.25">
      <c r="A148" s="7">
        <v>147</v>
      </c>
      <c r="D148" s="7" t="s">
        <v>1099</v>
      </c>
    </row>
    <row r="149" spans="1:5" s="20" customFormat="1" x14ac:dyDescent="0.25">
      <c r="A149" s="7">
        <v>148</v>
      </c>
      <c r="B149" s="7"/>
      <c r="C149" s="7"/>
      <c r="D149" s="7" t="s">
        <v>972</v>
      </c>
      <c r="E149" s="7" t="s">
        <v>302</v>
      </c>
    </row>
    <row r="150" spans="1:5" s="20" customFormat="1" x14ac:dyDescent="0.25">
      <c r="A150" s="7">
        <v>149</v>
      </c>
      <c r="B150" s="7"/>
      <c r="C150" s="7"/>
      <c r="D150" s="7" t="s">
        <v>973</v>
      </c>
      <c r="E150" s="7"/>
    </row>
    <row r="151" spans="1:5" x14ac:dyDescent="0.25">
      <c r="A151" s="7">
        <v>150</v>
      </c>
      <c r="D151" s="7" t="s">
        <v>1094</v>
      </c>
      <c r="E151" s="17" t="s">
        <v>303</v>
      </c>
    </row>
    <row r="152" spans="1:5" x14ac:dyDescent="0.25">
      <c r="A152" s="7">
        <v>151</v>
      </c>
      <c r="D152" s="7" t="s">
        <v>1095</v>
      </c>
    </row>
    <row r="153" spans="1:5" x14ac:dyDescent="0.25">
      <c r="A153" s="7">
        <v>152</v>
      </c>
      <c r="C153" s="20"/>
      <c r="D153" s="20" t="s">
        <v>1266</v>
      </c>
      <c r="E153" s="20" t="s">
        <v>224</v>
      </c>
    </row>
    <row r="154" spans="1:5" x14ac:dyDescent="0.25">
      <c r="A154" s="7">
        <v>153</v>
      </c>
      <c r="C154" s="20"/>
      <c r="D154" s="20" t="s">
        <v>1267</v>
      </c>
      <c r="E154" s="20"/>
    </row>
    <row r="155" spans="1:5" x14ac:dyDescent="0.25">
      <c r="A155" s="7">
        <v>154</v>
      </c>
      <c r="D155" s="7" t="s">
        <v>1096</v>
      </c>
      <c r="E155" s="17" t="s">
        <v>110</v>
      </c>
    </row>
    <row r="156" spans="1:5" x14ac:dyDescent="0.25">
      <c r="A156" s="7">
        <v>155</v>
      </c>
      <c r="D156" s="7" t="s">
        <v>1097</v>
      </c>
    </row>
    <row r="157" spans="1:5" s="20" customFormat="1" x14ac:dyDescent="0.25">
      <c r="A157" s="7">
        <v>156</v>
      </c>
      <c r="B157" s="7"/>
      <c r="C157" s="7"/>
      <c r="D157" s="7"/>
      <c r="E157" s="7"/>
    </row>
    <row r="158" spans="1:5" s="20" customFormat="1" x14ac:dyDescent="0.25">
      <c r="A158" s="7">
        <v>157</v>
      </c>
      <c r="B158" s="7"/>
      <c r="C158" s="7"/>
      <c r="D158" s="27" t="s">
        <v>1285</v>
      </c>
      <c r="E158" s="7"/>
    </row>
    <row r="159" spans="1:5" x14ac:dyDescent="0.25">
      <c r="A159" s="7">
        <v>158</v>
      </c>
      <c r="D159" s="7" t="s">
        <v>956</v>
      </c>
      <c r="E159" s="7" t="s">
        <v>234</v>
      </c>
    </row>
    <row r="160" spans="1:5" x14ac:dyDescent="0.25">
      <c r="A160" s="7">
        <v>159</v>
      </c>
      <c r="D160" s="7" t="s">
        <v>957</v>
      </c>
    </row>
    <row r="161" spans="1:5" x14ac:dyDescent="0.25">
      <c r="A161" s="7">
        <v>160</v>
      </c>
      <c r="C161" s="20"/>
      <c r="D161" s="20" t="s">
        <v>1260</v>
      </c>
      <c r="E161" s="20" t="s">
        <v>159</v>
      </c>
    </row>
    <row r="162" spans="1:5" x14ac:dyDescent="0.25">
      <c r="A162" s="7">
        <v>161</v>
      </c>
      <c r="C162" s="20"/>
      <c r="D162" s="20" t="s">
        <v>1261</v>
      </c>
      <c r="E162" s="20"/>
    </row>
    <row r="163" spans="1:5" x14ac:dyDescent="0.25">
      <c r="A163" s="7">
        <v>162</v>
      </c>
      <c r="D163" s="7" t="s">
        <v>1100</v>
      </c>
      <c r="E163" s="17" t="s">
        <v>273</v>
      </c>
    </row>
    <row r="164" spans="1:5" x14ac:dyDescent="0.25">
      <c r="A164" s="7">
        <v>163</v>
      </c>
      <c r="D164" s="7" t="s">
        <v>1101</v>
      </c>
    </row>
    <row r="165" spans="1:5" s="20" customFormat="1" x14ac:dyDescent="0.25">
      <c r="A165" s="7">
        <v>164</v>
      </c>
      <c r="B165" s="7"/>
      <c r="C165" s="7"/>
      <c r="D165" s="7"/>
      <c r="E165" s="7"/>
    </row>
    <row r="166" spans="1:5" s="20" customFormat="1" x14ac:dyDescent="0.25">
      <c r="A166" s="7">
        <v>165</v>
      </c>
      <c r="B166" s="7"/>
      <c r="C166" s="7"/>
      <c r="D166" s="28" t="s">
        <v>1153</v>
      </c>
      <c r="E166" s="17"/>
    </row>
    <row r="167" spans="1:5" x14ac:dyDescent="0.25">
      <c r="A167" s="7">
        <v>166</v>
      </c>
      <c r="D167" s="7" t="s">
        <v>964</v>
      </c>
      <c r="E167" s="7" t="s">
        <v>550</v>
      </c>
    </row>
    <row r="168" spans="1:5" x14ac:dyDescent="0.25">
      <c r="A168" s="7">
        <v>167</v>
      </c>
      <c r="D168" s="7" t="s">
        <v>965</v>
      </c>
    </row>
    <row r="169" spans="1:5" x14ac:dyDescent="0.25">
      <c r="A169" s="7">
        <v>168</v>
      </c>
      <c r="C169" s="20"/>
      <c r="D169" s="20" t="s">
        <v>1152</v>
      </c>
      <c r="E169" s="20" t="s">
        <v>341</v>
      </c>
    </row>
    <row r="170" spans="1:5" x14ac:dyDescent="0.25">
      <c r="A170" s="7">
        <v>169</v>
      </c>
      <c r="C170" s="20"/>
      <c r="D170" s="20" t="s">
        <v>1151</v>
      </c>
      <c r="E170" s="20"/>
    </row>
    <row r="171" spans="1:5" x14ac:dyDescent="0.25">
      <c r="A171" s="7">
        <v>170</v>
      </c>
      <c r="C171" s="20"/>
      <c r="D171" s="20" t="s">
        <v>1237</v>
      </c>
      <c r="E171" s="20" t="s">
        <v>534</v>
      </c>
    </row>
    <row r="172" spans="1:5" x14ac:dyDescent="0.25">
      <c r="A172" s="7">
        <v>171</v>
      </c>
      <c r="C172" s="20"/>
      <c r="D172" s="20" t="s">
        <v>1236</v>
      </c>
      <c r="E172" s="20"/>
    </row>
    <row r="173" spans="1:5" s="20" customFormat="1" x14ac:dyDescent="0.25">
      <c r="A173" s="7">
        <v>172</v>
      </c>
      <c r="B173" s="7"/>
      <c r="C173" s="7"/>
      <c r="D173" s="7" t="s">
        <v>962</v>
      </c>
      <c r="E173" s="7" t="s">
        <v>531</v>
      </c>
    </row>
    <row r="174" spans="1:5" s="20" customFormat="1" x14ac:dyDescent="0.25">
      <c r="A174" s="7">
        <v>173</v>
      </c>
      <c r="B174" s="7"/>
      <c r="C174" s="7"/>
      <c r="D174" s="7" t="s">
        <v>963</v>
      </c>
      <c r="E174" s="7"/>
    </row>
    <row r="175" spans="1:5" s="20" customFormat="1" x14ac:dyDescent="0.25">
      <c r="A175" s="7">
        <v>174</v>
      </c>
      <c r="B175" s="7"/>
      <c r="C175" s="7"/>
      <c r="D175" s="7"/>
      <c r="E175" s="7"/>
    </row>
    <row r="176" spans="1:5" s="20" customFormat="1" x14ac:dyDescent="0.25">
      <c r="A176" s="7">
        <v>175</v>
      </c>
      <c r="B176" s="7"/>
      <c r="C176" s="7"/>
      <c r="D176" s="27" t="s">
        <v>936</v>
      </c>
      <c r="E176" s="17"/>
    </row>
    <row r="177" spans="1:5" x14ac:dyDescent="0.25">
      <c r="A177" s="7">
        <v>176</v>
      </c>
      <c r="D177" s="7" t="s">
        <v>958</v>
      </c>
      <c r="E177" s="7" t="s">
        <v>255</v>
      </c>
    </row>
    <row r="178" spans="1:5" x14ac:dyDescent="0.25">
      <c r="A178" s="7">
        <v>177</v>
      </c>
      <c r="D178" s="7" t="s">
        <v>959</v>
      </c>
      <c r="E178" s="7" t="s">
        <v>1291</v>
      </c>
    </row>
    <row r="179" spans="1:5" x14ac:dyDescent="0.25">
      <c r="A179" s="7">
        <v>178</v>
      </c>
      <c r="D179" s="7" t="s">
        <v>951</v>
      </c>
      <c r="E179" s="7" t="s">
        <v>256</v>
      </c>
    </row>
    <row r="180" spans="1:5" x14ac:dyDescent="0.25">
      <c r="A180" s="7">
        <v>179</v>
      </c>
      <c r="D180" s="7" t="s">
        <v>952</v>
      </c>
      <c r="E180" s="23" t="s">
        <v>1126</v>
      </c>
    </row>
    <row r="181" spans="1:5" x14ac:dyDescent="0.25">
      <c r="A181" s="7">
        <v>180</v>
      </c>
      <c r="D181" s="7" t="s">
        <v>960</v>
      </c>
      <c r="E181" s="7" t="s">
        <v>307</v>
      </c>
    </row>
    <row r="182" spans="1:5" x14ac:dyDescent="0.25">
      <c r="A182" s="7">
        <v>181</v>
      </c>
      <c r="D182" s="7" t="s">
        <v>961</v>
      </c>
      <c r="E182" s="23" t="s">
        <v>1292</v>
      </c>
    </row>
    <row r="183" spans="1:5" x14ac:dyDescent="0.25">
      <c r="A183" s="7">
        <v>182</v>
      </c>
      <c r="C183" s="20"/>
      <c r="D183" s="20" t="s">
        <v>1230</v>
      </c>
      <c r="E183" s="23" t="s">
        <v>231</v>
      </c>
    </row>
    <row r="184" spans="1:5" x14ac:dyDescent="0.25">
      <c r="A184" s="7">
        <v>183</v>
      </c>
      <c r="C184" s="20"/>
      <c r="D184" s="20" t="s">
        <v>1231</v>
      </c>
      <c r="E184" s="20"/>
    </row>
    <row r="185" spans="1:5" x14ac:dyDescent="0.25">
      <c r="A185" s="7">
        <v>184</v>
      </c>
      <c r="D185" s="20" t="s">
        <v>1131</v>
      </c>
      <c r="E185" s="23" t="s">
        <v>304</v>
      </c>
    </row>
    <row r="186" spans="1:5" x14ac:dyDescent="0.25">
      <c r="A186" s="7">
        <v>185</v>
      </c>
      <c r="D186" s="20" t="s">
        <v>1128</v>
      </c>
      <c r="E186" s="23"/>
    </row>
    <row r="187" spans="1:5" s="20" customFormat="1" x14ac:dyDescent="0.25">
      <c r="A187" s="7">
        <v>186</v>
      </c>
      <c r="B187" s="7"/>
      <c r="C187" s="7"/>
      <c r="D187" s="7" t="s">
        <v>1000</v>
      </c>
      <c r="E187" s="17" t="s">
        <v>306</v>
      </c>
    </row>
    <row r="188" spans="1:5" s="20" customFormat="1" x14ac:dyDescent="0.25">
      <c r="A188" s="7">
        <v>187</v>
      </c>
      <c r="B188" s="7"/>
      <c r="C188" s="7"/>
      <c r="D188" s="7" t="s">
        <v>1001</v>
      </c>
      <c r="E188" s="17"/>
    </row>
    <row r="189" spans="1:5" x14ac:dyDescent="0.25">
      <c r="A189" s="7">
        <v>188</v>
      </c>
      <c r="D189" s="20" t="s">
        <v>1132</v>
      </c>
      <c r="E189" s="17" t="s">
        <v>226</v>
      </c>
    </row>
    <row r="190" spans="1:5" x14ac:dyDescent="0.25">
      <c r="A190" s="7">
        <v>189</v>
      </c>
      <c r="D190" s="20" t="s">
        <v>1127</v>
      </c>
      <c r="E190" s="17"/>
    </row>
    <row r="191" spans="1:5" x14ac:dyDescent="0.25">
      <c r="A191" s="7">
        <v>190</v>
      </c>
      <c r="D191" s="7" t="s">
        <v>1002</v>
      </c>
      <c r="E191" s="17" t="s">
        <v>305</v>
      </c>
    </row>
    <row r="192" spans="1:5" x14ac:dyDescent="0.25">
      <c r="A192" s="7">
        <v>191</v>
      </c>
      <c r="D192" s="7" t="s">
        <v>1003</v>
      </c>
    </row>
    <row r="193" spans="1:5" x14ac:dyDescent="0.25">
      <c r="A193" s="7">
        <v>192</v>
      </c>
      <c r="D193" s="7" t="s">
        <v>1004</v>
      </c>
      <c r="E193" s="17" t="s">
        <v>308</v>
      </c>
    </row>
    <row r="194" spans="1:5" x14ac:dyDescent="0.25">
      <c r="A194" s="7">
        <v>193</v>
      </c>
      <c r="D194" s="7" t="s">
        <v>1005</v>
      </c>
      <c r="E194" s="17"/>
    </row>
    <row r="195" spans="1:5" x14ac:dyDescent="0.25">
      <c r="A195" s="7">
        <v>194</v>
      </c>
      <c r="D195" s="7" t="s">
        <v>941</v>
      </c>
      <c r="E195" s="7" t="s">
        <v>233</v>
      </c>
    </row>
    <row r="196" spans="1:5" x14ac:dyDescent="0.25">
      <c r="A196" s="7">
        <v>195</v>
      </c>
      <c r="D196" s="7" t="s">
        <v>942</v>
      </c>
    </row>
    <row r="197" spans="1:5" x14ac:dyDescent="0.25">
      <c r="A197" s="7">
        <v>196</v>
      </c>
      <c r="D197" s="7" t="s">
        <v>1006</v>
      </c>
      <c r="E197" s="17" t="s">
        <v>357</v>
      </c>
    </row>
    <row r="198" spans="1:5" x14ac:dyDescent="0.25">
      <c r="A198" s="7">
        <v>197</v>
      </c>
      <c r="D198" s="7" t="s">
        <v>1007</v>
      </c>
    </row>
    <row r="199" spans="1:5" x14ac:dyDescent="0.25">
      <c r="A199" s="7">
        <v>198</v>
      </c>
      <c r="D199" s="7" t="s">
        <v>1008</v>
      </c>
      <c r="E199" s="17" t="s">
        <v>548</v>
      </c>
    </row>
    <row r="200" spans="1:5" x14ac:dyDescent="0.25">
      <c r="A200" s="7">
        <v>199</v>
      </c>
      <c r="D200" s="7" t="s">
        <v>1009</v>
      </c>
      <c r="E200" s="17"/>
    </row>
    <row r="201" spans="1:5" x14ac:dyDescent="0.25">
      <c r="A201" s="7">
        <v>200</v>
      </c>
      <c r="D201" s="20" t="s">
        <v>1134</v>
      </c>
      <c r="E201" s="17" t="s">
        <v>235</v>
      </c>
    </row>
    <row r="202" spans="1:5" x14ac:dyDescent="0.25">
      <c r="A202" s="7">
        <v>201</v>
      </c>
      <c r="D202" s="20" t="s">
        <v>1133</v>
      </c>
      <c r="E202" s="17"/>
    </row>
    <row r="203" spans="1:5" x14ac:dyDescent="0.25">
      <c r="A203" s="7">
        <v>202</v>
      </c>
      <c r="D203" s="7" t="s">
        <v>1010</v>
      </c>
      <c r="E203" s="17" t="s">
        <v>309</v>
      </c>
    </row>
    <row r="204" spans="1:5" x14ac:dyDescent="0.25">
      <c r="A204" s="7">
        <v>203</v>
      </c>
      <c r="D204" s="7" t="s">
        <v>1011</v>
      </c>
    </row>
    <row r="205" spans="1:5" x14ac:dyDescent="0.25">
      <c r="A205" s="7">
        <v>204</v>
      </c>
      <c r="D205" s="7" t="s">
        <v>1012</v>
      </c>
      <c r="E205" s="17" t="s">
        <v>333</v>
      </c>
    </row>
    <row r="206" spans="1:5" x14ac:dyDescent="0.25">
      <c r="A206" s="7">
        <v>205</v>
      </c>
      <c r="D206" s="7" t="s">
        <v>1013</v>
      </c>
      <c r="E206" s="17"/>
    </row>
    <row r="207" spans="1:5" x14ac:dyDescent="0.25">
      <c r="A207" s="7">
        <v>206</v>
      </c>
      <c r="D207" s="20" t="s">
        <v>1135</v>
      </c>
      <c r="E207" s="17" t="s">
        <v>236</v>
      </c>
    </row>
    <row r="208" spans="1:5" x14ac:dyDescent="0.25">
      <c r="A208" s="7">
        <v>207</v>
      </c>
      <c r="D208" s="20" t="s">
        <v>1136</v>
      </c>
      <c r="E208" s="17"/>
    </row>
    <row r="209" spans="1:5" x14ac:dyDescent="0.25">
      <c r="A209" s="7">
        <v>208</v>
      </c>
      <c r="D209" s="7" t="s">
        <v>1014</v>
      </c>
      <c r="E209" s="17" t="s">
        <v>334</v>
      </c>
    </row>
    <row r="210" spans="1:5" x14ac:dyDescent="0.25">
      <c r="A210" s="7">
        <v>209</v>
      </c>
      <c r="D210" s="7" t="s">
        <v>1015</v>
      </c>
    </row>
    <row r="211" spans="1:5" x14ac:dyDescent="0.25">
      <c r="A211" s="7">
        <v>210</v>
      </c>
      <c r="D211" s="7" t="s">
        <v>1016</v>
      </c>
      <c r="E211" s="17" t="s">
        <v>335</v>
      </c>
    </row>
    <row r="212" spans="1:5" x14ac:dyDescent="0.25">
      <c r="A212" s="7">
        <v>211</v>
      </c>
      <c r="D212" s="7" t="s">
        <v>1017</v>
      </c>
      <c r="E212" s="17"/>
    </row>
    <row r="213" spans="1:5" x14ac:dyDescent="0.25">
      <c r="A213" s="7">
        <v>212</v>
      </c>
      <c r="D213" s="20" t="s">
        <v>1137</v>
      </c>
      <c r="E213" s="17" t="s">
        <v>238</v>
      </c>
    </row>
    <row r="214" spans="1:5" x14ac:dyDescent="0.25">
      <c r="A214" s="7">
        <v>213</v>
      </c>
      <c r="D214" s="20" t="s">
        <v>1138</v>
      </c>
      <c r="E214" s="17"/>
    </row>
    <row r="215" spans="1:5" x14ac:dyDescent="0.25">
      <c r="A215" s="7">
        <v>214</v>
      </c>
      <c r="D215" s="7" t="s">
        <v>1018</v>
      </c>
      <c r="E215" s="17" t="s">
        <v>336</v>
      </c>
    </row>
    <row r="216" spans="1:5" x14ac:dyDescent="0.25">
      <c r="A216" s="7">
        <v>215</v>
      </c>
      <c r="D216" s="7" t="s">
        <v>1019</v>
      </c>
    </row>
    <row r="217" spans="1:5" x14ac:dyDescent="0.25">
      <c r="A217" s="7">
        <v>216</v>
      </c>
      <c r="D217" s="7" t="s">
        <v>1016</v>
      </c>
      <c r="E217" s="17" t="s">
        <v>337</v>
      </c>
    </row>
    <row r="218" spans="1:5" x14ac:dyDescent="0.25">
      <c r="A218" s="7">
        <v>217</v>
      </c>
      <c r="D218" s="7" t="s">
        <v>1017</v>
      </c>
      <c r="E218" s="17"/>
    </row>
    <row r="219" spans="1:5" x14ac:dyDescent="0.25">
      <c r="A219" s="7">
        <v>218</v>
      </c>
      <c r="D219" s="20" t="s">
        <v>1139</v>
      </c>
      <c r="E219" s="17" t="s">
        <v>241</v>
      </c>
    </row>
    <row r="220" spans="1:5" x14ac:dyDescent="0.25">
      <c r="A220" s="7">
        <v>219</v>
      </c>
      <c r="D220" s="20" t="s">
        <v>1140</v>
      </c>
      <c r="E220" s="17"/>
    </row>
    <row r="221" spans="1:5" x14ac:dyDescent="0.25">
      <c r="A221" s="7">
        <v>220</v>
      </c>
      <c r="D221" s="7" t="s">
        <v>1020</v>
      </c>
      <c r="E221" s="17" t="s">
        <v>338</v>
      </c>
    </row>
    <row r="222" spans="1:5" x14ac:dyDescent="0.25">
      <c r="A222" s="7">
        <v>221</v>
      </c>
      <c r="D222" s="7" t="s">
        <v>1021</v>
      </c>
      <c r="E222" s="17"/>
    </row>
    <row r="223" spans="1:5" x14ac:dyDescent="0.25">
      <c r="A223" s="7">
        <v>222</v>
      </c>
      <c r="D223" s="20" t="s">
        <v>1141</v>
      </c>
      <c r="E223" s="7" t="s">
        <v>243</v>
      </c>
    </row>
    <row r="224" spans="1:5" x14ac:dyDescent="0.25">
      <c r="A224" s="7">
        <v>223</v>
      </c>
      <c r="D224" s="20" t="s">
        <v>1142</v>
      </c>
    </row>
    <row r="225" spans="1:5" x14ac:dyDescent="0.25">
      <c r="A225" s="7">
        <v>224</v>
      </c>
      <c r="C225" s="20"/>
      <c r="D225" s="20" t="s">
        <v>1238</v>
      </c>
      <c r="E225" s="20" t="s">
        <v>61</v>
      </c>
    </row>
    <row r="226" spans="1:5" x14ac:dyDescent="0.25">
      <c r="A226" s="7">
        <v>225</v>
      </c>
      <c r="C226" s="20"/>
      <c r="D226" s="20" t="s">
        <v>1239</v>
      </c>
      <c r="E226" s="20"/>
    </row>
    <row r="227" spans="1:5" x14ac:dyDescent="0.25">
      <c r="A227" s="7">
        <v>226</v>
      </c>
      <c r="D227" s="20"/>
    </row>
    <row r="228" spans="1:5" x14ac:dyDescent="0.25">
      <c r="A228" s="7">
        <v>227</v>
      </c>
      <c r="D228" s="27" t="s">
        <v>1150</v>
      </c>
    </row>
    <row r="229" spans="1:5" s="20" customFormat="1" x14ac:dyDescent="0.25">
      <c r="A229" s="7">
        <v>228</v>
      </c>
      <c r="B229" s="7"/>
      <c r="C229" s="7"/>
      <c r="D229" s="20" t="s">
        <v>1130</v>
      </c>
      <c r="E229" s="23" t="s">
        <v>254</v>
      </c>
    </row>
    <row r="230" spans="1:5" s="20" customFormat="1" x14ac:dyDescent="0.25">
      <c r="A230" s="7">
        <v>229</v>
      </c>
      <c r="B230" s="7"/>
      <c r="C230" s="7"/>
      <c r="D230" s="20" t="s">
        <v>1129</v>
      </c>
      <c r="E230" s="23" t="s">
        <v>1293</v>
      </c>
    </row>
    <row r="231" spans="1:5" x14ac:dyDescent="0.25">
      <c r="A231" s="7">
        <v>230</v>
      </c>
      <c r="D231" s="7" t="s">
        <v>1076</v>
      </c>
      <c r="E231" s="17" t="s">
        <v>310</v>
      </c>
    </row>
    <row r="232" spans="1:5" x14ac:dyDescent="0.25">
      <c r="A232" s="7">
        <v>231</v>
      </c>
      <c r="D232" s="7" t="s">
        <v>1077</v>
      </c>
    </row>
    <row r="233" spans="1:5" x14ac:dyDescent="0.25">
      <c r="A233" s="7">
        <v>232</v>
      </c>
      <c r="D233" s="7" t="s">
        <v>1086</v>
      </c>
      <c r="E233" s="17" t="s">
        <v>311</v>
      </c>
    </row>
    <row r="234" spans="1:5" x14ac:dyDescent="0.25">
      <c r="A234" s="7">
        <v>233</v>
      </c>
      <c r="D234" s="7" t="s">
        <v>1087</v>
      </c>
      <c r="E234" s="17"/>
    </row>
    <row r="235" spans="1:5" x14ac:dyDescent="0.25">
      <c r="A235" s="7">
        <v>234</v>
      </c>
      <c r="D235" s="7" t="s">
        <v>994</v>
      </c>
      <c r="E235" s="7" t="s">
        <v>361</v>
      </c>
    </row>
    <row r="236" spans="1:5" x14ac:dyDescent="0.25">
      <c r="A236" s="7">
        <v>235</v>
      </c>
      <c r="D236" s="7" t="s">
        <v>995</v>
      </c>
    </row>
    <row r="237" spans="1:5" x14ac:dyDescent="0.25">
      <c r="A237" s="7">
        <v>236</v>
      </c>
      <c r="D237" s="7" t="s">
        <v>1084</v>
      </c>
      <c r="E237" s="17" t="s">
        <v>339</v>
      </c>
    </row>
    <row r="238" spans="1:5" x14ac:dyDescent="0.25">
      <c r="A238" s="7">
        <v>237</v>
      </c>
      <c r="D238" s="7" t="s">
        <v>1085</v>
      </c>
      <c r="E238" s="17"/>
    </row>
    <row r="239" spans="1:5" x14ac:dyDescent="0.25">
      <c r="A239" s="7">
        <v>238</v>
      </c>
      <c r="D239" s="7" t="s">
        <v>992</v>
      </c>
      <c r="E239" s="7" t="s">
        <v>230</v>
      </c>
    </row>
    <row r="240" spans="1:5" x14ac:dyDescent="0.25">
      <c r="A240" s="7">
        <v>239</v>
      </c>
      <c r="D240" s="7" t="s">
        <v>993</v>
      </c>
      <c r="E240" s="23" t="s">
        <v>1305</v>
      </c>
    </row>
    <row r="241" spans="1:5" x14ac:dyDescent="0.25">
      <c r="A241" s="7">
        <v>240</v>
      </c>
      <c r="D241" s="7" t="s">
        <v>1078</v>
      </c>
      <c r="E241" s="17" t="s">
        <v>52</v>
      </c>
    </row>
    <row r="242" spans="1:5" x14ac:dyDescent="0.25">
      <c r="A242" s="7">
        <v>241</v>
      </c>
      <c r="D242" s="7" t="s">
        <v>1079</v>
      </c>
    </row>
    <row r="243" spans="1:5" x14ac:dyDescent="0.25">
      <c r="A243" s="7">
        <v>242</v>
      </c>
      <c r="D243" s="7" t="s">
        <v>970</v>
      </c>
      <c r="E243" s="7" t="s">
        <v>301</v>
      </c>
    </row>
    <row r="244" spans="1:5" x14ac:dyDescent="0.25">
      <c r="A244" s="7">
        <v>243</v>
      </c>
      <c r="D244" s="7" t="s">
        <v>971</v>
      </c>
    </row>
    <row r="245" spans="1:5" x14ac:dyDescent="0.25">
      <c r="A245" s="7">
        <v>244</v>
      </c>
      <c r="D245" s="7" t="s">
        <v>1074</v>
      </c>
      <c r="E245" s="17" t="s">
        <v>281</v>
      </c>
    </row>
    <row r="246" spans="1:5" x14ac:dyDescent="0.25">
      <c r="A246" s="7">
        <v>245</v>
      </c>
      <c r="D246" s="7" t="s">
        <v>1075</v>
      </c>
    </row>
    <row r="247" spans="1:5" x14ac:dyDescent="0.25">
      <c r="A247" s="7">
        <v>246</v>
      </c>
      <c r="D247" s="7" t="s">
        <v>1092</v>
      </c>
      <c r="E247" s="17" t="s">
        <v>331</v>
      </c>
    </row>
    <row r="248" spans="1:5" x14ac:dyDescent="0.25">
      <c r="A248" s="7">
        <v>247</v>
      </c>
      <c r="D248" s="7" t="s">
        <v>1093</v>
      </c>
      <c r="E248" s="17"/>
    </row>
    <row r="249" spans="1:5" x14ac:dyDescent="0.25">
      <c r="A249" s="7">
        <v>248</v>
      </c>
    </row>
    <row r="250" spans="1:5" x14ac:dyDescent="0.25">
      <c r="A250" s="7">
        <v>249</v>
      </c>
      <c r="D250" s="28" t="s">
        <v>1283</v>
      </c>
    </row>
    <row r="251" spans="1:5" x14ac:dyDescent="0.25">
      <c r="A251" s="7">
        <v>250</v>
      </c>
      <c r="D251" s="7" t="s">
        <v>1090</v>
      </c>
      <c r="E251" s="17" t="s">
        <v>239</v>
      </c>
    </row>
    <row r="252" spans="1:5" x14ac:dyDescent="0.25">
      <c r="A252" s="7">
        <v>251</v>
      </c>
      <c r="D252" s="7" t="s">
        <v>1091</v>
      </c>
      <c r="E252" s="17"/>
    </row>
    <row r="253" spans="1:5" x14ac:dyDescent="0.25">
      <c r="A253" s="7">
        <v>252</v>
      </c>
      <c r="C253" s="20"/>
      <c r="D253" s="20" t="s">
        <v>1194</v>
      </c>
      <c r="E253" s="20" t="s">
        <v>826</v>
      </c>
    </row>
    <row r="254" spans="1:5" x14ac:dyDescent="0.25">
      <c r="A254" s="7">
        <v>253</v>
      </c>
      <c r="C254" s="20"/>
      <c r="D254" s="20" t="s">
        <v>1195</v>
      </c>
      <c r="E254" s="20" t="s">
        <v>1288</v>
      </c>
    </row>
    <row r="255" spans="1:5" x14ac:dyDescent="0.25">
      <c r="A255" s="7">
        <v>254</v>
      </c>
      <c r="C255" s="20"/>
      <c r="D255" s="20"/>
      <c r="E255" s="20"/>
    </row>
    <row r="256" spans="1:5" x14ac:dyDescent="0.25">
      <c r="A256" s="7">
        <v>255</v>
      </c>
      <c r="C256" s="20"/>
      <c r="D256" s="29" t="s">
        <v>1287</v>
      </c>
      <c r="E256" s="20" t="s">
        <v>1288</v>
      </c>
    </row>
    <row r="257" spans="1:5" s="20" customFormat="1" x14ac:dyDescent="0.25">
      <c r="A257" s="7">
        <v>256</v>
      </c>
      <c r="B257" s="7"/>
      <c r="D257" s="20" t="s">
        <v>1160</v>
      </c>
      <c r="E257" s="20" t="s">
        <v>475</v>
      </c>
    </row>
    <row r="258" spans="1:5" s="20" customFormat="1" x14ac:dyDescent="0.25">
      <c r="A258" s="7">
        <v>257</v>
      </c>
      <c r="B258" s="7"/>
      <c r="D258" s="20" t="s">
        <v>1161</v>
      </c>
      <c r="E258" s="20" t="s">
        <v>1288</v>
      </c>
    </row>
    <row r="259" spans="1:5" s="20" customFormat="1" x14ac:dyDescent="0.25">
      <c r="A259" s="7">
        <v>258</v>
      </c>
      <c r="B259" s="7"/>
      <c r="D259" s="20" t="s">
        <v>1254</v>
      </c>
      <c r="E259" s="20" t="s">
        <v>340</v>
      </c>
    </row>
    <row r="260" spans="1:5" s="20" customFormat="1" x14ac:dyDescent="0.25">
      <c r="A260" s="7">
        <v>259</v>
      </c>
      <c r="B260" s="7"/>
      <c r="D260" s="20" t="s">
        <v>1255</v>
      </c>
      <c r="E260" s="20" t="s">
        <v>1288</v>
      </c>
    </row>
    <row r="261" spans="1:5" s="20" customFormat="1" x14ac:dyDescent="0.25">
      <c r="A261" s="7">
        <v>260</v>
      </c>
      <c r="B261" s="7"/>
      <c r="D261" s="20" t="s">
        <v>1208</v>
      </c>
      <c r="E261" s="20" t="s">
        <v>476</v>
      </c>
    </row>
    <row r="262" spans="1:5" s="20" customFormat="1" x14ac:dyDescent="0.25">
      <c r="A262" s="7">
        <v>261</v>
      </c>
      <c r="B262" s="7"/>
      <c r="D262" s="20" t="s">
        <v>1209</v>
      </c>
      <c r="E262" s="20" t="s">
        <v>1288</v>
      </c>
    </row>
    <row r="263" spans="1:5" s="20" customFormat="1" x14ac:dyDescent="0.25">
      <c r="A263" s="7">
        <v>262</v>
      </c>
      <c r="B263" s="7"/>
      <c r="D263" s="20" t="s">
        <v>1186</v>
      </c>
      <c r="E263" s="20" t="s">
        <v>4</v>
      </c>
    </row>
    <row r="264" spans="1:5" s="20" customFormat="1" x14ac:dyDescent="0.25">
      <c r="A264" s="7">
        <v>263</v>
      </c>
      <c r="B264" s="7"/>
      <c r="D264" s="20" t="s">
        <v>1187</v>
      </c>
      <c r="E264" s="20" t="s">
        <v>1288</v>
      </c>
    </row>
    <row r="265" spans="1:5" s="20" customFormat="1" x14ac:dyDescent="0.25">
      <c r="A265" s="7">
        <v>264</v>
      </c>
      <c r="B265" s="7"/>
      <c r="D265" s="20" t="s">
        <v>1196</v>
      </c>
      <c r="E265" s="20" t="s">
        <v>4</v>
      </c>
    </row>
    <row r="266" spans="1:5" s="20" customFormat="1" x14ac:dyDescent="0.25">
      <c r="A266" s="7">
        <v>265</v>
      </c>
      <c r="B266" s="7"/>
      <c r="D266" s="20" t="s">
        <v>1197</v>
      </c>
      <c r="E266" s="20" t="s">
        <v>1288</v>
      </c>
    </row>
    <row r="267" spans="1:5" s="20" customFormat="1" x14ac:dyDescent="0.25">
      <c r="A267" s="7">
        <v>266</v>
      </c>
      <c r="B267" s="7"/>
    </row>
    <row r="268" spans="1:5" s="20" customFormat="1" x14ac:dyDescent="0.25">
      <c r="A268" s="7">
        <v>267</v>
      </c>
      <c r="B268" s="7"/>
      <c r="D268" s="29" t="s">
        <v>1286</v>
      </c>
      <c r="E268" s="20" t="s">
        <v>1288</v>
      </c>
    </row>
    <row r="269" spans="1:5" s="20" customFormat="1" x14ac:dyDescent="0.25">
      <c r="A269" s="7">
        <v>268</v>
      </c>
      <c r="B269" s="7"/>
      <c r="D269" s="20" t="s">
        <v>1270</v>
      </c>
      <c r="E269" s="20" t="s">
        <v>313</v>
      </c>
    </row>
    <row r="270" spans="1:5" s="20" customFormat="1" x14ac:dyDescent="0.25">
      <c r="A270" s="7">
        <v>269</v>
      </c>
      <c r="B270" s="7"/>
      <c r="D270" s="20" t="s">
        <v>1271</v>
      </c>
      <c r="E270" s="20" t="s">
        <v>1294</v>
      </c>
    </row>
    <row r="271" spans="1:5" s="20" customFormat="1" x14ac:dyDescent="0.25">
      <c r="A271" s="7">
        <v>270</v>
      </c>
      <c r="B271" s="7"/>
      <c r="D271" s="20" t="s">
        <v>1170</v>
      </c>
      <c r="E271" s="20" t="s">
        <v>275</v>
      </c>
    </row>
    <row r="272" spans="1:5" s="20" customFormat="1" x14ac:dyDescent="0.25">
      <c r="A272" s="7">
        <v>271</v>
      </c>
      <c r="B272" s="7"/>
      <c r="D272" s="20" t="s">
        <v>1171</v>
      </c>
      <c r="E272" s="20" t="s">
        <v>1295</v>
      </c>
    </row>
    <row r="273" spans="1:5" s="20" customFormat="1" x14ac:dyDescent="0.25">
      <c r="A273" s="7">
        <v>272</v>
      </c>
      <c r="B273" s="7"/>
      <c r="D273" s="20" t="s">
        <v>1218</v>
      </c>
      <c r="E273" s="20" t="s">
        <v>362</v>
      </c>
    </row>
    <row r="274" spans="1:5" s="20" customFormat="1" x14ac:dyDescent="0.25">
      <c r="A274" s="7">
        <v>273</v>
      </c>
      <c r="B274" s="7"/>
      <c r="D274" s="20" t="s">
        <v>1219</v>
      </c>
      <c r="E274" s="20" t="s">
        <v>1327</v>
      </c>
    </row>
    <row r="275" spans="1:5" s="20" customFormat="1" x14ac:dyDescent="0.25">
      <c r="A275" s="7">
        <v>274</v>
      </c>
      <c r="B275" s="7"/>
      <c r="C275" s="7"/>
      <c r="D275" s="7" t="s">
        <v>1102</v>
      </c>
      <c r="E275" s="20" t="s">
        <v>274</v>
      </c>
    </row>
    <row r="276" spans="1:5" s="20" customFormat="1" x14ac:dyDescent="0.25">
      <c r="A276" s="7">
        <v>275</v>
      </c>
      <c r="B276" s="7"/>
      <c r="C276" s="7"/>
      <c r="D276" s="7" t="s">
        <v>1103</v>
      </c>
      <c r="E276" s="20" t="s">
        <v>1296</v>
      </c>
    </row>
    <row r="277" spans="1:5" s="20" customFormat="1" x14ac:dyDescent="0.25">
      <c r="A277" s="7">
        <v>276</v>
      </c>
      <c r="B277" s="7"/>
    </row>
    <row r="278" spans="1:5" s="20" customFormat="1" x14ac:dyDescent="0.25">
      <c r="A278" s="7">
        <v>277</v>
      </c>
      <c r="B278" s="7"/>
      <c r="C278" s="7"/>
      <c r="D278" s="27" t="s">
        <v>938</v>
      </c>
      <c r="E278" s="20" t="s">
        <v>1288</v>
      </c>
    </row>
    <row r="279" spans="1:5" x14ac:dyDescent="0.25">
      <c r="A279" s="7">
        <v>278</v>
      </c>
      <c r="D279" s="7" t="s">
        <v>1028</v>
      </c>
      <c r="E279" s="20" t="s">
        <v>355</v>
      </c>
    </row>
    <row r="280" spans="1:5" x14ac:dyDescent="0.25">
      <c r="A280" s="7">
        <v>279</v>
      </c>
      <c r="D280" s="7" t="s">
        <v>1029</v>
      </c>
      <c r="E280" s="20" t="s">
        <v>1288</v>
      </c>
    </row>
    <row r="281" spans="1:5" s="20" customFormat="1" x14ac:dyDescent="0.25">
      <c r="A281" s="7">
        <v>280</v>
      </c>
      <c r="B281" s="7"/>
      <c r="C281" s="7"/>
      <c r="D281" s="7" t="s">
        <v>1030</v>
      </c>
      <c r="E281" s="20" t="s">
        <v>283</v>
      </c>
    </row>
    <row r="282" spans="1:5" x14ac:dyDescent="0.25">
      <c r="A282" s="7">
        <v>281</v>
      </c>
      <c r="D282" s="7" t="s">
        <v>1031</v>
      </c>
      <c r="E282" s="20" t="s">
        <v>1288</v>
      </c>
    </row>
    <row r="283" spans="1:5" x14ac:dyDescent="0.25">
      <c r="A283" s="7">
        <v>282</v>
      </c>
      <c r="D283" s="7" t="s">
        <v>1034</v>
      </c>
      <c r="E283" s="20" t="s">
        <v>347</v>
      </c>
    </row>
    <row r="284" spans="1:5" x14ac:dyDescent="0.25">
      <c r="A284" s="7">
        <v>283</v>
      </c>
      <c r="D284" s="7" t="s">
        <v>1035</v>
      </c>
      <c r="E284" s="20" t="s">
        <v>1288</v>
      </c>
    </row>
    <row r="285" spans="1:5" x14ac:dyDescent="0.25">
      <c r="A285" s="7">
        <v>284</v>
      </c>
      <c r="D285" s="7" t="s">
        <v>1032</v>
      </c>
      <c r="E285" s="20" t="s">
        <v>348</v>
      </c>
    </row>
    <row r="286" spans="1:5" x14ac:dyDescent="0.25">
      <c r="A286" s="7">
        <v>285</v>
      </c>
      <c r="D286" s="7" t="s">
        <v>1033</v>
      </c>
      <c r="E286" s="20" t="s">
        <v>1288</v>
      </c>
    </row>
    <row r="287" spans="1:5" x14ac:dyDescent="0.25">
      <c r="A287" s="7">
        <v>286</v>
      </c>
      <c r="E287" s="20"/>
    </row>
    <row r="288" spans="1:5" x14ac:dyDescent="0.25">
      <c r="A288" s="7">
        <v>287</v>
      </c>
      <c r="C288" s="20"/>
      <c r="D288" s="29" t="s">
        <v>1273</v>
      </c>
      <c r="E288" s="20"/>
    </row>
    <row r="289" spans="1:5" x14ac:dyDescent="0.25">
      <c r="A289" s="7">
        <v>288</v>
      </c>
      <c r="D289" s="7" t="s">
        <v>1038</v>
      </c>
      <c r="E289" s="20" t="s">
        <v>312</v>
      </c>
    </row>
    <row r="290" spans="1:5" x14ac:dyDescent="0.25">
      <c r="A290" s="7">
        <v>289</v>
      </c>
      <c r="D290" s="7" t="s">
        <v>1039</v>
      </c>
      <c r="E290" s="20" t="s">
        <v>1329</v>
      </c>
    </row>
    <row r="291" spans="1:5" x14ac:dyDescent="0.25">
      <c r="A291" s="7">
        <v>290</v>
      </c>
      <c r="D291" s="7" t="s">
        <v>1036</v>
      </c>
      <c r="E291" s="20" t="s">
        <v>350</v>
      </c>
    </row>
    <row r="292" spans="1:5" s="20" customFormat="1" x14ac:dyDescent="0.25">
      <c r="A292" s="7">
        <v>291</v>
      </c>
      <c r="B292" s="7"/>
      <c r="C292" s="7"/>
      <c r="D292" s="7" t="s">
        <v>1037</v>
      </c>
      <c r="E292" s="20" t="s">
        <v>1330</v>
      </c>
    </row>
    <row r="293" spans="1:5" x14ac:dyDescent="0.25">
      <c r="A293" s="7">
        <v>292</v>
      </c>
      <c r="D293" s="7" t="s">
        <v>1042</v>
      </c>
      <c r="E293" s="20" t="s">
        <v>366</v>
      </c>
    </row>
    <row r="294" spans="1:5" x14ac:dyDescent="0.25">
      <c r="A294" s="7">
        <v>293</v>
      </c>
      <c r="D294" s="7" t="s">
        <v>1043</v>
      </c>
      <c r="E294" s="20" t="s">
        <v>1331</v>
      </c>
    </row>
    <row r="295" spans="1:5" x14ac:dyDescent="0.25">
      <c r="A295" s="7">
        <v>294</v>
      </c>
      <c r="D295" s="7" t="s">
        <v>1044</v>
      </c>
      <c r="E295" s="20" t="s">
        <v>342</v>
      </c>
    </row>
    <row r="296" spans="1:5" x14ac:dyDescent="0.25">
      <c r="A296" s="7">
        <v>295</v>
      </c>
      <c r="D296" s="7" t="s">
        <v>1045</v>
      </c>
      <c r="E296" s="20" t="s">
        <v>1328</v>
      </c>
    </row>
    <row r="297" spans="1:5" x14ac:dyDescent="0.25">
      <c r="A297" s="7">
        <v>296</v>
      </c>
      <c r="D297" s="7" t="s">
        <v>968</v>
      </c>
      <c r="E297" s="20" t="s">
        <v>346</v>
      </c>
    </row>
    <row r="298" spans="1:5" x14ac:dyDescent="0.25">
      <c r="A298" s="7">
        <v>297</v>
      </c>
      <c r="D298" s="7" t="s">
        <v>969</v>
      </c>
      <c r="E298" s="20" t="s">
        <v>1297</v>
      </c>
    </row>
    <row r="299" spans="1:5" x14ac:dyDescent="0.25">
      <c r="A299" s="7">
        <v>298</v>
      </c>
      <c r="E299" s="20"/>
    </row>
    <row r="300" spans="1:5" x14ac:dyDescent="0.25">
      <c r="A300" s="7">
        <v>299</v>
      </c>
      <c r="D300" s="28" t="s">
        <v>1284</v>
      </c>
      <c r="E300" s="20" t="s">
        <v>1288</v>
      </c>
    </row>
    <row r="301" spans="1:5" x14ac:dyDescent="0.25">
      <c r="A301" s="7">
        <v>300</v>
      </c>
      <c r="D301" s="7" t="s">
        <v>974</v>
      </c>
      <c r="E301" s="20" t="s">
        <v>315</v>
      </c>
    </row>
    <row r="302" spans="1:5" x14ac:dyDescent="0.25">
      <c r="A302" s="7">
        <v>301</v>
      </c>
      <c r="D302" s="7" t="s">
        <v>975</v>
      </c>
      <c r="E302" s="20" t="s">
        <v>1288</v>
      </c>
    </row>
    <row r="303" spans="1:5" x14ac:dyDescent="0.25">
      <c r="A303" s="7">
        <v>302</v>
      </c>
      <c r="C303" s="20"/>
      <c r="D303" s="20" t="s">
        <v>1156</v>
      </c>
      <c r="E303" s="20" t="s">
        <v>356</v>
      </c>
    </row>
    <row r="304" spans="1:5" x14ac:dyDescent="0.25">
      <c r="A304" s="7">
        <v>303</v>
      </c>
      <c r="C304" s="20"/>
      <c r="D304" s="20" t="s">
        <v>1157</v>
      </c>
      <c r="E304" s="20" t="s">
        <v>1288</v>
      </c>
    </row>
    <row r="305" spans="1:5" x14ac:dyDescent="0.25">
      <c r="A305" s="7">
        <v>304</v>
      </c>
      <c r="C305" s="20"/>
      <c r="D305" s="20" t="s">
        <v>1248</v>
      </c>
      <c r="E305" s="20" t="s">
        <v>332</v>
      </c>
    </row>
    <row r="306" spans="1:5" x14ac:dyDescent="0.25">
      <c r="A306" s="7">
        <v>305</v>
      </c>
      <c r="C306" s="20"/>
      <c r="D306" s="20" t="s">
        <v>1249</v>
      </c>
      <c r="E306" s="20" t="s">
        <v>1288</v>
      </c>
    </row>
    <row r="307" spans="1:5" s="20" customFormat="1" x14ac:dyDescent="0.25">
      <c r="A307" s="7">
        <v>306</v>
      </c>
      <c r="B307" s="7"/>
      <c r="D307" s="20" t="s">
        <v>1202</v>
      </c>
      <c r="E307" s="20" t="s">
        <v>237</v>
      </c>
    </row>
    <row r="308" spans="1:5" s="20" customFormat="1" x14ac:dyDescent="0.25">
      <c r="A308" s="7">
        <v>307</v>
      </c>
      <c r="B308" s="7"/>
      <c r="D308" s="20" t="s">
        <v>1203</v>
      </c>
      <c r="E308" s="20" t="s">
        <v>1288</v>
      </c>
    </row>
    <row r="309" spans="1:5" s="20" customFormat="1" x14ac:dyDescent="0.25">
      <c r="A309" s="7">
        <v>308</v>
      </c>
      <c r="B309" s="7"/>
      <c r="D309" s="20" t="s">
        <v>1220</v>
      </c>
      <c r="E309" s="20" t="s">
        <v>276</v>
      </c>
    </row>
    <row r="310" spans="1:5" s="20" customFormat="1" x14ac:dyDescent="0.25">
      <c r="A310" s="7">
        <v>309</v>
      </c>
      <c r="B310" s="7"/>
      <c r="D310" s="20" t="s">
        <v>1221</v>
      </c>
      <c r="E310" s="20" t="s">
        <v>1288</v>
      </c>
    </row>
    <row r="311" spans="1:5" s="20" customFormat="1" x14ac:dyDescent="0.25">
      <c r="A311" s="7">
        <v>310</v>
      </c>
      <c r="B311" s="7"/>
      <c r="C311" s="7"/>
      <c r="D311" s="7"/>
    </row>
    <row r="312" spans="1:5" s="20" customFormat="1" x14ac:dyDescent="0.25">
      <c r="A312" s="7">
        <v>311</v>
      </c>
      <c r="B312" s="7"/>
      <c r="C312" s="7"/>
      <c r="D312" s="27" t="s">
        <v>1274</v>
      </c>
      <c r="E312" s="20" t="s">
        <v>1288</v>
      </c>
    </row>
    <row r="313" spans="1:5" s="20" customFormat="1" x14ac:dyDescent="0.25">
      <c r="A313" s="7">
        <v>312</v>
      </c>
      <c r="B313" s="7"/>
      <c r="D313" s="20" t="s">
        <v>1252</v>
      </c>
      <c r="E313" s="20" t="s">
        <v>282</v>
      </c>
    </row>
    <row r="314" spans="1:5" s="20" customFormat="1" x14ac:dyDescent="0.25">
      <c r="A314" s="7">
        <v>313</v>
      </c>
      <c r="B314" s="7"/>
      <c r="D314" s="20" t="s">
        <v>1253</v>
      </c>
      <c r="E314" s="20" t="s">
        <v>1301</v>
      </c>
    </row>
    <row r="315" spans="1:5" x14ac:dyDescent="0.25">
      <c r="A315" s="7">
        <v>314</v>
      </c>
      <c r="C315" s="20"/>
      <c r="D315" s="20" t="s">
        <v>1216</v>
      </c>
      <c r="E315" s="20" t="s">
        <v>351</v>
      </c>
    </row>
    <row r="316" spans="1:5" x14ac:dyDescent="0.25">
      <c r="A316" s="7">
        <v>315</v>
      </c>
      <c r="C316" s="20"/>
      <c r="D316" s="20" t="s">
        <v>1217</v>
      </c>
      <c r="E316" s="20" t="s">
        <v>1288</v>
      </c>
    </row>
    <row r="317" spans="1:5" s="20" customFormat="1" x14ac:dyDescent="0.25">
      <c r="A317" s="7">
        <v>316</v>
      </c>
      <c r="B317" s="7"/>
      <c r="D317" s="20" t="s">
        <v>1192</v>
      </c>
      <c r="E317" s="20" t="s">
        <v>343</v>
      </c>
    </row>
    <row r="318" spans="1:5" s="20" customFormat="1" x14ac:dyDescent="0.25">
      <c r="A318" s="7">
        <v>317</v>
      </c>
      <c r="B318" s="7"/>
      <c r="D318" s="20" t="s">
        <v>1193</v>
      </c>
      <c r="E318" s="20" t="s">
        <v>1302</v>
      </c>
    </row>
    <row r="319" spans="1:5" s="20" customFormat="1" x14ac:dyDescent="0.25">
      <c r="A319" s="7">
        <v>318</v>
      </c>
      <c r="B319" s="7"/>
      <c r="D319" s="20" t="s">
        <v>1210</v>
      </c>
      <c r="E319" s="20" t="s">
        <v>544</v>
      </c>
    </row>
    <row r="320" spans="1:5" s="20" customFormat="1" x14ac:dyDescent="0.25">
      <c r="A320" s="7">
        <v>319</v>
      </c>
      <c r="B320" s="7"/>
      <c r="D320" s="20" t="s">
        <v>1211</v>
      </c>
      <c r="E320" s="20" t="s">
        <v>1303</v>
      </c>
    </row>
    <row r="321" spans="1:5" s="20" customFormat="1" x14ac:dyDescent="0.25">
      <c r="A321" s="7">
        <v>320</v>
      </c>
      <c r="B321" s="7"/>
    </row>
    <row r="322" spans="1:5" s="20" customFormat="1" x14ac:dyDescent="0.25">
      <c r="A322" s="7">
        <v>321</v>
      </c>
      <c r="B322" s="7"/>
      <c r="D322" s="29" t="s">
        <v>1282</v>
      </c>
      <c r="E322" s="20" t="s">
        <v>1288</v>
      </c>
    </row>
    <row r="323" spans="1:5" s="20" customFormat="1" x14ac:dyDescent="0.25">
      <c r="A323" s="7">
        <v>322</v>
      </c>
      <c r="B323" s="7"/>
      <c r="C323" s="7"/>
      <c r="D323" s="7" t="s">
        <v>1040</v>
      </c>
      <c r="E323" s="20" t="s">
        <v>314</v>
      </c>
    </row>
    <row r="324" spans="1:5" s="20" customFormat="1" x14ac:dyDescent="0.25">
      <c r="A324" s="7">
        <v>323</v>
      </c>
      <c r="B324" s="7"/>
      <c r="C324" s="7"/>
      <c r="D324" s="7" t="s">
        <v>1041</v>
      </c>
      <c r="E324" s="20" t="s">
        <v>1304</v>
      </c>
    </row>
    <row r="325" spans="1:5" s="20" customFormat="1" x14ac:dyDescent="0.25">
      <c r="A325" s="7">
        <v>324</v>
      </c>
      <c r="B325" s="7"/>
      <c r="C325" s="7"/>
      <c r="D325" s="7" t="s">
        <v>1080</v>
      </c>
      <c r="E325" s="20" t="s">
        <v>240</v>
      </c>
    </row>
    <row r="326" spans="1:5" s="20" customFormat="1" x14ac:dyDescent="0.25">
      <c r="A326" s="7">
        <v>325</v>
      </c>
      <c r="B326" s="7"/>
      <c r="C326" s="7"/>
      <c r="D326" s="7" t="s">
        <v>1081</v>
      </c>
      <c r="E326" s="20" t="s">
        <v>1288</v>
      </c>
    </row>
    <row r="327" spans="1:5" x14ac:dyDescent="0.25">
      <c r="A327" s="7">
        <v>326</v>
      </c>
      <c r="D327" s="7" t="s">
        <v>1082</v>
      </c>
      <c r="E327" s="20" t="s">
        <v>345</v>
      </c>
    </row>
    <row r="328" spans="1:5" x14ac:dyDescent="0.25">
      <c r="A328" s="7">
        <v>327</v>
      </c>
      <c r="D328" s="7" t="s">
        <v>1083</v>
      </c>
      <c r="E328" s="20" t="s">
        <v>1288</v>
      </c>
    </row>
    <row r="329" spans="1:5" x14ac:dyDescent="0.25">
      <c r="A329" s="7">
        <v>328</v>
      </c>
      <c r="E329" s="20"/>
    </row>
    <row r="330" spans="1:5" x14ac:dyDescent="0.25">
      <c r="A330" s="7">
        <v>329</v>
      </c>
      <c r="D330" s="28" t="s">
        <v>1272</v>
      </c>
      <c r="E330" s="20"/>
    </row>
    <row r="331" spans="1:5" x14ac:dyDescent="0.25">
      <c r="A331" s="7">
        <v>330</v>
      </c>
      <c r="D331" s="7" t="s">
        <v>978</v>
      </c>
      <c r="E331" s="20" t="s">
        <v>232</v>
      </c>
    </row>
    <row r="332" spans="1:5" x14ac:dyDescent="0.25">
      <c r="A332" s="7">
        <v>331</v>
      </c>
      <c r="D332" s="7" t="s">
        <v>979</v>
      </c>
      <c r="E332" s="20" t="s">
        <v>1288</v>
      </c>
    </row>
    <row r="333" spans="1:5" x14ac:dyDescent="0.25">
      <c r="A333" s="7">
        <v>332</v>
      </c>
      <c r="C333" s="20"/>
      <c r="D333" s="20" t="s">
        <v>1168</v>
      </c>
      <c r="E333" s="20" t="s">
        <v>471</v>
      </c>
    </row>
    <row r="334" spans="1:5" x14ac:dyDescent="0.25">
      <c r="A334" s="7">
        <v>333</v>
      </c>
      <c r="C334" s="20"/>
      <c r="D334" s="20" t="s">
        <v>1169</v>
      </c>
      <c r="E334" s="20" t="s">
        <v>1288</v>
      </c>
    </row>
    <row r="335" spans="1:5" x14ac:dyDescent="0.25">
      <c r="A335" s="7">
        <v>334</v>
      </c>
      <c r="D335" s="7" t="s">
        <v>1046</v>
      </c>
      <c r="E335" s="20" t="s">
        <v>364</v>
      </c>
    </row>
    <row r="336" spans="1:5" x14ac:dyDescent="0.25">
      <c r="A336" s="7">
        <v>335</v>
      </c>
      <c r="D336" s="7" t="s">
        <v>1047</v>
      </c>
      <c r="E336" s="20" t="s">
        <v>1288</v>
      </c>
    </row>
    <row r="337" spans="1:5" s="20" customFormat="1" x14ac:dyDescent="0.25">
      <c r="A337" s="7">
        <v>336</v>
      </c>
      <c r="B337" s="7"/>
      <c r="D337" s="20" t="s">
        <v>1182</v>
      </c>
      <c r="E337" s="20" t="s">
        <v>472</v>
      </c>
    </row>
    <row r="338" spans="1:5" s="20" customFormat="1" x14ac:dyDescent="0.25">
      <c r="A338" s="7">
        <v>337</v>
      </c>
      <c r="B338" s="7"/>
      <c r="D338" s="20" t="s">
        <v>1183</v>
      </c>
      <c r="E338" s="20" t="s">
        <v>1288</v>
      </c>
    </row>
    <row r="339" spans="1:5" x14ac:dyDescent="0.25">
      <c r="A339" s="7">
        <v>338</v>
      </c>
      <c r="C339" s="20"/>
      <c r="D339" s="20" t="s">
        <v>1190</v>
      </c>
      <c r="E339" s="20" t="s">
        <v>474</v>
      </c>
    </row>
    <row r="340" spans="1:5" x14ac:dyDescent="0.25">
      <c r="A340" s="7">
        <v>339</v>
      </c>
      <c r="C340" s="20"/>
      <c r="D340" s="20" t="s">
        <v>1191</v>
      </c>
      <c r="E340" s="20" t="s">
        <v>1288</v>
      </c>
    </row>
    <row r="341" spans="1:5" s="20" customFormat="1" x14ac:dyDescent="0.25">
      <c r="A341" s="7">
        <v>340</v>
      </c>
      <c r="B341" s="7"/>
      <c r="C341" s="7"/>
      <c r="D341" s="7"/>
    </row>
    <row r="342" spans="1:5" s="20" customFormat="1" x14ac:dyDescent="0.25">
      <c r="A342" s="7">
        <v>341</v>
      </c>
      <c r="B342" s="7"/>
      <c r="C342" s="7"/>
      <c r="D342" s="27" t="s">
        <v>1277</v>
      </c>
    </row>
    <row r="343" spans="1:5" s="20" customFormat="1" x14ac:dyDescent="0.25">
      <c r="A343" s="7">
        <v>342</v>
      </c>
      <c r="B343" s="7"/>
      <c r="D343" s="20" t="s">
        <v>1244</v>
      </c>
      <c r="E343" s="20" t="s">
        <v>464</v>
      </c>
    </row>
    <row r="344" spans="1:5" s="20" customFormat="1" x14ac:dyDescent="0.25">
      <c r="A344" s="7">
        <v>343</v>
      </c>
      <c r="B344" s="7"/>
      <c r="D344" s="20" t="s">
        <v>1245</v>
      </c>
      <c r="E344" s="20" t="s">
        <v>1288</v>
      </c>
    </row>
    <row r="345" spans="1:5" x14ac:dyDescent="0.25">
      <c r="A345" s="7">
        <v>344</v>
      </c>
      <c r="C345" s="20"/>
      <c r="D345" s="20" t="s">
        <v>1256</v>
      </c>
      <c r="E345" s="20" t="s">
        <v>150</v>
      </c>
    </row>
    <row r="346" spans="1:5" x14ac:dyDescent="0.25">
      <c r="A346" s="7">
        <v>345</v>
      </c>
      <c r="C346" s="20"/>
      <c r="D346" s="20" t="s">
        <v>1257</v>
      </c>
      <c r="E346" s="20" t="s">
        <v>1288</v>
      </c>
    </row>
    <row r="347" spans="1:5" s="20" customFormat="1" x14ac:dyDescent="0.25">
      <c r="A347" s="7">
        <v>346</v>
      </c>
      <c r="B347" s="7"/>
      <c r="D347" s="20" t="s">
        <v>1224</v>
      </c>
      <c r="E347" s="20" t="s">
        <v>552</v>
      </c>
    </row>
    <row r="348" spans="1:5" s="20" customFormat="1" x14ac:dyDescent="0.25">
      <c r="A348" s="7">
        <v>347</v>
      </c>
      <c r="B348" s="7"/>
      <c r="D348" s="20" t="s">
        <v>1225</v>
      </c>
      <c r="E348" s="20" t="s">
        <v>1288</v>
      </c>
    </row>
    <row r="349" spans="1:5" s="20" customFormat="1" x14ac:dyDescent="0.25">
      <c r="A349" s="7">
        <v>348</v>
      </c>
      <c r="B349" s="7"/>
      <c r="D349" s="20" t="s">
        <v>1206</v>
      </c>
      <c r="E349" s="20" t="s">
        <v>169</v>
      </c>
    </row>
    <row r="350" spans="1:5" s="20" customFormat="1" x14ac:dyDescent="0.25">
      <c r="A350" s="7">
        <v>349</v>
      </c>
      <c r="B350" s="7"/>
      <c r="D350" s="20" t="s">
        <v>1207</v>
      </c>
      <c r="E350" s="20" t="s">
        <v>1288</v>
      </c>
    </row>
    <row r="351" spans="1:5" s="20" customFormat="1" x14ac:dyDescent="0.25">
      <c r="A351" s="7">
        <v>350</v>
      </c>
      <c r="B351" s="7"/>
      <c r="D351" s="20" t="s">
        <v>1176</v>
      </c>
      <c r="E351" s="20" t="s">
        <v>272</v>
      </c>
    </row>
    <row r="352" spans="1:5" s="20" customFormat="1" x14ac:dyDescent="0.25">
      <c r="A352" s="7">
        <v>351</v>
      </c>
      <c r="B352" s="7"/>
      <c r="D352" s="20" t="s">
        <v>1177</v>
      </c>
      <c r="E352" s="20" t="s">
        <v>1288</v>
      </c>
    </row>
    <row r="353" spans="1:5" s="20" customFormat="1" x14ac:dyDescent="0.25">
      <c r="A353" s="7">
        <v>352</v>
      </c>
      <c r="B353" s="7"/>
      <c r="C353" s="7"/>
      <c r="D353" s="7"/>
      <c r="E353" s="7"/>
    </row>
    <row r="354" spans="1:5" s="20" customFormat="1" x14ac:dyDescent="0.25">
      <c r="A354" s="7">
        <v>353</v>
      </c>
      <c r="B354" s="7"/>
      <c r="C354" s="7"/>
      <c r="D354" s="28" t="s">
        <v>1276</v>
      </c>
      <c r="E354" s="7"/>
    </row>
    <row r="355" spans="1:5" s="20" customFormat="1" x14ac:dyDescent="0.25">
      <c r="A355" s="7">
        <v>354</v>
      </c>
      <c r="B355" s="7"/>
      <c r="C355" s="7"/>
      <c r="D355" s="28" t="s">
        <v>1278</v>
      </c>
      <c r="E355" s="7" t="s">
        <v>316</v>
      </c>
    </row>
    <row r="356" spans="1:5" s="20" customFormat="1" x14ac:dyDescent="0.25">
      <c r="A356" s="7">
        <v>355</v>
      </c>
      <c r="B356" s="7"/>
      <c r="C356" s="7"/>
      <c r="D356" s="7" t="s">
        <v>955</v>
      </c>
      <c r="E356" s="7" t="s">
        <v>1298</v>
      </c>
    </row>
    <row r="357" spans="1:5" x14ac:dyDescent="0.25">
      <c r="A357" s="7">
        <v>356</v>
      </c>
      <c r="D357" s="7" t="s">
        <v>1070</v>
      </c>
      <c r="E357" s="17" t="s">
        <v>349</v>
      </c>
    </row>
    <row r="358" spans="1:5" x14ac:dyDescent="0.25">
      <c r="A358" s="7">
        <v>357</v>
      </c>
      <c r="D358" s="7" t="s">
        <v>1071</v>
      </c>
      <c r="E358" s="30" t="s">
        <v>1300</v>
      </c>
    </row>
    <row r="359" spans="1:5" x14ac:dyDescent="0.25">
      <c r="A359" s="7">
        <v>358</v>
      </c>
      <c r="C359" s="20"/>
      <c r="D359" s="20" t="s">
        <v>1243</v>
      </c>
      <c r="E359" s="20" t="s">
        <v>1279</v>
      </c>
    </row>
    <row r="360" spans="1:5" x14ac:dyDescent="0.25">
      <c r="A360" s="7">
        <v>359</v>
      </c>
      <c r="C360" s="20"/>
      <c r="D360" s="20" t="s">
        <v>1242</v>
      </c>
      <c r="E360" s="20" t="s">
        <v>1299</v>
      </c>
    </row>
    <row r="361" spans="1:5" x14ac:dyDescent="0.25">
      <c r="A361" s="7">
        <v>360</v>
      </c>
      <c r="C361" s="7" t="s">
        <v>559</v>
      </c>
      <c r="E361" s="17"/>
    </row>
    <row r="362" spans="1:5" x14ac:dyDescent="0.25">
      <c r="A362" s="7">
        <v>361</v>
      </c>
      <c r="B362" s="7" t="s">
        <v>559</v>
      </c>
    </row>
    <row r="363" spans="1:5" s="20" customFormat="1" x14ac:dyDescent="0.25">
      <c r="A363" s="7"/>
      <c r="B363" s="7"/>
      <c r="C363" s="7"/>
      <c r="E363" s="17"/>
    </row>
    <row r="364" spans="1:5" s="20" customFormat="1" x14ac:dyDescent="0.25">
      <c r="A364" s="7"/>
      <c r="B364" s="7"/>
      <c r="C364" s="7"/>
      <c r="D364" s="7"/>
      <c r="E364" s="17"/>
    </row>
    <row r="365" spans="1:5" x14ac:dyDescent="0.25">
      <c r="E365" s="17"/>
    </row>
    <row r="377" spans="12:12" x14ac:dyDescent="0.25">
      <c r="L377" s="17"/>
    </row>
    <row r="378" spans="12:12" x14ac:dyDescent="0.25">
      <c r="L378" s="17"/>
    </row>
    <row r="379" spans="12:12" x14ac:dyDescent="0.25">
      <c r="L379" s="17"/>
    </row>
    <row r="380" spans="12:12" x14ac:dyDescent="0.25">
      <c r="L380" s="17"/>
    </row>
    <row r="381" spans="12:12" x14ac:dyDescent="0.25">
      <c r="L381" s="17"/>
    </row>
    <row r="382" spans="12:12" x14ac:dyDescent="0.25">
      <c r="L382" s="17"/>
    </row>
    <row r="383" spans="12:12" x14ac:dyDescent="0.25">
      <c r="L383" s="17"/>
    </row>
    <row r="384" spans="12:12" x14ac:dyDescent="0.25">
      <c r="L384" s="17"/>
    </row>
    <row r="385" spans="12:12" x14ac:dyDescent="0.25">
      <c r="L385" s="17"/>
    </row>
    <row r="386" spans="12:12" x14ac:dyDescent="0.25">
      <c r="L386" s="17"/>
    </row>
    <row r="387" spans="12:12" x14ac:dyDescent="0.25">
      <c r="L387" s="17"/>
    </row>
    <row r="388" spans="12:12" x14ac:dyDescent="0.25">
      <c r="L388" s="17"/>
    </row>
    <row r="389" spans="12:12" x14ac:dyDescent="0.25">
      <c r="L389" s="17"/>
    </row>
    <row r="390" spans="12:12" x14ac:dyDescent="0.25">
      <c r="L390" s="17"/>
    </row>
    <row r="391" spans="12:12" x14ac:dyDescent="0.25">
      <c r="L391" s="17"/>
    </row>
    <row r="392" spans="12:12" x14ac:dyDescent="0.25">
      <c r="L392" s="17"/>
    </row>
    <row r="393" spans="12:12" x14ac:dyDescent="0.25">
      <c r="L393" s="17"/>
    </row>
    <row r="394" spans="12:12" x14ac:dyDescent="0.25">
      <c r="L394" s="17"/>
    </row>
    <row r="395" spans="12:12" x14ac:dyDescent="0.25">
      <c r="L395" s="17"/>
    </row>
    <row r="396" spans="12:12" x14ac:dyDescent="0.25">
      <c r="L396" s="17"/>
    </row>
    <row r="397" spans="12:12" x14ac:dyDescent="0.25">
      <c r="L397" s="17"/>
    </row>
    <row r="398" spans="12:12" x14ac:dyDescent="0.25">
      <c r="L398" s="17"/>
    </row>
    <row r="399" spans="12:12" x14ac:dyDescent="0.25">
      <c r="L399" s="17"/>
    </row>
    <row r="400" spans="12:12" x14ac:dyDescent="0.25">
      <c r="L400" s="17"/>
    </row>
    <row r="401" spans="5:12" x14ac:dyDescent="0.25">
      <c r="L401" s="17"/>
    </row>
    <row r="402" spans="5:12" x14ac:dyDescent="0.25">
      <c r="L402" s="17"/>
    </row>
    <row r="403" spans="5:12" x14ac:dyDescent="0.25">
      <c r="L403" s="17"/>
    </row>
    <row r="404" spans="5:12" x14ac:dyDescent="0.25">
      <c r="L404" s="17"/>
    </row>
    <row r="405" spans="5:12" x14ac:dyDescent="0.25">
      <c r="L405" s="17"/>
    </row>
    <row r="406" spans="5:12" x14ac:dyDescent="0.25">
      <c r="L406" s="17"/>
    </row>
    <row r="407" spans="5:12" x14ac:dyDescent="0.25">
      <c r="E407" s="17"/>
      <c r="L407" s="17"/>
    </row>
    <row r="408" spans="5:12" x14ac:dyDescent="0.25">
      <c r="L408" s="17"/>
    </row>
    <row r="409" spans="5:12" x14ac:dyDescent="0.25">
      <c r="L409" s="17"/>
    </row>
    <row r="410" spans="5:12" x14ac:dyDescent="0.25">
      <c r="L410" s="17"/>
    </row>
    <row r="411" spans="5:12" x14ac:dyDescent="0.25">
      <c r="L411" s="17"/>
    </row>
    <row r="412" spans="5:12" x14ac:dyDescent="0.25">
      <c r="L412" s="17"/>
    </row>
    <row r="413" spans="5:12" x14ac:dyDescent="0.25">
      <c r="E413" s="17"/>
      <c r="L413" s="17"/>
    </row>
    <row r="414" spans="5:12" x14ac:dyDescent="0.25">
      <c r="E414" s="17"/>
      <c r="L414" s="17"/>
    </row>
    <row r="415" spans="5:12" x14ac:dyDescent="0.25">
      <c r="E415" s="17"/>
      <c r="L415" s="17"/>
    </row>
    <row r="416" spans="5:12" x14ac:dyDescent="0.25">
      <c r="E416" s="17"/>
      <c r="L416" s="17"/>
    </row>
    <row r="417" spans="5:12" x14ac:dyDescent="0.25">
      <c r="E417" s="17"/>
      <c r="L417" s="17"/>
    </row>
    <row r="418" spans="5:12" x14ac:dyDescent="0.25">
      <c r="E418" s="17"/>
      <c r="L418" s="17"/>
    </row>
    <row r="419" spans="5:12" x14ac:dyDescent="0.25">
      <c r="E419" s="17"/>
      <c r="L419" s="17"/>
    </row>
    <row r="420" spans="5:12" x14ac:dyDescent="0.25">
      <c r="E420" s="17"/>
      <c r="L420" s="17"/>
    </row>
    <row r="421" spans="5:12" x14ac:dyDescent="0.25">
      <c r="E421" s="17"/>
      <c r="L421" s="17"/>
    </row>
    <row r="422" spans="5:12" x14ac:dyDescent="0.25">
      <c r="E422" s="17"/>
      <c r="L422" s="17"/>
    </row>
    <row r="423" spans="5:12" x14ac:dyDescent="0.25">
      <c r="E423" s="17"/>
      <c r="L423" s="17"/>
    </row>
    <row r="424" spans="5:12" x14ac:dyDescent="0.25">
      <c r="E424" s="17"/>
      <c r="L424" s="17"/>
    </row>
    <row r="425" spans="5:12" x14ac:dyDescent="0.25">
      <c r="E425" s="17"/>
      <c r="L425" s="17"/>
    </row>
    <row r="426" spans="5:12" x14ac:dyDescent="0.25">
      <c r="E426" s="17"/>
      <c r="L426" s="17"/>
    </row>
    <row r="427" spans="5:12" x14ac:dyDescent="0.25">
      <c r="E427" s="17"/>
      <c r="L427" s="17"/>
    </row>
    <row r="428" spans="5:12" x14ac:dyDescent="0.25">
      <c r="E428" s="17"/>
      <c r="L428" s="17"/>
    </row>
    <row r="429" spans="5:12" x14ac:dyDescent="0.25">
      <c r="E429" s="17"/>
      <c r="L429" s="17"/>
    </row>
    <row r="430" spans="5:12" x14ac:dyDescent="0.25">
      <c r="E430" s="17"/>
      <c r="L430" s="17"/>
    </row>
    <row r="431" spans="5:12" x14ac:dyDescent="0.25">
      <c r="E431" s="17"/>
      <c r="L431" s="17"/>
    </row>
    <row r="432" spans="5:12" x14ac:dyDescent="0.25">
      <c r="E432" s="17"/>
      <c r="L432" s="17"/>
    </row>
    <row r="433" spans="5:12" x14ac:dyDescent="0.25">
      <c r="E433" s="17"/>
      <c r="L433" s="17"/>
    </row>
    <row r="434" spans="5:12" x14ac:dyDescent="0.25">
      <c r="E434" s="17"/>
      <c r="L434" s="17"/>
    </row>
    <row r="435" spans="5:12" x14ac:dyDescent="0.25">
      <c r="E435" s="17"/>
      <c r="L435" s="17"/>
    </row>
    <row r="436" spans="5:12" x14ac:dyDescent="0.25">
      <c r="E436" s="17"/>
      <c r="L436" s="17"/>
    </row>
    <row r="437" spans="5:12" x14ac:dyDescent="0.25">
      <c r="E437" s="17"/>
    </row>
    <row r="438" spans="5:12" x14ac:dyDescent="0.25">
      <c r="E438" s="17"/>
    </row>
    <row r="439" spans="5:12" x14ac:dyDescent="0.25">
      <c r="E439" s="17"/>
    </row>
    <row r="440" spans="5:12" x14ac:dyDescent="0.25">
      <c r="E440" s="17"/>
    </row>
    <row r="441" spans="5:12" x14ac:dyDescent="0.25">
      <c r="E441" s="17"/>
    </row>
    <row r="442" spans="5:12" x14ac:dyDescent="0.25">
      <c r="E442" s="17"/>
    </row>
    <row r="443" spans="5:12" x14ac:dyDescent="0.25">
      <c r="E443" s="17"/>
    </row>
    <row r="444" spans="5:12" x14ac:dyDescent="0.25">
      <c r="E444" s="17"/>
    </row>
    <row r="445" spans="5:12" x14ac:dyDescent="0.25">
      <c r="E445" s="17"/>
    </row>
    <row r="446" spans="5:12" x14ac:dyDescent="0.25">
      <c r="E446" s="17"/>
    </row>
    <row r="447" spans="5:12" x14ac:dyDescent="0.25">
      <c r="E447" s="17"/>
    </row>
    <row r="448" spans="5:12" x14ac:dyDescent="0.25">
      <c r="E448" s="17"/>
    </row>
    <row r="449" spans="1:5" x14ac:dyDescent="0.25">
      <c r="E449" s="17"/>
    </row>
    <row r="450" spans="1:5" x14ac:dyDescent="0.25">
      <c r="A450" s="26"/>
      <c r="B450" s="26"/>
      <c r="E450" s="17"/>
    </row>
    <row r="451" spans="1:5" x14ac:dyDescent="0.25">
      <c r="E451" s="17"/>
    </row>
    <row r="452" spans="1:5" x14ac:dyDescent="0.25">
      <c r="E452" s="17"/>
    </row>
    <row r="453" spans="1:5" x14ac:dyDescent="0.25">
      <c r="E453" s="17"/>
    </row>
    <row r="454" spans="1:5" x14ac:dyDescent="0.25">
      <c r="E454" s="17"/>
    </row>
    <row r="455" spans="1:5" x14ac:dyDescent="0.25">
      <c r="E455" s="17"/>
    </row>
    <row r="456" spans="1:5" x14ac:dyDescent="0.25">
      <c r="E456" s="17"/>
    </row>
    <row r="457" spans="1:5" x14ac:dyDescent="0.25">
      <c r="E457" s="17"/>
    </row>
    <row r="458" spans="1:5" x14ac:dyDescent="0.25">
      <c r="E458" s="17"/>
    </row>
    <row r="459" spans="1:5" x14ac:dyDescent="0.25">
      <c r="E459" s="17"/>
    </row>
    <row r="460" spans="1:5" x14ac:dyDescent="0.25">
      <c r="E460" s="17"/>
    </row>
    <row r="461" spans="1:5" x14ac:dyDescent="0.25">
      <c r="E461" s="17"/>
    </row>
    <row r="462" spans="1:5" x14ac:dyDescent="0.25">
      <c r="E462" s="17"/>
    </row>
    <row r="463" spans="1:5" x14ac:dyDescent="0.25">
      <c r="E463" s="17"/>
    </row>
    <row r="464" spans="1:5" x14ac:dyDescent="0.25">
      <c r="E464" s="17"/>
    </row>
    <row r="465" spans="5:5" x14ac:dyDescent="0.25">
      <c r="E465" s="17"/>
    </row>
    <row r="466" spans="5:5" x14ac:dyDescent="0.25">
      <c r="E466" s="17"/>
    </row>
    <row r="467" spans="5:5" x14ac:dyDescent="0.25">
      <c r="E467" s="17"/>
    </row>
    <row r="468" spans="5:5" x14ac:dyDescent="0.25">
      <c r="E468" s="17"/>
    </row>
    <row r="469" spans="5:5" x14ac:dyDescent="0.25">
      <c r="E469" s="17"/>
    </row>
    <row r="470" spans="5:5" x14ac:dyDescent="0.25">
      <c r="E470" s="17"/>
    </row>
    <row r="471" spans="5:5" x14ac:dyDescent="0.25">
      <c r="E471" s="17"/>
    </row>
    <row r="472" spans="5:5" x14ac:dyDescent="0.25">
      <c r="E472" s="17"/>
    </row>
    <row r="473" spans="5:5" x14ac:dyDescent="0.25">
      <c r="E473" s="17"/>
    </row>
    <row r="474" spans="5:5" x14ac:dyDescent="0.25">
      <c r="E474" s="17"/>
    </row>
    <row r="475" spans="5:5" x14ac:dyDescent="0.25">
      <c r="E475" s="17"/>
    </row>
    <row r="476" spans="5:5" x14ac:dyDescent="0.25">
      <c r="E476" s="17"/>
    </row>
    <row r="477" spans="5:5" x14ac:dyDescent="0.25">
      <c r="E477" s="17"/>
    </row>
    <row r="478" spans="5:5" x14ac:dyDescent="0.25">
      <c r="E478" s="17"/>
    </row>
    <row r="479" spans="5:5" x14ac:dyDescent="0.25">
      <c r="E479" s="17"/>
    </row>
    <row r="480" spans="5:5" x14ac:dyDescent="0.25">
      <c r="E480" s="17"/>
    </row>
    <row r="481" spans="5:5" x14ac:dyDescent="0.25">
      <c r="E481" s="17"/>
    </row>
    <row r="482" spans="5:5" x14ac:dyDescent="0.25">
      <c r="E482" s="17"/>
    </row>
    <row r="483" spans="5:5" x14ac:dyDescent="0.25">
      <c r="E483" s="17"/>
    </row>
    <row r="484" spans="5:5" x14ac:dyDescent="0.25">
      <c r="E484" s="17"/>
    </row>
    <row r="485" spans="5:5" x14ac:dyDescent="0.25">
      <c r="E485" s="17"/>
    </row>
    <row r="486" spans="5:5" x14ac:dyDescent="0.25">
      <c r="E486" s="17"/>
    </row>
    <row r="487" spans="5:5" x14ac:dyDescent="0.25">
      <c r="E487" s="17"/>
    </row>
    <row r="488" spans="5:5" x14ac:dyDescent="0.25">
      <c r="E488" s="17"/>
    </row>
    <row r="489" spans="5:5" x14ac:dyDescent="0.25">
      <c r="E489" s="17"/>
    </row>
    <row r="490" spans="5:5" x14ac:dyDescent="0.25">
      <c r="E490" s="17"/>
    </row>
    <row r="491" spans="5:5" x14ac:dyDescent="0.25">
      <c r="E491" s="17"/>
    </row>
    <row r="492" spans="5:5" x14ac:dyDescent="0.25">
      <c r="E492" s="17"/>
    </row>
    <row r="493" spans="5:5" x14ac:dyDescent="0.25">
      <c r="E493" s="17"/>
    </row>
    <row r="494" spans="5:5" x14ac:dyDescent="0.25">
      <c r="E494" s="17"/>
    </row>
    <row r="495" spans="5:5" x14ac:dyDescent="0.25">
      <c r="E495" s="17"/>
    </row>
    <row r="496" spans="5:5" x14ac:dyDescent="0.25">
      <c r="E496" s="17"/>
    </row>
    <row r="497" spans="5:5" x14ac:dyDescent="0.25">
      <c r="E497" s="17"/>
    </row>
    <row r="498" spans="5:5" x14ac:dyDescent="0.25">
      <c r="E498" s="17"/>
    </row>
    <row r="499" spans="5:5" x14ac:dyDescent="0.25">
      <c r="E499" s="17"/>
    </row>
    <row r="500" spans="5:5" x14ac:dyDescent="0.25">
      <c r="E500" s="17"/>
    </row>
    <row r="501" spans="5:5" x14ac:dyDescent="0.25">
      <c r="E501" s="17"/>
    </row>
    <row r="502" spans="5:5" x14ac:dyDescent="0.25">
      <c r="E502" s="17"/>
    </row>
    <row r="503" spans="5:5" x14ac:dyDescent="0.25">
      <c r="E503" s="17"/>
    </row>
    <row r="504" spans="5:5" x14ac:dyDescent="0.25">
      <c r="E504" s="17"/>
    </row>
    <row r="505" spans="5:5" x14ac:dyDescent="0.25">
      <c r="E505" s="17"/>
    </row>
    <row r="506" spans="5:5" x14ac:dyDescent="0.25">
      <c r="E506" s="17"/>
    </row>
    <row r="507" spans="5:5" x14ac:dyDescent="0.25">
      <c r="E507" s="17"/>
    </row>
    <row r="508" spans="5:5" x14ac:dyDescent="0.25">
      <c r="E508" s="17"/>
    </row>
    <row r="509" spans="5:5" x14ac:dyDescent="0.25">
      <c r="E509" s="17"/>
    </row>
    <row r="510" spans="5:5" x14ac:dyDescent="0.25">
      <c r="E510" s="17"/>
    </row>
    <row r="511" spans="5:5" x14ac:dyDescent="0.25">
      <c r="E511" s="17"/>
    </row>
    <row r="512" spans="5:5" x14ac:dyDescent="0.25">
      <c r="E512" s="17"/>
    </row>
    <row r="513" spans="5:5" x14ac:dyDescent="0.25">
      <c r="E513" s="17"/>
    </row>
    <row r="514" spans="5:5" x14ac:dyDescent="0.25">
      <c r="E514" s="17"/>
    </row>
    <row r="515" spans="5:5" x14ac:dyDescent="0.25">
      <c r="E515" s="17"/>
    </row>
    <row r="516" spans="5:5" x14ac:dyDescent="0.25">
      <c r="E516" s="17"/>
    </row>
    <row r="517" spans="5:5" x14ac:dyDescent="0.25">
      <c r="E517" s="17"/>
    </row>
    <row r="518" spans="5:5" x14ac:dyDescent="0.25">
      <c r="E518" s="17"/>
    </row>
    <row r="519" spans="5:5" x14ac:dyDescent="0.25">
      <c r="E519" s="17"/>
    </row>
    <row r="520" spans="5:5" x14ac:dyDescent="0.25">
      <c r="E520" s="17"/>
    </row>
    <row r="521" spans="5:5" x14ac:dyDescent="0.25">
      <c r="E521" s="17"/>
    </row>
    <row r="522" spans="5:5" x14ac:dyDescent="0.25">
      <c r="E522" s="17"/>
    </row>
    <row r="523" spans="5:5" x14ac:dyDescent="0.25">
      <c r="E523" s="17"/>
    </row>
    <row r="524" spans="5:5" x14ac:dyDescent="0.25">
      <c r="E524" s="17"/>
    </row>
    <row r="525" spans="5:5" x14ac:dyDescent="0.25">
      <c r="E525" s="17"/>
    </row>
    <row r="526" spans="5:5" x14ac:dyDescent="0.25">
      <c r="E526" s="17"/>
    </row>
    <row r="527" spans="5:5" x14ac:dyDescent="0.25">
      <c r="E527" s="17"/>
    </row>
    <row r="528" spans="5:5" x14ac:dyDescent="0.25">
      <c r="E528" s="17"/>
    </row>
    <row r="529" spans="5:5" x14ac:dyDescent="0.25">
      <c r="E529" s="17"/>
    </row>
    <row r="530" spans="5:5" x14ac:dyDescent="0.25">
      <c r="E530" s="17"/>
    </row>
    <row r="531" spans="5:5" x14ac:dyDescent="0.25">
      <c r="E531" s="17"/>
    </row>
    <row r="532" spans="5:5" x14ac:dyDescent="0.25">
      <c r="E532" s="17"/>
    </row>
    <row r="533" spans="5:5" x14ac:dyDescent="0.25">
      <c r="E533" s="17"/>
    </row>
    <row r="534" spans="5:5" x14ac:dyDescent="0.25">
      <c r="E534" s="17"/>
    </row>
    <row r="535" spans="5:5" x14ac:dyDescent="0.25">
      <c r="E535" s="17"/>
    </row>
    <row r="536" spans="5:5" x14ac:dyDescent="0.25">
      <c r="E536" s="17"/>
    </row>
    <row r="537" spans="5:5" x14ac:dyDescent="0.25">
      <c r="E537" s="17"/>
    </row>
    <row r="538" spans="5:5" x14ac:dyDescent="0.25">
      <c r="E538" s="17"/>
    </row>
    <row r="539" spans="5:5" x14ac:dyDescent="0.25">
      <c r="E539" s="17"/>
    </row>
    <row r="540" spans="5:5" x14ac:dyDescent="0.25">
      <c r="E540" s="17"/>
    </row>
    <row r="541" spans="5:5" x14ac:dyDescent="0.25">
      <c r="E541" s="17"/>
    </row>
  </sheetData>
  <autoFilter ref="A1:E541">
    <sortState ref="A2:D538">
      <sortCondition ref="A1:A538"/>
    </sortState>
  </autoFilter>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D63"/>
  <sheetViews>
    <sheetView workbookViewId="0">
      <selection activeCell="A64" sqref="A64"/>
    </sheetView>
  </sheetViews>
  <sheetFormatPr defaultRowHeight="15" x14ac:dyDescent="0.25"/>
  <cols>
    <col min="1" max="1" width="28" bestFit="1" customWidth="1"/>
    <col min="2" max="2" width="33.140625" customWidth="1"/>
    <col min="3" max="3" width="28" style="19" customWidth="1"/>
  </cols>
  <sheetData>
    <row r="1" spans="1:4" x14ac:dyDescent="0.25">
      <c r="A1" s="20" t="s">
        <v>146</v>
      </c>
      <c r="B1" s="20" t="s">
        <v>736</v>
      </c>
      <c r="C1" s="20" t="s">
        <v>737</v>
      </c>
      <c r="D1" s="20" t="s">
        <v>147</v>
      </c>
    </row>
    <row r="2" spans="1:4" x14ac:dyDescent="0.25">
      <c r="A2" s="20" t="s">
        <v>391</v>
      </c>
      <c r="B2" s="20" t="s">
        <v>758</v>
      </c>
      <c r="C2" s="20" t="s">
        <v>759</v>
      </c>
      <c r="D2" s="20" t="s">
        <v>392</v>
      </c>
    </row>
    <row r="3" spans="1:4" x14ac:dyDescent="0.25">
      <c r="A3" s="20" t="s">
        <v>136</v>
      </c>
      <c r="B3" s="20" t="s">
        <v>793</v>
      </c>
      <c r="C3" s="20" t="s">
        <v>794</v>
      </c>
      <c r="D3" s="20" t="s">
        <v>137</v>
      </c>
    </row>
    <row r="4" spans="1:4" x14ac:dyDescent="0.25">
      <c r="A4" s="20" t="s">
        <v>78</v>
      </c>
      <c r="B4" s="20" t="s">
        <v>733</v>
      </c>
      <c r="C4" s="20" t="s">
        <v>734</v>
      </c>
      <c r="D4" s="20" t="s">
        <v>277</v>
      </c>
    </row>
    <row r="5" spans="1:4" x14ac:dyDescent="0.25">
      <c r="A5" s="20" t="s">
        <v>91</v>
      </c>
      <c r="B5" s="20" t="s">
        <v>753</v>
      </c>
      <c r="C5" s="20" t="s">
        <v>754</v>
      </c>
      <c r="D5" s="20" t="s">
        <v>92</v>
      </c>
    </row>
    <row r="6" spans="1:4" x14ac:dyDescent="0.25">
      <c r="A6" s="20" t="s">
        <v>140</v>
      </c>
      <c r="B6" s="20" t="s">
        <v>744</v>
      </c>
      <c r="C6" s="20" t="s">
        <v>745</v>
      </c>
      <c r="D6" s="20" t="s">
        <v>141</v>
      </c>
    </row>
    <row r="7" spans="1:4" x14ac:dyDescent="0.25">
      <c r="A7" s="20" t="s">
        <v>120</v>
      </c>
      <c r="B7" s="20" t="s">
        <v>725</v>
      </c>
      <c r="C7" s="20" t="s">
        <v>726</v>
      </c>
      <c r="D7" s="20" t="s">
        <v>121</v>
      </c>
    </row>
    <row r="8" spans="1:4" x14ac:dyDescent="0.25">
      <c r="A8" s="20" t="s">
        <v>9</v>
      </c>
      <c r="B8" s="20" t="s">
        <v>752</v>
      </c>
      <c r="C8" s="20" t="s">
        <v>647</v>
      </c>
      <c r="D8" s="20" t="s">
        <v>393</v>
      </c>
    </row>
    <row r="9" spans="1:4" x14ac:dyDescent="0.25">
      <c r="A9" s="20" t="s">
        <v>102</v>
      </c>
      <c r="B9" s="20" t="s">
        <v>748</v>
      </c>
      <c r="C9" s="20" t="s">
        <v>749</v>
      </c>
      <c r="D9" s="20" t="s">
        <v>103</v>
      </c>
    </row>
    <row r="10" spans="1:4" x14ac:dyDescent="0.25">
      <c r="A10" s="20" t="s">
        <v>115</v>
      </c>
      <c r="B10" s="20" t="s">
        <v>767</v>
      </c>
      <c r="C10" s="20" t="s">
        <v>768</v>
      </c>
      <c r="D10" s="20" t="s">
        <v>116</v>
      </c>
    </row>
    <row r="11" spans="1:4" x14ac:dyDescent="0.25">
      <c r="A11" s="20" t="s">
        <v>156</v>
      </c>
      <c r="B11" s="20" t="s">
        <v>721</v>
      </c>
      <c r="C11" s="20" t="s">
        <v>386</v>
      </c>
      <c r="D11" s="20" t="s">
        <v>394</v>
      </c>
    </row>
    <row r="12" spans="1:4" x14ac:dyDescent="0.25">
      <c r="A12" s="20" t="s">
        <v>189</v>
      </c>
      <c r="B12" s="20" t="s">
        <v>791</v>
      </c>
      <c r="C12" s="20" t="s">
        <v>792</v>
      </c>
      <c r="D12" s="20" t="s">
        <v>190</v>
      </c>
    </row>
    <row r="13" spans="1:4" x14ac:dyDescent="0.25">
      <c r="A13" s="20" t="s">
        <v>157</v>
      </c>
      <c r="B13" s="20" t="s">
        <v>786</v>
      </c>
      <c r="C13" s="20" t="s">
        <v>461</v>
      </c>
      <c r="D13" s="20" t="s">
        <v>395</v>
      </c>
    </row>
    <row r="14" spans="1:4" x14ac:dyDescent="0.25">
      <c r="A14" s="20" t="s">
        <v>79</v>
      </c>
      <c r="B14" s="20" t="s">
        <v>728</v>
      </c>
      <c r="C14" s="20" t="s">
        <v>453</v>
      </c>
      <c r="D14" s="20" t="s">
        <v>229</v>
      </c>
    </row>
    <row r="15" spans="1:4" x14ac:dyDescent="0.25">
      <c r="A15" s="20" t="s">
        <v>95</v>
      </c>
      <c r="B15" s="20" t="s">
        <v>802</v>
      </c>
      <c r="C15" s="20" t="s">
        <v>803</v>
      </c>
      <c r="D15" s="20" t="s">
        <v>96</v>
      </c>
    </row>
    <row r="16" spans="1:4" x14ac:dyDescent="0.25">
      <c r="A16" s="20" t="s">
        <v>167</v>
      </c>
      <c r="B16" s="20" t="s">
        <v>801</v>
      </c>
      <c r="C16" s="20" t="s">
        <v>607</v>
      </c>
      <c r="D16" s="20" t="s">
        <v>396</v>
      </c>
    </row>
    <row r="17" spans="1:4" x14ac:dyDescent="0.25">
      <c r="A17" s="20" t="s">
        <v>58</v>
      </c>
      <c r="B17" s="20" t="s">
        <v>718</v>
      </c>
      <c r="C17" s="20" t="s">
        <v>384</v>
      </c>
      <c r="D17" s="20" t="s">
        <v>59</v>
      </c>
    </row>
    <row r="18" spans="1:4" x14ac:dyDescent="0.25">
      <c r="A18" s="20" t="s">
        <v>63</v>
      </c>
      <c r="B18" s="20" t="s">
        <v>713</v>
      </c>
      <c r="C18" s="20" t="s">
        <v>379</v>
      </c>
      <c r="D18" s="20" t="s">
        <v>223</v>
      </c>
    </row>
    <row r="19" spans="1:4" x14ac:dyDescent="0.25">
      <c r="A19" s="20" t="s">
        <v>49</v>
      </c>
      <c r="B19" s="20" t="s">
        <v>719</v>
      </c>
      <c r="C19" s="20" t="s">
        <v>388</v>
      </c>
      <c r="D19" s="20" t="s">
        <v>397</v>
      </c>
    </row>
    <row r="20" spans="1:4" x14ac:dyDescent="0.25">
      <c r="A20" s="20" t="s">
        <v>24</v>
      </c>
      <c r="B20" s="20" t="s">
        <v>738</v>
      </c>
      <c r="C20" s="20" t="s">
        <v>739</v>
      </c>
      <c r="D20" s="20" t="s">
        <v>75</v>
      </c>
    </row>
    <row r="21" spans="1:4" x14ac:dyDescent="0.25">
      <c r="A21" s="20" t="s">
        <v>97</v>
      </c>
      <c r="B21" s="20" t="s">
        <v>774</v>
      </c>
      <c r="C21" s="20" t="s">
        <v>455</v>
      </c>
      <c r="D21" s="20" t="s">
        <v>398</v>
      </c>
    </row>
    <row r="22" spans="1:4" x14ac:dyDescent="0.25">
      <c r="A22" s="20" t="s">
        <v>85</v>
      </c>
      <c r="B22" s="20" t="s">
        <v>729</v>
      </c>
      <c r="C22" s="20" t="s">
        <v>456</v>
      </c>
      <c r="D22" s="20" t="s">
        <v>399</v>
      </c>
    </row>
    <row r="23" spans="1:4" x14ac:dyDescent="0.25">
      <c r="A23" s="20" t="s">
        <v>131</v>
      </c>
      <c r="B23" s="20" t="s">
        <v>775</v>
      </c>
      <c r="C23" s="20" t="s">
        <v>390</v>
      </c>
      <c r="D23" s="20" t="s">
        <v>86</v>
      </c>
    </row>
    <row r="24" spans="1:4" x14ac:dyDescent="0.25">
      <c r="A24" s="20" t="s">
        <v>57</v>
      </c>
      <c r="B24" s="20" t="s">
        <v>714</v>
      </c>
      <c r="C24" s="20" t="s">
        <v>378</v>
      </c>
      <c r="D24" s="20" t="s">
        <v>400</v>
      </c>
    </row>
    <row r="25" spans="1:4" x14ac:dyDescent="0.25">
      <c r="A25" s="20" t="s">
        <v>56</v>
      </c>
      <c r="B25" s="20" t="s">
        <v>799</v>
      </c>
      <c r="C25" s="20" t="s">
        <v>800</v>
      </c>
      <c r="D25" s="20" t="s">
        <v>70</v>
      </c>
    </row>
    <row r="26" spans="1:4" x14ac:dyDescent="0.25">
      <c r="A26" s="20" t="s">
        <v>113</v>
      </c>
      <c r="B26" s="20" t="s">
        <v>808</v>
      </c>
      <c r="C26" s="20" t="s">
        <v>809</v>
      </c>
      <c r="D26" s="20" t="s">
        <v>179</v>
      </c>
    </row>
    <row r="27" spans="1:4" x14ac:dyDescent="0.25">
      <c r="A27" s="20" t="s">
        <v>138</v>
      </c>
      <c r="B27" s="20" t="s">
        <v>807</v>
      </c>
      <c r="C27" s="20" t="s">
        <v>785</v>
      </c>
      <c r="D27" s="20" t="s">
        <v>139</v>
      </c>
    </row>
    <row r="28" spans="1:4" x14ac:dyDescent="0.25">
      <c r="A28" s="20" t="s">
        <v>45</v>
      </c>
      <c r="B28" s="20" t="s">
        <v>806</v>
      </c>
      <c r="C28" s="20" t="s">
        <v>582</v>
      </c>
      <c r="D28" s="20" t="s">
        <v>129</v>
      </c>
    </row>
    <row r="29" spans="1:4" x14ac:dyDescent="0.25">
      <c r="A29" s="20" t="s">
        <v>132</v>
      </c>
      <c r="B29" s="20" t="s">
        <v>769</v>
      </c>
      <c r="C29" s="20" t="s">
        <v>770</v>
      </c>
      <c r="D29" s="20" t="s">
        <v>133</v>
      </c>
    </row>
    <row r="30" spans="1:4" x14ac:dyDescent="0.25">
      <c r="A30" s="20" t="s">
        <v>105</v>
      </c>
      <c r="B30" s="20" t="s">
        <v>720</v>
      </c>
      <c r="C30" s="20" t="s">
        <v>385</v>
      </c>
      <c r="D30" s="20" t="s">
        <v>401</v>
      </c>
    </row>
    <row r="31" spans="1:4" x14ac:dyDescent="0.25">
      <c r="A31" s="20" t="s">
        <v>64</v>
      </c>
      <c r="B31" s="20" t="s">
        <v>732</v>
      </c>
      <c r="C31" s="20" t="s">
        <v>389</v>
      </c>
      <c r="D31" s="20" t="s">
        <v>104</v>
      </c>
    </row>
    <row r="32" spans="1:4" x14ac:dyDescent="0.25">
      <c r="A32" s="20" t="s">
        <v>81</v>
      </c>
      <c r="B32" s="20" t="s">
        <v>722</v>
      </c>
      <c r="C32" s="20" t="s">
        <v>387</v>
      </c>
      <c r="D32" s="20" t="s">
        <v>82</v>
      </c>
    </row>
    <row r="33" spans="1:4" x14ac:dyDescent="0.25">
      <c r="A33" s="20" t="s">
        <v>127</v>
      </c>
      <c r="B33" s="20" t="s">
        <v>717</v>
      </c>
      <c r="C33" s="20" t="s">
        <v>383</v>
      </c>
      <c r="D33" s="20" t="s">
        <v>402</v>
      </c>
    </row>
    <row r="34" spans="1:4" x14ac:dyDescent="0.25">
      <c r="A34" s="20" t="s">
        <v>198</v>
      </c>
      <c r="B34" s="20" t="s">
        <v>740</v>
      </c>
      <c r="C34" s="20" t="s">
        <v>741</v>
      </c>
      <c r="D34" s="20" t="s">
        <v>403</v>
      </c>
    </row>
    <row r="35" spans="1:4" x14ac:dyDescent="0.25">
      <c r="A35" s="20" t="s">
        <v>55</v>
      </c>
      <c r="B35" s="20" t="s">
        <v>778</v>
      </c>
      <c r="C35" s="20" t="s">
        <v>779</v>
      </c>
      <c r="D35" s="20" t="s">
        <v>180</v>
      </c>
    </row>
    <row r="36" spans="1:4" x14ac:dyDescent="0.25">
      <c r="A36" s="20" t="s">
        <v>73</v>
      </c>
      <c r="B36" s="20" t="s">
        <v>760</v>
      </c>
      <c r="C36" s="20" t="s">
        <v>761</v>
      </c>
      <c r="D36" s="20" t="s">
        <v>404</v>
      </c>
    </row>
    <row r="37" spans="1:4" x14ac:dyDescent="0.25">
      <c r="A37" s="20" t="s">
        <v>193</v>
      </c>
      <c r="B37" s="20" t="s">
        <v>730</v>
      </c>
      <c r="C37" s="20" t="s">
        <v>731</v>
      </c>
      <c r="D37" s="20" t="s">
        <v>405</v>
      </c>
    </row>
    <row r="38" spans="1:4" x14ac:dyDescent="0.25">
      <c r="A38" s="20" t="s">
        <v>98</v>
      </c>
      <c r="B38" s="20" t="s">
        <v>771</v>
      </c>
      <c r="C38" s="20" t="s">
        <v>772</v>
      </c>
      <c r="D38" s="20" t="s">
        <v>164</v>
      </c>
    </row>
    <row r="39" spans="1:4" x14ac:dyDescent="0.25">
      <c r="A39" s="20" t="s">
        <v>66</v>
      </c>
      <c r="B39" s="20" t="s">
        <v>797</v>
      </c>
      <c r="C39" s="20" t="s">
        <v>798</v>
      </c>
      <c r="D39" s="20" t="s">
        <v>406</v>
      </c>
    </row>
    <row r="40" spans="1:4" x14ac:dyDescent="0.25">
      <c r="A40" s="20" t="s">
        <v>71</v>
      </c>
      <c r="B40" s="20" t="s">
        <v>782</v>
      </c>
      <c r="C40" s="20" t="s">
        <v>783</v>
      </c>
      <c r="D40" s="20" t="s">
        <v>163</v>
      </c>
    </row>
    <row r="41" spans="1:4" x14ac:dyDescent="0.25">
      <c r="A41" s="20" t="s">
        <v>152</v>
      </c>
      <c r="B41" s="20" t="s">
        <v>780</v>
      </c>
      <c r="C41" s="20" t="s">
        <v>781</v>
      </c>
      <c r="D41" s="20" t="s">
        <v>153</v>
      </c>
    </row>
    <row r="42" spans="1:4" x14ac:dyDescent="0.25">
      <c r="A42" s="20" t="s">
        <v>72</v>
      </c>
      <c r="B42" s="20" t="s">
        <v>727</v>
      </c>
      <c r="C42" s="20" t="s">
        <v>457</v>
      </c>
      <c r="D42" s="20" t="s">
        <v>80</v>
      </c>
    </row>
    <row r="43" spans="1:4" x14ac:dyDescent="0.25">
      <c r="A43" s="20" t="s">
        <v>108</v>
      </c>
      <c r="B43" s="20" t="s">
        <v>776</v>
      </c>
      <c r="C43" s="20" t="s">
        <v>777</v>
      </c>
      <c r="D43" s="20" t="s">
        <v>407</v>
      </c>
    </row>
    <row r="44" spans="1:4" x14ac:dyDescent="0.25">
      <c r="A44" s="20" t="s">
        <v>408</v>
      </c>
      <c r="B44" s="20" t="s">
        <v>804</v>
      </c>
      <c r="C44" s="20" t="s">
        <v>805</v>
      </c>
      <c r="D44" s="20" t="s">
        <v>409</v>
      </c>
    </row>
    <row r="45" spans="1:4" x14ac:dyDescent="0.25">
      <c r="A45" s="20" t="s">
        <v>53</v>
      </c>
      <c r="B45" s="20" t="s">
        <v>773</v>
      </c>
      <c r="C45" s="20" t="s">
        <v>458</v>
      </c>
      <c r="D45" s="20" t="s">
        <v>54</v>
      </c>
    </row>
    <row r="46" spans="1:4" x14ac:dyDescent="0.25">
      <c r="A46" s="20" t="s">
        <v>118</v>
      </c>
      <c r="B46" s="20" t="s">
        <v>787</v>
      </c>
      <c r="C46" s="20" t="s">
        <v>788</v>
      </c>
      <c r="D46" s="20" t="s">
        <v>119</v>
      </c>
    </row>
    <row r="47" spans="1:4" x14ac:dyDescent="0.25">
      <c r="A47" s="20" t="s">
        <v>99</v>
      </c>
      <c r="B47" s="20" t="s">
        <v>735</v>
      </c>
      <c r="C47" s="20" t="s">
        <v>459</v>
      </c>
      <c r="D47" s="20" t="s">
        <v>410</v>
      </c>
    </row>
    <row r="48" spans="1:4" x14ac:dyDescent="0.25">
      <c r="A48" s="20" t="s">
        <v>114</v>
      </c>
      <c r="B48" s="20" t="s">
        <v>784</v>
      </c>
      <c r="C48" s="20" t="s">
        <v>785</v>
      </c>
      <c r="D48" s="20" t="s">
        <v>411</v>
      </c>
    </row>
    <row r="49" spans="1:4" x14ac:dyDescent="0.25">
      <c r="A49" s="20" t="s">
        <v>32</v>
      </c>
      <c r="B49" s="20" t="s">
        <v>765</v>
      </c>
      <c r="C49" s="20" t="s">
        <v>766</v>
      </c>
      <c r="D49" s="20" t="s">
        <v>192</v>
      </c>
    </row>
    <row r="50" spans="1:4" x14ac:dyDescent="0.25">
      <c r="A50" s="20" t="s">
        <v>165</v>
      </c>
      <c r="B50" s="20" t="s">
        <v>742</v>
      </c>
      <c r="C50" s="20" t="s">
        <v>743</v>
      </c>
      <c r="D50" s="20" t="s">
        <v>166</v>
      </c>
    </row>
    <row r="51" spans="1:4" x14ac:dyDescent="0.25">
      <c r="A51" s="20" t="s">
        <v>62</v>
      </c>
      <c r="B51" s="20" t="s">
        <v>756</v>
      </c>
      <c r="C51" s="20" t="s">
        <v>757</v>
      </c>
      <c r="D51" s="20" t="s">
        <v>412</v>
      </c>
    </row>
    <row r="52" spans="1:4" x14ac:dyDescent="0.25">
      <c r="A52" s="20" t="s">
        <v>60</v>
      </c>
      <c r="B52" s="20" t="s">
        <v>723</v>
      </c>
      <c r="C52" s="20" t="s">
        <v>460</v>
      </c>
      <c r="D52" s="20" t="s">
        <v>413</v>
      </c>
    </row>
    <row r="53" spans="1:4" x14ac:dyDescent="0.25">
      <c r="A53" s="20" t="s">
        <v>149</v>
      </c>
      <c r="B53" s="20" t="s">
        <v>762</v>
      </c>
      <c r="C53" s="20" t="s">
        <v>652</v>
      </c>
      <c r="D53" s="20" t="s">
        <v>414</v>
      </c>
    </row>
    <row r="54" spans="1:4" x14ac:dyDescent="0.25">
      <c r="A54" s="20" t="s">
        <v>19</v>
      </c>
      <c r="B54" s="20" t="s">
        <v>724</v>
      </c>
      <c r="C54" s="20" t="s">
        <v>702</v>
      </c>
      <c r="D54" s="20" t="s">
        <v>415</v>
      </c>
    </row>
    <row r="55" spans="1:4" x14ac:dyDescent="0.25">
      <c r="A55" s="20" t="s">
        <v>89</v>
      </c>
      <c r="B55" s="20" t="s">
        <v>755</v>
      </c>
      <c r="C55" s="20" t="s">
        <v>454</v>
      </c>
      <c r="D55" s="20" t="s">
        <v>90</v>
      </c>
    </row>
    <row r="56" spans="1:4" x14ac:dyDescent="0.25">
      <c r="A56" s="20" t="s">
        <v>154</v>
      </c>
      <c r="B56" s="20" t="s">
        <v>746</v>
      </c>
      <c r="C56" s="20" t="s">
        <v>747</v>
      </c>
      <c r="D56" s="20" t="s">
        <v>155</v>
      </c>
    </row>
    <row r="57" spans="1:4" x14ac:dyDescent="0.25">
      <c r="A57" s="20" t="s">
        <v>126</v>
      </c>
      <c r="B57" s="20" t="s">
        <v>795</v>
      </c>
      <c r="C57" s="20" t="s">
        <v>796</v>
      </c>
      <c r="D57" s="20" t="s">
        <v>416</v>
      </c>
    </row>
    <row r="58" spans="1:4" x14ac:dyDescent="0.25">
      <c r="A58" s="20" t="s">
        <v>106</v>
      </c>
      <c r="B58" s="20" t="s">
        <v>716</v>
      </c>
      <c r="C58" s="20" t="s">
        <v>382</v>
      </c>
      <c r="D58" s="20" t="s">
        <v>225</v>
      </c>
    </row>
    <row r="59" spans="1:4" x14ac:dyDescent="0.25">
      <c r="A59" s="20" t="s">
        <v>50</v>
      </c>
      <c r="B59" s="20" t="s">
        <v>712</v>
      </c>
      <c r="C59" s="20" t="s">
        <v>381</v>
      </c>
      <c r="D59" s="20" t="s">
        <v>227</v>
      </c>
    </row>
    <row r="60" spans="1:4" x14ac:dyDescent="0.25">
      <c r="A60" s="20" t="s">
        <v>117</v>
      </c>
      <c r="B60" s="20" t="s">
        <v>750</v>
      </c>
      <c r="C60" s="20" t="s">
        <v>751</v>
      </c>
      <c r="D60" s="20" t="s">
        <v>417</v>
      </c>
    </row>
    <row r="61" spans="1:4" x14ac:dyDescent="0.25">
      <c r="A61" s="20" t="s">
        <v>83</v>
      </c>
      <c r="B61" s="20" t="s">
        <v>715</v>
      </c>
      <c r="C61" s="20" t="s">
        <v>380</v>
      </c>
      <c r="D61" s="20" t="s">
        <v>84</v>
      </c>
    </row>
    <row r="62" spans="1:4" x14ac:dyDescent="0.25">
      <c r="A62" s="20" t="s">
        <v>88</v>
      </c>
      <c r="B62" s="20" t="s">
        <v>763</v>
      </c>
      <c r="C62" s="20" t="s">
        <v>764</v>
      </c>
      <c r="D62" s="20" t="s">
        <v>418</v>
      </c>
    </row>
    <row r="63" spans="1:4" x14ac:dyDescent="0.25">
      <c r="A63" s="20" t="s">
        <v>22</v>
      </c>
      <c r="B63" s="20" t="s">
        <v>789</v>
      </c>
      <c r="C63" s="20" t="s">
        <v>790</v>
      </c>
      <c r="D63" s="20" t="s">
        <v>419</v>
      </c>
    </row>
  </sheetData>
  <pageMargins left="0.7" right="0.7" top="0.75" bottom="0.75" header="0.3" footer="0.3"/>
  <pageSetup orientation="portrait"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G82"/>
  <sheetViews>
    <sheetView workbookViewId="0">
      <selection activeCell="C38" sqref="C38"/>
    </sheetView>
  </sheetViews>
  <sheetFormatPr defaultRowHeight="15" x14ac:dyDescent="0.25"/>
  <cols>
    <col min="1" max="1" width="29.28515625" bestFit="1" customWidth="1"/>
    <col min="2" max="2" width="50.140625" bestFit="1" customWidth="1"/>
    <col min="3" max="3" width="65.28515625" bestFit="1" customWidth="1"/>
    <col min="4" max="4" width="33.5703125" bestFit="1" customWidth="1"/>
    <col min="5" max="5" width="3" bestFit="1" customWidth="1"/>
    <col min="6" max="6" width="42.5703125" bestFit="1" customWidth="1"/>
    <col min="7" max="7" width="54.7109375" bestFit="1" customWidth="1"/>
  </cols>
  <sheetData>
    <row r="1" spans="1:7" x14ac:dyDescent="0.25">
      <c r="A1" s="20" t="s">
        <v>100</v>
      </c>
      <c r="B1" s="20" t="s">
        <v>612</v>
      </c>
      <c r="C1" s="20" t="s">
        <v>613</v>
      </c>
      <c r="D1" s="20" t="s">
        <v>420</v>
      </c>
      <c r="E1">
        <f>IF(LEFT(C1,1)="C",FIND("/UI/",C1),0)</f>
        <v>18</v>
      </c>
      <c r="F1" s="59" t="str">
        <f t="shared" ref="F1" si="0">IF(E1=0,C1,RIGHT(C1,LEN(C1)-E1-3))</f>
        <v>ctt_icon_advancedActuators</v>
      </c>
      <c r="G1" t="str">
        <f>"ETTR/UI/CTT/" &amp;F1</f>
        <v>ETTR/UI/CTT/ctt_icon_advancedActuators</v>
      </c>
    </row>
    <row r="2" spans="1:7" x14ac:dyDescent="0.25">
      <c r="A2" s="20" t="s">
        <v>124</v>
      </c>
      <c r="B2" s="20" t="s">
        <v>626</v>
      </c>
      <c r="C2" s="20" t="s">
        <v>627</v>
      </c>
      <c r="D2" s="20" t="s">
        <v>125</v>
      </c>
      <c r="E2" s="59">
        <f t="shared" ref="E2:E65" si="1">IF(LEFT(C2,1)="C",FIND("/UI/",C2),0)</f>
        <v>18</v>
      </c>
      <c r="F2" s="59" t="str">
        <f t="shared" ref="F2:F65" si="2">IF(E2=0,C2,RIGHT(C2,LEN(C2)-E2-3))</f>
        <v>ctt_icon_advAerospaceEngineering</v>
      </c>
      <c r="G2" s="59" t="str">
        <f t="shared" ref="G2:G65" si="3">"ETTR/UI/CTT/" &amp;F2</f>
        <v>ETTR/UI/CTT/ctt_icon_advAerospaceEngineering</v>
      </c>
    </row>
    <row r="3" spans="1:7" x14ac:dyDescent="0.25">
      <c r="A3" s="20" t="s">
        <v>183</v>
      </c>
      <c r="B3" s="20" t="s">
        <v>705</v>
      </c>
      <c r="C3" s="20" t="s">
        <v>381</v>
      </c>
      <c r="D3" s="20" t="s">
        <v>184</v>
      </c>
      <c r="E3" s="59">
        <f t="shared" si="1"/>
        <v>0</v>
      </c>
      <c r="F3" s="59" t="str">
        <f t="shared" si="2"/>
        <v>RDicon_start</v>
      </c>
      <c r="G3" s="59" t="str">
        <f t="shared" si="3"/>
        <v>ETTR/UI/CTT/RDicon_start</v>
      </c>
    </row>
    <row r="4" spans="1:7" x14ac:dyDescent="0.25">
      <c r="A4" s="20" t="s">
        <v>191</v>
      </c>
      <c r="B4" s="20" t="s">
        <v>663</v>
      </c>
      <c r="C4" s="20" t="s">
        <v>664</v>
      </c>
      <c r="D4" s="20" t="s">
        <v>368</v>
      </c>
      <c r="E4" s="59">
        <f t="shared" si="1"/>
        <v>18</v>
      </c>
      <c r="F4" s="59" t="str">
        <f t="shared" si="2"/>
        <v>ctt_icon_advancedPlasmaPropulsion</v>
      </c>
      <c r="G4" s="59" t="str">
        <f t="shared" si="3"/>
        <v>ETTR/UI/CTT/ctt_icon_advancedPlasmaPropulsion</v>
      </c>
    </row>
    <row r="5" spans="1:7" x14ac:dyDescent="0.25">
      <c r="A5" s="20" t="s">
        <v>196</v>
      </c>
      <c r="B5" s="20" t="s">
        <v>572</v>
      </c>
      <c r="C5" s="20" t="s">
        <v>573</v>
      </c>
      <c r="D5" s="20" t="s">
        <v>197</v>
      </c>
      <c r="E5" s="59">
        <f t="shared" si="1"/>
        <v>18</v>
      </c>
      <c r="F5" s="59" t="str">
        <f t="shared" si="2"/>
        <v>ctt_icon_advFusionReactions</v>
      </c>
      <c r="G5" s="59" t="str">
        <f t="shared" si="3"/>
        <v>ETTR/UI/CTT/ctt_icon_advFusionReactions</v>
      </c>
    </row>
    <row r="6" spans="1:7" x14ac:dyDescent="0.25">
      <c r="A6" s="20" t="s">
        <v>186</v>
      </c>
      <c r="B6" s="20" t="s">
        <v>668</v>
      </c>
      <c r="C6" s="20" t="s">
        <v>669</v>
      </c>
      <c r="D6" s="20" t="s">
        <v>369</v>
      </c>
      <c r="E6" s="59">
        <f t="shared" si="1"/>
        <v>18</v>
      </c>
      <c r="F6" s="59" t="str">
        <f t="shared" si="2"/>
        <v>ctt_icon_advancedElectrostaticPropulsion</v>
      </c>
      <c r="G6" s="59" t="str">
        <f t="shared" si="3"/>
        <v>ETTR/UI/CTT/ctt_icon_advancedElectrostaticPropulsion</v>
      </c>
    </row>
    <row r="7" spans="1:7" x14ac:dyDescent="0.25">
      <c r="A7" s="20" t="s">
        <v>122</v>
      </c>
      <c r="B7" s="20" t="s">
        <v>692</v>
      </c>
      <c r="C7" s="20" t="s">
        <v>693</v>
      </c>
      <c r="D7" s="20" t="s">
        <v>329</v>
      </c>
      <c r="E7" s="59">
        <f t="shared" si="1"/>
        <v>18</v>
      </c>
      <c r="F7" s="59" t="str">
        <f t="shared" si="2"/>
        <v>ctt_icon_advancedHeatManagement</v>
      </c>
      <c r="G7" s="59" t="str">
        <f t="shared" si="3"/>
        <v>ETTR/UI/CTT/ctt_icon_advancedHeatManagement</v>
      </c>
    </row>
    <row r="8" spans="1:7" x14ac:dyDescent="0.25">
      <c r="A8" s="20" t="s">
        <v>176</v>
      </c>
      <c r="B8" s="20" t="s">
        <v>659</v>
      </c>
      <c r="C8" s="20" t="s">
        <v>660</v>
      </c>
      <c r="D8" s="20" t="s">
        <v>177</v>
      </c>
      <c r="E8" s="59">
        <f t="shared" si="1"/>
        <v>18</v>
      </c>
      <c r="F8" s="59" t="str">
        <f t="shared" si="2"/>
        <v>ctt_icon_advancedIonPropulsion</v>
      </c>
      <c r="G8" s="59" t="str">
        <f t="shared" si="3"/>
        <v>ETTR/UI/CTT/ctt_icon_advancedIonPropulsion</v>
      </c>
    </row>
    <row r="9" spans="1:7" x14ac:dyDescent="0.25">
      <c r="A9" s="20" t="s">
        <v>170</v>
      </c>
      <c r="B9" s="20" t="s">
        <v>710</v>
      </c>
      <c r="C9" s="20" t="s">
        <v>711</v>
      </c>
      <c r="D9" s="20" t="s">
        <v>171</v>
      </c>
      <c r="E9" s="59">
        <f t="shared" si="1"/>
        <v>18</v>
      </c>
      <c r="F9" s="59" t="str">
        <f t="shared" si="2"/>
        <v>ctt_icon_advancedLogistics</v>
      </c>
      <c r="G9" s="59" t="str">
        <f t="shared" si="3"/>
        <v>ETTR/UI/CTT/ctt_icon_advancedLogistics</v>
      </c>
    </row>
    <row r="10" spans="1:7" x14ac:dyDescent="0.25">
      <c r="A10" s="20" t="s">
        <v>28</v>
      </c>
      <c r="B10" s="20" t="s">
        <v>566</v>
      </c>
      <c r="C10" s="20" t="s">
        <v>567</v>
      </c>
      <c r="D10" s="20" t="s">
        <v>29</v>
      </c>
      <c r="E10" s="59">
        <f t="shared" si="1"/>
        <v>18</v>
      </c>
      <c r="F10" s="59" t="str">
        <f t="shared" si="2"/>
        <v>ctt_icon_highEnergyNuclearPower</v>
      </c>
      <c r="G10" s="59" t="str">
        <f t="shared" si="3"/>
        <v>ETTR/UI/CTT/ctt_icon_highEnergyNuclearPower</v>
      </c>
    </row>
    <row r="11" spans="1:7" x14ac:dyDescent="0.25">
      <c r="A11" s="20" t="s">
        <v>33</v>
      </c>
      <c r="B11" s="20" t="s">
        <v>585</v>
      </c>
      <c r="C11" s="20" t="s">
        <v>586</v>
      </c>
      <c r="D11" s="20" t="s">
        <v>34</v>
      </c>
      <c r="E11" s="59">
        <f t="shared" si="1"/>
        <v>18</v>
      </c>
      <c r="F11" s="59" t="str">
        <f t="shared" si="2"/>
        <v>ctt_icon_highEfficiencyNuclearPropulsion</v>
      </c>
      <c r="G11" s="59" t="str">
        <f t="shared" si="3"/>
        <v>ETTR/UI/CTT/ctt_icon_highEfficiencyNuclearPropulsion</v>
      </c>
    </row>
    <row r="12" spans="1:7" x14ac:dyDescent="0.25">
      <c r="A12" s="20" t="s">
        <v>27</v>
      </c>
      <c r="B12" s="20" t="s">
        <v>646</v>
      </c>
      <c r="C12" s="20" t="s">
        <v>647</v>
      </c>
      <c r="D12" s="20" t="s">
        <v>65</v>
      </c>
      <c r="E12" s="59">
        <f t="shared" si="1"/>
        <v>0</v>
      </c>
      <c r="F12" s="59" t="str">
        <f t="shared" si="2"/>
        <v>RDicon_fuelSystems-advanced</v>
      </c>
      <c r="G12" s="59" t="str">
        <f t="shared" si="3"/>
        <v>ETTR/UI/CTT/RDicon_fuelSystems-advanced</v>
      </c>
    </row>
    <row r="13" spans="1:7" x14ac:dyDescent="0.25">
      <c r="A13" s="20" t="s">
        <v>130</v>
      </c>
      <c r="B13" s="20" t="s">
        <v>674</v>
      </c>
      <c r="C13" s="20" t="s">
        <v>675</v>
      </c>
      <c r="D13" s="20" t="s">
        <v>367</v>
      </c>
      <c r="E13" s="59">
        <f t="shared" si="1"/>
        <v>18</v>
      </c>
      <c r="F13" s="59" t="str">
        <f t="shared" si="2"/>
        <v>ctt_icon_advPVMaterials</v>
      </c>
      <c r="G13" s="59" t="str">
        <f t="shared" si="3"/>
        <v>ETTR/UI/CTT/ctt_icon_advPVMaterials</v>
      </c>
    </row>
    <row r="14" spans="1:7" x14ac:dyDescent="0.25">
      <c r="A14" s="20" t="s">
        <v>101</v>
      </c>
      <c r="B14" s="20" t="s">
        <v>672</v>
      </c>
      <c r="C14" s="20" t="s">
        <v>673</v>
      </c>
      <c r="D14" s="20" t="s">
        <v>421</v>
      </c>
      <c r="E14" s="59">
        <f t="shared" si="1"/>
        <v>18</v>
      </c>
      <c r="F14" s="59" t="str">
        <f t="shared" si="2"/>
        <v>ctt_icon_advSolarTech</v>
      </c>
      <c r="G14" s="59" t="str">
        <f t="shared" si="3"/>
        <v>ETTR/UI/CTT/ctt_icon_advSolarTech</v>
      </c>
    </row>
    <row r="15" spans="1:7" x14ac:dyDescent="0.25">
      <c r="A15" s="20" t="s">
        <v>69</v>
      </c>
      <c r="B15" s="20" t="s">
        <v>624</v>
      </c>
      <c r="C15" s="20" t="s">
        <v>625</v>
      </c>
      <c r="D15" s="20" t="s">
        <v>175</v>
      </c>
      <c r="E15" s="59">
        <f t="shared" si="1"/>
        <v>18</v>
      </c>
      <c r="F15" s="59" t="str">
        <f t="shared" si="2"/>
        <v>ctt_icon_aerospaceComposites</v>
      </c>
      <c r="G15" s="59" t="str">
        <f t="shared" si="3"/>
        <v>ETTR/UI/CTT/ctt_icon_aerospaceComposites</v>
      </c>
    </row>
    <row r="16" spans="1:7" x14ac:dyDescent="0.25">
      <c r="A16" s="20" t="s">
        <v>204</v>
      </c>
      <c r="B16" s="20" t="s">
        <v>577</v>
      </c>
      <c r="C16" s="20" t="s">
        <v>578</v>
      </c>
      <c r="D16" s="20" t="s">
        <v>205</v>
      </c>
      <c r="E16" s="59">
        <f t="shared" si="1"/>
        <v>18</v>
      </c>
      <c r="F16" s="59" t="str">
        <f t="shared" si="2"/>
        <v>ctt_icon_antimatterPower</v>
      </c>
      <c r="G16" s="59" t="str">
        <f t="shared" si="3"/>
        <v>ETTR/UI/CTT/ctt_icon_antimatterPower</v>
      </c>
    </row>
    <row r="17" spans="1:7" x14ac:dyDescent="0.25">
      <c r="A17" s="20" t="s">
        <v>203</v>
      </c>
      <c r="B17" s="20" t="s">
        <v>656</v>
      </c>
      <c r="C17" s="20" t="s">
        <v>582</v>
      </c>
      <c r="D17" s="20" t="s">
        <v>217</v>
      </c>
      <c r="E17" s="59">
        <f t="shared" si="1"/>
        <v>0</v>
      </c>
      <c r="F17" s="59" t="str">
        <f t="shared" si="2"/>
        <v>RDicon_science-experimental</v>
      </c>
      <c r="G17" s="59" t="str">
        <f t="shared" si="3"/>
        <v>ETTR/UI/CTT/RDicon_science-experimental</v>
      </c>
    </row>
    <row r="18" spans="1:7" x14ac:dyDescent="0.25">
      <c r="A18" s="20" t="s">
        <v>188</v>
      </c>
      <c r="B18" s="20" t="s">
        <v>658</v>
      </c>
      <c r="C18" s="20" t="s">
        <v>607</v>
      </c>
      <c r="D18" s="20" t="s">
        <v>422</v>
      </c>
      <c r="E18" s="59">
        <f t="shared" si="1"/>
        <v>0</v>
      </c>
      <c r="F18" s="59" t="str">
        <f t="shared" si="2"/>
        <v>RDicon_robotics</v>
      </c>
      <c r="G18" s="59" t="str">
        <f t="shared" si="3"/>
        <v>ETTR/UI/CTT/RDicon_robotics</v>
      </c>
    </row>
    <row r="19" spans="1:7" x14ac:dyDescent="0.25">
      <c r="A19" s="20" t="s">
        <v>38</v>
      </c>
      <c r="B19" s="20" t="s">
        <v>704</v>
      </c>
      <c r="C19" s="20" t="s">
        <v>381</v>
      </c>
      <c r="D19" s="20" t="s">
        <v>39</v>
      </c>
      <c r="E19" s="59">
        <f t="shared" si="1"/>
        <v>0</v>
      </c>
      <c r="F19" s="59" t="str">
        <f t="shared" si="2"/>
        <v>RDicon_start</v>
      </c>
      <c r="G19" s="59" t="str">
        <f t="shared" si="3"/>
        <v>ETTR/UI/CTT/RDicon_start</v>
      </c>
    </row>
    <row r="20" spans="1:7" x14ac:dyDescent="0.25">
      <c r="A20" s="20" t="s">
        <v>200</v>
      </c>
      <c r="B20" s="20" t="s">
        <v>597</v>
      </c>
      <c r="C20" s="20" t="s">
        <v>598</v>
      </c>
      <c r="D20" s="20" t="s">
        <v>262</v>
      </c>
      <c r="E20" s="59">
        <f t="shared" si="1"/>
        <v>18</v>
      </c>
      <c r="F20" s="59" t="str">
        <f t="shared" si="2"/>
        <v>ctt_icon_colossalRocketry</v>
      </c>
      <c r="G20" s="59" t="str">
        <f t="shared" si="3"/>
        <v>ETTR/UI/CTT/ctt_icon_colossalRocketry</v>
      </c>
    </row>
    <row r="21" spans="1:7" x14ac:dyDescent="0.25">
      <c r="A21" s="20" t="s">
        <v>178</v>
      </c>
      <c r="B21" s="20" t="s">
        <v>676</v>
      </c>
      <c r="C21" s="20" t="s">
        <v>677</v>
      </c>
      <c r="D21" s="20" t="s">
        <v>423</v>
      </c>
      <c r="E21" s="59">
        <f t="shared" si="1"/>
        <v>18</v>
      </c>
      <c r="F21" s="59" t="str">
        <f t="shared" si="2"/>
        <v>ctt_icon_cuttingEdgeSolar</v>
      </c>
      <c r="G21" s="59" t="str">
        <f t="shared" si="3"/>
        <v>ETTR/UI/CTT/ctt_icon_cuttingEdgeSolar</v>
      </c>
    </row>
    <row r="22" spans="1:7" x14ac:dyDescent="0.25">
      <c r="A22" s="20" t="s">
        <v>213</v>
      </c>
      <c r="B22" s="20" t="s">
        <v>618</v>
      </c>
      <c r="C22" s="20" t="s">
        <v>619</v>
      </c>
      <c r="D22" s="20" t="s">
        <v>424</v>
      </c>
      <c r="E22" s="59">
        <f t="shared" si="1"/>
        <v>18</v>
      </c>
      <c r="F22" s="59" t="str">
        <f t="shared" si="2"/>
        <v>ctt_icon_efficientFlight</v>
      </c>
      <c r="G22" s="59" t="str">
        <f t="shared" si="3"/>
        <v>ETTR/UI/CTT/ctt_icon_efficientFlight</v>
      </c>
    </row>
    <row r="23" spans="1:7" x14ac:dyDescent="0.25">
      <c r="A23" s="20" t="s">
        <v>134</v>
      </c>
      <c r="B23" s="20" t="s">
        <v>628</v>
      </c>
      <c r="C23" s="20" t="s">
        <v>2352</v>
      </c>
      <c r="D23" s="20" t="s">
        <v>135</v>
      </c>
      <c r="E23" s="59">
        <f t="shared" si="1"/>
        <v>18</v>
      </c>
      <c r="F23" s="59" t="str">
        <f t="shared" si="2"/>
        <v>ctt_icon_enhancedSurvivability</v>
      </c>
      <c r="G23" s="59" t="str">
        <f t="shared" si="3"/>
        <v>ETTR/UI/CTT/ctt_icon_enhancedSurvivability</v>
      </c>
    </row>
    <row r="24" spans="1:7" x14ac:dyDescent="0.25">
      <c r="A24" s="20" t="s">
        <v>76</v>
      </c>
      <c r="B24" s="20" t="s">
        <v>604</v>
      </c>
      <c r="C24" s="20" t="s">
        <v>605</v>
      </c>
      <c r="D24" s="20" t="s">
        <v>77</v>
      </c>
      <c r="E24" s="59">
        <f t="shared" si="1"/>
        <v>18</v>
      </c>
      <c r="F24" s="59" t="str">
        <f t="shared" si="2"/>
        <v>ctt_icon_exoticAlloys</v>
      </c>
      <c r="G24" s="59" t="str">
        <f t="shared" si="3"/>
        <v>ETTR/UI/CTT/ctt_icon_exoticAlloys</v>
      </c>
    </row>
    <row r="25" spans="1:7" x14ac:dyDescent="0.25">
      <c r="A25" s="20" t="s">
        <v>426</v>
      </c>
      <c r="B25" s="20" t="s">
        <v>686</v>
      </c>
      <c r="C25" s="20" t="s">
        <v>687</v>
      </c>
      <c r="D25" s="20" t="s">
        <v>425</v>
      </c>
      <c r="E25" s="59">
        <f t="shared" si="1"/>
        <v>18</v>
      </c>
      <c r="F25" s="59" t="str">
        <f t="shared" si="2"/>
        <v>ctt_icon_exoticElectricalSystems</v>
      </c>
      <c r="G25" s="59" t="str">
        <f t="shared" si="3"/>
        <v>ETTR/UI/CTT/ctt_icon_exoticElectricalSystems</v>
      </c>
    </row>
    <row r="26" spans="1:7" x14ac:dyDescent="0.25">
      <c r="A26" s="20" t="s">
        <v>3</v>
      </c>
      <c r="B26" s="20" t="s">
        <v>601</v>
      </c>
      <c r="C26" s="20" t="s">
        <v>602</v>
      </c>
      <c r="D26" s="20" t="s">
        <v>427</v>
      </c>
      <c r="E26" s="59">
        <f t="shared" si="1"/>
        <v>18</v>
      </c>
      <c r="F26" s="59" t="str">
        <f t="shared" si="2"/>
        <v>ctt_icon_exoticFuelStorage</v>
      </c>
      <c r="G26" s="59" t="str">
        <f t="shared" si="3"/>
        <v>ETTR/UI/CTT/ctt_icon_exoticFuelStorage</v>
      </c>
    </row>
    <row r="27" spans="1:7" x14ac:dyDescent="0.25">
      <c r="A27" s="20" t="s">
        <v>373</v>
      </c>
      <c r="B27" s="20" t="s">
        <v>569</v>
      </c>
      <c r="C27" s="20" t="s">
        <v>567</v>
      </c>
      <c r="D27" s="20" t="s">
        <v>372</v>
      </c>
      <c r="E27" s="59">
        <f t="shared" si="1"/>
        <v>18</v>
      </c>
      <c r="F27" s="59" t="str">
        <f t="shared" si="2"/>
        <v>ctt_icon_highEnergyNuclearPower</v>
      </c>
      <c r="G27" s="59" t="str">
        <f t="shared" si="3"/>
        <v>ETTR/UI/CTT/ctt_icon_highEnergyNuclearPower</v>
      </c>
    </row>
    <row r="28" spans="1:7" x14ac:dyDescent="0.25">
      <c r="A28" s="20" t="s">
        <v>211</v>
      </c>
      <c r="B28" s="20" t="s">
        <v>589</v>
      </c>
      <c r="C28" s="20" t="s">
        <v>590</v>
      </c>
      <c r="D28" s="20" t="s">
        <v>212</v>
      </c>
      <c r="E28" s="59">
        <f t="shared" si="1"/>
        <v>18</v>
      </c>
      <c r="F28" s="59" t="str">
        <f t="shared" si="2"/>
        <v>ctt_icon_exoticNuclearPropulsion</v>
      </c>
      <c r="G28" s="59" t="str">
        <f t="shared" si="3"/>
        <v>ETTR/UI/CTT/ctt_icon_exoticNuclearPropulsion</v>
      </c>
    </row>
    <row r="29" spans="1:7" x14ac:dyDescent="0.25">
      <c r="A29" s="20" t="s">
        <v>429</v>
      </c>
      <c r="B29" s="20" t="s">
        <v>667</v>
      </c>
      <c r="C29" s="20" t="s">
        <v>666</v>
      </c>
      <c r="D29" s="20" t="s">
        <v>428</v>
      </c>
      <c r="E29" s="59">
        <f t="shared" si="1"/>
        <v>18</v>
      </c>
      <c r="F29" s="59" t="str">
        <f t="shared" si="2"/>
        <v>ctt_icon_specializedPlasmaPropulsion</v>
      </c>
      <c r="G29" s="59" t="str">
        <f t="shared" si="3"/>
        <v>ETTR/UI/CTT/ctt_icon_specializedPlasmaPropulsion</v>
      </c>
    </row>
    <row r="30" spans="1:7" x14ac:dyDescent="0.25">
      <c r="A30" s="20" t="s">
        <v>218</v>
      </c>
      <c r="B30" s="20" t="s">
        <v>696</v>
      </c>
      <c r="C30" s="20" t="s">
        <v>697</v>
      </c>
      <c r="D30" s="20" t="s">
        <v>219</v>
      </c>
      <c r="E30" s="59">
        <f t="shared" si="1"/>
        <v>18</v>
      </c>
      <c r="F30" s="59" t="str">
        <f t="shared" si="2"/>
        <v>ctt_icon_exoticRadiators</v>
      </c>
      <c r="G30" s="59" t="str">
        <f t="shared" si="3"/>
        <v>ETTR/UI/CTT/ctt_icon_exoticRadiators</v>
      </c>
    </row>
    <row r="31" spans="1:7" x14ac:dyDescent="0.25">
      <c r="A31" s="20" t="s">
        <v>201</v>
      </c>
      <c r="B31" s="20" t="s">
        <v>574</v>
      </c>
      <c r="C31" s="20" t="s">
        <v>575</v>
      </c>
      <c r="D31" s="20" t="s">
        <v>202</v>
      </c>
      <c r="E31" s="59">
        <f t="shared" si="1"/>
        <v>18</v>
      </c>
      <c r="F31" s="59" t="str">
        <f t="shared" si="2"/>
        <v>ctt_icon_exoticFusionReactions</v>
      </c>
      <c r="G31" s="59" t="str">
        <f t="shared" si="3"/>
        <v>ETTR/UI/CTT/ctt_icon_exoticFusionReactions</v>
      </c>
    </row>
    <row r="32" spans="1:7" x14ac:dyDescent="0.25">
      <c r="A32" s="20" t="s">
        <v>431</v>
      </c>
      <c r="B32" s="20" t="s">
        <v>678</v>
      </c>
      <c r="C32" s="20" t="s">
        <v>679</v>
      </c>
      <c r="D32" s="20" t="s">
        <v>430</v>
      </c>
      <c r="E32" s="59">
        <f t="shared" si="1"/>
        <v>18</v>
      </c>
      <c r="F32" s="59" t="str">
        <f t="shared" si="2"/>
        <v>ctt_icon_exoticSolarTech</v>
      </c>
      <c r="G32" s="59" t="str">
        <f t="shared" si="3"/>
        <v>ETTR/UI/CTT/ctt_icon_exoticSolarTech</v>
      </c>
    </row>
    <row r="33" spans="1:7" x14ac:dyDescent="0.25">
      <c r="A33" s="20" t="s">
        <v>123</v>
      </c>
      <c r="B33" s="20" t="s">
        <v>622</v>
      </c>
      <c r="C33" s="20" t="s">
        <v>623</v>
      </c>
      <c r="D33" s="20" t="s">
        <v>374</v>
      </c>
      <c r="E33" s="59">
        <f t="shared" si="1"/>
        <v>18</v>
      </c>
      <c r="F33" s="59" t="str">
        <f t="shared" si="2"/>
        <v>ctt_icon_experimentalAircraftEngines</v>
      </c>
      <c r="G33" s="59" t="str">
        <f t="shared" si="3"/>
        <v>ETTR/UI/CTT/ctt_icon_experimentalAircraftEngines</v>
      </c>
    </row>
    <row r="34" spans="1:7" x14ac:dyDescent="0.25">
      <c r="A34" s="20" t="s">
        <v>161</v>
      </c>
      <c r="B34" s="20" t="s">
        <v>614</v>
      </c>
      <c r="C34" s="20" t="s">
        <v>615</v>
      </c>
      <c r="D34" s="20" t="s">
        <v>162</v>
      </c>
      <c r="E34" s="59">
        <f t="shared" si="1"/>
        <v>18</v>
      </c>
      <c r="F34" s="59" t="str">
        <f t="shared" si="2"/>
        <v>ctt_icon_experimentalActuators</v>
      </c>
      <c r="G34" s="59" t="str">
        <f t="shared" si="3"/>
        <v>ETTR/UI/CTT/ctt_icon_experimentalActuators</v>
      </c>
    </row>
    <row r="35" spans="1:7" x14ac:dyDescent="0.25">
      <c r="A35" s="20" t="s">
        <v>220</v>
      </c>
      <c r="B35" s="20" t="s">
        <v>684</v>
      </c>
      <c r="C35" s="20" t="s">
        <v>685</v>
      </c>
      <c r="D35" s="20" t="s">
        <v>221</v>
      </c>
      <c r="E35" s="59">
        <f t="shared" si="1"/>
        <v>18</v>
      </c>
      <c r="F35" s="59" t="str">
        <f t="shared" si="2"/>
        <v>ctt_icon_expElectricalSystems</v>
      </c>
      <c r="G35" s="59" t="str">
        <f t="shared" si="3"/>
        <v>ETTR/UI/CTT/ctt_icon_expElectricalSystems</v>
      </c>
    </row>
    <row r="36" spans="1:7" x14ac:dyDescent="0.25">
      <c r="A36" s="20" t="s">
        <v>20</v>
      </c>
      <c r="B36" s="20" t="s">
        <v>593</v>
      </c>
      <c r="C36" s="20" t="s">
        <v>594</v>
      </c>
      <c r="D36" s="20" t="s">
        <v>21</v>
      </c>
      <c r="E36" s="59">
        <f t="shared" si="1"/>
        <v>0</v>
      </c>
      <c r="F36" s="59" t="str">
        <f t="shared" si="2"/>
        <v>RDicon_rocketry-experimental</v>
      </c>
      <c r="G36" s="59" t="str">
        <f t="shared" si="3"/>
        <v>ETTR/UI/CTT/RDicon_rocketry-experimental</v>
      </c>
    </row>
    <row r="37" spans="1:7" x14ac:dyDescent="0.25">
      <c r="A37" s="20" t="s">
        <v>187</v>
      </c>
      <c r="B37" s="20" t="s">
        <v>670</v>
      </c>
      <c r="C37" s="20" t="s">
        <v>671</v>
      </c>
      <c r="D37" s="20" t="s">
        <v>375</v>
      </c>
      <c r="E37" s="59">
        <f t="shared" si="1"/>
        <v>18</v>
      </c>
      <c r="F37" s="59" t="str">
        <f t="shared" si="2"/>
        <v>ctt_icon_experimentalElectrostaticPropulsion</v>
      </c>
      <c r="G37" s="59" t="str">
        <f t="shared" si="3"/>
        <v>ETTR/UI/CTT/ctt_icon_experimentalElectrostaticPropulsion</v>
      </c>
    </row>
    <row r="38" spans="1:7" x14ac:dyDescent="0.25">
      <c r="A38" s="20" t="s">
        <v>377</v>
      </c>
      <c r="B38" s="20" t="s">
        <v>568</v>
      </c>
      <c r="C38" s="20" t="s">
        <v>567</v>
      </c>
      <c r="D38" s="20" t="s">
        <v>376</v>
      </c>
      <c r="E38" s="59">
        <f t="shared" si="1"/>
        <v>18</v>
      </c>
      <c r="F38" s="59" t="str">
        <f t="shared" si="2"/>
        <v>ctt_icon_highEnergyNuclearPower</v>
      </c>
      <c r="G38" s="59" t="str">
        <f t="shared" si="3"/>
        <v>ETTR/UI/CTT/ctt_icon_highEnergyNuclearPower</v>
      </c>
    </row>
    <row r="39" spans="1:7" x14ac:dyDescent="0.25">
      <c r="A39" s="20" t="s">
        <v>209</v>
      </c>
      <c r="B39" s="20" t="s">
        <v>587</v>
      </c>
      <c r="C39" s="20" t="s">
        <v>588</v>
      </c>
      <c r="D39" s="20" t="s">
        <v>210</v>
      </c>
      <c r="E39" s="59">
        <f t="shared" si="1"/>
        <v>18</v>
      </c>
      <c r="F39" s="59" t="str">
        <f t="shared" si="2"/>
        <v>ctt_icon_experimentalNuclearPropulsion</v>
      </c>
      <c r="G39" s="59" t="str">
        <f t="shared" si="3"/>
        <v>ETTR/UI/CTT/ctt_icon_experimentalNuclearPropulsion</v>
      </c>
    </row>
    <row r="40" spans="1:7" x14ac:dyDescent="0.25">
      <c r="A40" s="20" t="s">
        <v>433</v>
      </c>
      <c r="B40" s="20" t="s">
        <v>603</v>
      </c>
      <c r="C40" s="20" t="s">
        <v>602</v>
      </c>
      <c r="D40" s="20" t="s">
        <v>432</v>
      </c>
      <c r="E40" s="59">
        <f t="shared" si="1"/>
        <v>18</v>
      </c>
      <c r="F40" s="59" t="str">
        <f t="shared" si="2"/>
        <v>ctt_icon_exoticFuelStorage</v>
      </c>
      <c r="G40" s="59" t="str">
        <f t="shared" si="3"/>
        <v>ETTR/UI/CTT/ctt_icon_exoticFuelStorage</v>
      </c>
    </row>
    <row r="41" spans="1:7" x14ac:dyDescent="0.25">
      <c r="A41" s="20" t="s">
        <v>37</v>
      </c>
      <c r="B41" s="20" t="s">
        <v>570</v>
      </c>
      <c r="C41" s="20" t="s">
        <v>571</v>
      </c>
      <c r="D41" s="20" t="s">
        <v>195</v>
      </c>
      <c r="E41" s="59">
        <f t="shared" si="1"/>
        <v>18</v>
      </c>
      <c r="F41" s="59" t="str">
        <f t="shared" si="2"/>
        <v>ctt_icon_fusionPower</v>
      </c>
      <c r="G41" s="59" t="str">
        <f t="shared" si="3"/>
        <v>ETTR/UI/CTT/ctt_icon_fusionPower</v>
      </c>
    </row>
    <row r="42" spans="1:7" x14ac:dyDescent="0.25">
      <c r="A42" s="20" t="s">
        <v>35</v>
      </c>
      <c r="B42" s="20" t="s">
        <v>591</v>
      </c>
      <c r="C42" s="20" t="s">
        <v>592</v>
      </c>
      <c r="D42" s="20" t="s">
        <v>36</v>
      </c>
      <c r="E42" s="59">
        <f t="shared" si="1"/>
        <v>18</v>
      </c>
      <c r="F42" s="59" t="str">
        <f t="shared" si="2"/>
        <v>ctt_icon_fusionRockets</v>
      </c>
      <c r="G42" s="59" t="str">
        <f t="shared" si="3"/>
        <v>ETTR/UI/CTT/ctt_icon_fusionRockets</v>
      </c>
    </row>
    <row r="43" spans="1:7" x14ac:dyDescent="0.25">
      <c r="A43" s="20" t="s">
        <v>199</v>
      </c>
      <c r="B43" s="20" t="s">
        <v>595</v>
      </c>
      <c r="C43" s="20" t="s">
        <v>596</v>
      </c>
      <c r="D43" s="20" t="s">
        <v>434</v>
      </c>
      <c r="E43" s="59">
        <f t="shared" si="1"/>
        <v>18</v>
      </c>
      <c r="F43" s="59" t="str">
        <f t="shared" si="2"/>
        <v>ctt_icon_giganticRocketry</v>
      </c>
      <c r="G43" s="59" t="str">
        <f t="shared" si="3"/>
        <v>ETTR/UI/CTT/ctt_icon_giganticRocketry</v>
      </c>
    </row>
    <row r="44" spans="1:7" x14ac:dyDescent="0.25">
      <c r="A44" s="20" t="s">
        <v>87</v>
      </c>
      <c r="B44" s="20" t="s">
        <v>690</v>
      </c>
      <c r="C44" s="20" t="s">
        <v>691</v>
      </c>
      <c r="D44" s="20" t="s">
        <v>280</v>
      </c>
      <c r="E44" s="59">
        <f t="shared" si="1"/>
        <v>18</v>
      </c>
      <c r="F44" s="59" t="str">
        <f t="shared" si="2"/>
        <v>ctt_icon_heatManagementSystems</v>
      </c>
      <c r="G44" s="59" t="str">
        <f t="shared" si="3"/>
        <v>ETTR/UI/CTT/ctt_icon_heatManagementSystems</v>
      </c>
    </row>
    <row r="45" spans="1:7" x14ac:dyDescent="0.25">
      <c r="A45" s="20" t="s">
        <v>643</v>
      </c>
      <c r="B45" s="20" t="s">
        <v>644</v>
      </c>
      <c r="C45" s="20" t="s">
        <v>645</v>
      </c>
      <c r="D45" s="20" t="s">
        <v>435</v>
      </c>
      <c r="E45" s="59">
        <f t="shared" si="1"/>
        <v>18</v>
      </c>
      <c r="F45" s="59" t="str">
        <f t="shared" si="2"/>
        <v>ctt_icon_heavyCommandCenters</v>
      </c>
      <c r="G45" s="59" t="str">
        <f t="shared" si="3"/>
        <v>ETTR/UI/CTT/ctt_icon_heavyCommandCenters</v>
      </c>
    </row>
    <row r="46" spans="1:7" x14ac:dyDescent="0.25">
      <c r="A46" s="20" t="s">
        <v>16</v>
      </c>
      <c r="B46" s="20" t="s">
        <v>631</v>
      </c>
      <c r="C46" s="20" t="s">
        <v>632</v>
      </c>
      <c r="D46" s="20" t="s">
        <v>23</v>
      </c>
      <c r="E46" s="59">
        <f t="shared" si="1"/>
        <v>18</v>
      </c>
      <c r="F46" s="59" t="str">
        <f t="shared" si="2"/>
        <v>ctt_icon_heavyCommandModules</v>
      </c>
      <c r="G46" s="59" t="str">
        <f t="shared" si="3"/>
        <v>ETTR/UI/CTT/ctt_icon_heavyCommandModules</v>
      </c>
    </row>
    <row r="47" spans="1:7" x14ac:dyDescent="0.25">
      <c r="A47" s="20" t="s">
        <v>640</v>
      </c>
      <c r="B47" s="20" t="s">
        <v>641</v>
      </c>
      <c r="C47" s="20" t="s">
        <v>642</v>
      </c>
      <c r="D47" s="20" t="s">
        <v>815</v>
      </c>
      <c r="E47" s="59">
        <f t="shared" si="1"/>
        <v>18</v>
      </c>
      <c r="F47" s="59" t="str">
        <f t="shared" si="2"/>
        <v>ctt_icon_heavyLanders</v>
      </c>
      <c r="G47" s="59" t="str">
        <f t="shared" si="3"/>
        <v>ETTR/UI/CTT/ctt_icon_heavyLanders</v>
      </c>
    </row>
    <row r="48" spans="1:7" x14ac:dyDescent="0.25">
      <c r="A48" s="20" t="s">
        <v>194</v>
      </c>
      <c r="B48" s="20" t="s">
        <v>655</v>
      </c>
      <c r="C48" s="20" t="s">
        <v>582</v>
      </c>
      <c r="D48" s="20" t="s">
        <v>436</v>
      </c>
      <c r="E48" s="59">
        <f t="shared" si="1"/>
        <v>0</v>
      </c>
      <c r="F48" s="59" t="str">
        <f t="shared" si="2"/>
        <v>RDicon_science-experimental</v>
      </c>
      <c r="G48" s="59" t="str">
        <f t="shared" si="3"/>
        <v>ETTR/UI/CTT/RDicon_science-experimental</v>
      </c>
    </row>
    <row r="49" spans="1:7" x14ac:dyDescent="0.25">
      <c r="A49" s="20" t="s">
        <v>545</v>
      </c>
      <c r="B49" s="20" t="s">
        <v>682</v>
      </c>
      <c r="C49" s="20" t="s">
        <v>683</v>
      </c>
      <c r="D49" s="20" t="s">
        <v>437</v>
      </c>
      <c r="E49" s="59">
        <f t="shared" si="1"/>
        <v>18</v>
      </c>
      <c r="F49" s="59" t="str">
        <f t="shared" si="2"/>
        <v>ctt_icon_highPowerElectricalSystems</v>
      </c>
      <c r="G49" s="59" t="str">
        <f t="shared" si="3"/>
        <v>ETTR/UI/CTT/ctt_icon_highPowerElectricalSystems</v>
      </c>
    </row>
    <row r="50" spans="1:7" x14ac:dyDescent="0.25">
      <c r="A50" s="20" t="s">
        <v>145</v>
      </c>
      <c r="B50" s="20" t="s">
        <v>680</v>
      </c>
      <c r="C50" s="20" t="s">
        <v>681</v>
      </c>
      <c r="D50" s="20" t="s">
        <v>438</v>
      </c>
      <c r="E50" s="59">
        <f t="shared" si="1"/>
        <v>18</v>
      </c>
      <c r="F50" s="59" t="str">
        <f t="shared" si="2"/>
        <v>ctt_icon_highTechElectricalSystems</v>
      </c>
      <c r="G50" s="59" t="str">
        <f t="shared" si="3"/>
        <v>ETTR/UI/CTT/ctt_icon_highTechElectricalSystems</v>
      </c>
    </row>
    <row r="51" spans="1:7" x14ac:dyDescent="0.25">
      <c r="A51" s="20" t="s">
        <v>46</v>
      </c>
      <c r="B51" s="20" t="s">
        <v>699</v>
      </c>
      <c r="C51" s="20" t="s">
        <v>700</v>
      </c>
      <c r="D51" s="20" t="s">
        <v>47</v>
      </c>
      <c r="E51" s="59">
        <f t="shared" si="1"/>
        <v>18</v>
      </c>
      <c r="F51" s="59" t="str">
        <f t="shared" si="2"/>
        <v>ctt_icon_hydroponics</v>
      </c>
      <c r="G51" s="59" t="str">
        <f t="shared" si="3"/>
        <v>ETTR/UI/CTT/ctt_icon_hydroponics</v>
      </c>
    </row>
    <row r="52" spans="1:7" x14ac:dyDescent="0.25">
      <c r="A52" s="20" t="s">
        <v>30</v>
      </c>
      <c r="B52" s="20" t="s">
        <v>583</v>
      </c>
      <c r="C52" s="20" t="s">
        <v>584</v>
      </c>
      <c r="D52" s="20" t="s">
        <v>31</v>
      </c>
      <c r="E52" s="59">
        <f t="shared" si="1"/>
        <v>18</v>
      </c>
      <c r="F52" s="59" t="str">
        <f t="shared" si="2"/>
        <v>ctt_icon_improvedNuclearPropulsion</v>
      </c>
      <c r="G52" s="59" t="str">
        <f t="shared" si="3"/>
        <v>ETTR/UI/CTT/ctt_icon_improvedNuclearPropulsion</v>
      </c>
    </row>
    <row r="53" spans="1:7" x14ac:dyDescent="0.25">
      <c r="A53" s="20" t="s">
        <v>12</v>
      </c>
      <c r="B53" s="20" t="s">
        <v>564</v>
      </c>
      <c r="C53" s="20" t="s">
        <v>565</v>
      </c>
      <c r="D53" s="20" t="s">
        <v>370</v>
      </c>
      <c r="E53" s="59">
        <f t="shared" si="1"/>
        <v>18</v>
      </c>
      <c r="F53" s="59" t="str">
        <f t="shared" si="2"/>
        <v>ctt_icon_improvedNuclearPower</v>
      </c>
      <c r="G53" s="59" t="str">
        <f t="shared" si="3"/>
        <v>ETTR/UI/CTT/ctt_icon_improvedNuclearPower</v>
      </c>
    </row>
    <row r="54" spans="1:7" x14ac:dyDescent="0.25">
      <c r="A54" s="20" t="s">
        <v>172</v>
      </c>
      <c r="B54" s="20" t="s">
        <v>708</v>
      </c>
      <c r="C54" s="20" t="s">
        <v>709</v>
      </c>
      <c r="D54" s="20" t="s">
        <v>439</v>
      </c>
      <c r="E54" s="59">
        <f t="shared" si="1"/>
        <v>18</v>
      </c>
      <c r="F54" s="59" t="str">
        <f t="shared" si="2"/>
        <v>ctt_icon_logistics</v>
      </c>
      <c r="G54" s="59" t="str">
        <f t="shared" si="3"/>
        <v>ETTR/UI/CTT/ctt_icon_logistics</v>
      </c>
    </row>
    <row r="55" spans="1:7" x14ac:dyDescent="0.25">
      <c r="A55" s="20" t="s">
        <v>11</v>
      </c>
      <c r="B55" s="20" t="s">
        <v>703</v>
      </c>
      <c r="C55" s="20" t="s">
        <v>381</v>
      </c>
      <c r="D55" s="20" t="s">
        <v>40</v>
      </c>
      <c r="E55" s="59">
        <f t="shared" si="1"/>
        <v>0</v>
      </c>
      <c r="F55" s="59" t="str">
        <f t="shared" si="2"/>
        <v>RDicon_start</v>
      </c>
      <c r="G55" s="59" t="str">
        <f t="shared" si="3"/>
        <v>ETTR/UI/CTT/RDicon_start</v>
      </c>
    </row>
    <row r="56" spans="1:7" x14ac:dyDescent="0.25">
      <c r="A56" s="20" t="s">
        <v>6</v>
      </c>
      <c r="B56" s="20" t="s">
        <v>651</v>
      </c>
      <c r="C56" s="20" t="s">
        <v>652</v>
      </c>
      <c r="D56" s="20" t="s">
        <v>7</v>
      </c>
      <c r="E56" s="59">
        <f t="shared" si="1"/>
        <v>0</v>
      </c>
      <c r="F56" s="59" t="str">
        <f t="shared" si="2"/>
        <v>RDicon_telescope</v>
      </c>
      <c r="G56" s="59" t="str">
        <f t="shared" si="3"/>
        <v>ETTR/UI/CTT/RDicon_telescope</v>
      </c>
    </row>
    <row r="57" spans="1:7" x14ac:dyDescent="0.25">
      <c r="A57" s="20" t="s">
        <v>148</v>
      </c>
      <c r="B57" s="20" t="s">
        <v>657</v>
      </c>
      <c r="C57" s="20" t="s">
        <v>613</v>
      </c>
      <c r="D57" s="20" t="s">
        <v>284</v>
      </c>
      <c r="E57" s="59">
        <f t="shared" si="1"/>
        <v>18</v>
      </c>
      <c r="F57" s="59" t="str">
        <f t="shared" si="2"/>
        <v>ctt_icon_advancedActuators</v>
      </c>
      <c r="G57" s="59" t="str">
        <f t="shared" si="3"/>
        <v>ETTR/UI/CTT/ctt_icon_advancedActuators</v>
      </c>
    </row>
    <row r="58" spans="1:7" x14ac:dyDescent="0.25">
      <c r="A58" s="20" t="s">
        <v>112</v>
      </c>
      <c r="B58" s="20" t="s">
        <v>688</v>
      </c>
      <c r="C58" s="20" t="s">
        <v>689</v>
      </c>
      <c r="D58" s="20" t="s">
        <v>440</v>
      </c>
      <c r="E58" s="59">
        <f t="shared" si="1"/>
        <v>18</v>
      </c>
      <c r="F58" s="59" t="str">
        <f t="shared" si="2"/>
        <v>ctt_icon_microwavePower</v>
      </c>
      <c r="G58" s="59" t="str">
        <f t="shared" si="3"/>
        <v>ETTR/UI/CTT/ctt_icon_microwavePower</v>
      </c>
    </row>
    <row r="59" spans="1:7" x14ac:dyDescent="0.25">
      <c r="A59" s="20" t="s">
        <v>173</v>
      </c>
      <c r="B59" s="20" t="s">
        <v>562</v>
      </c>
      <c r="C59" s="20" t="s">
        <v>563</v>
      </c>
      <c r="D59" s="20" t="s">
        <v>174</v>
      </c>
      <c r="E59" s="59">
        <f t="shared" si="1"/>
        <v>18</v>
      </c>
      <c r="F59" s="59" t="str">
        <f t="shared" si="2"/>
        <v>ctt_icon_nuclearFuelSystems</v>
      </c>
      <c r="G59" s="59" t="str">
        <f t="shared" si="3"/>
        <v>ETTR/UI/CTT/ctt_icon_nuclearFuelSystems</v>
      </c>
    </row>
    <row r="60" spans="1:7" x14ac:dyDescent="0.25">
      <c r="A60" s="20" t="s">
        <v>13</v>
      </c>
      <c r="B60" s="20" t="s">
        <v>560</v>
      </c>
      <c r="C60" s="20" t="s">
        <v>561</v>
      </c>
      <c r="D60" s="20" t="s">
        <v>441</v>
      </c>
      <c r="E60" s="59">
        <f t="shared" si="1"/>
        <v>18</v>
      </c>
      <c r="F60" s="59" t="str">
        <f t="shared" si="2"/>
        <v>ctt_icon_nuclearPower</v>
      </c>
      <c r="G60" s="59" t="str">
        <f t="shared" si="3"/>
        <v>ETTR/UI/CTT/ctt_icon_nuclearPower</v>
      </c>
    </row>
    <row r="61" spans="1:7" x14ac:dyDescent="0.25">
      <c r="A61" s="20" t="s">
        <v>10</v>
      </c>
      <c r="B61" s="20" t="s">
        <v>606</v>
      </c>
      <c r="C61" s="20" t="s">
        <v>607</v>
      </c>
      <c r="D61" s="20" t="s">
        <v>442</v>
      </c>
      <c r="E61" s="59">
        <f t="shared" si="1"/>
        <v>0</v>
      </c>
      <c r="F61" s="59" t="str">
        <f t="shared" si="2"/>
        <v>RDicon_robotics</v>
      </c>
      <c r="G61" s="59" t="str">
        <f t="shared" si="3"/>
        <v>ETTR/UI/CTT/RDicon_robotics</v>
      </c>
    </row>
    <row r="62" spans="1:7" x14ac:dyDescent="0.25">
      <c r="A62" s="20" t="s">
        <v>142</v>
      </c>
      <c r="B62" s="20" t="s">
        <v>610</v>
      </c>
      <c r="C62" s="20" t="s">
        <v>611</v>
      </c>
      <c r="D62" s="20" t="s">
        <v>258</v>
      </c>
      <c r="E62" s="59">
        <f t="shared" si="1"/>
        <v>18</v>
      </c>
      <c r="F62" s="59" t="str">
        <f t="shared" si="2"/>
        <v>ctt_icon_orbitalAssembly</v>
      </c>
      <c r="G62" s="59" t="str">
        <f t="shared" si="3"/>
        <v>ETTR/UI/CTT/ctt_icon_orbitalAssembly</v>
      </c>
    </row>
    <row r="63" spans="1:7" x14ac:dyDescent="0.25">
      <c r="A63" s="20" t="s">
        <v>42</v>
      </c>
      <c r="B63" s="20" t="s">
        <v>608</v>
      </c>
      <c r="C63" s="20" t="s">
        <v>609</v>
      </c>
      <c r="D63" s="20" t="s">
        <v>43</v>
      </c>
      <c r="E63" s="59">
        <f t="shared" si="1"/>
        <v>18</v>
      </c>
      <c r="F63" s="59" t="str">
        <f t="shared" si="2"/>
        <v>ctt_icon_orbitalMegastructures</v>
      </c>
      <c r="G63" s="59" t="str">
        <f t="shared" si="3"/>
        <v>ETTR/UI/CTT/ctt_icon_orbitalMegastructures</v>
      </c>
    </row>
    <row r="64" spans="1:7" x14ac:dyDescent="0.25">
      <c r="A64" s="20" t="s">
        <v>181</v>
      </c>
      <c r="B64" s="20" t="s">
        <v>661</v>
      </c>
      <c r="C64" s="20" t="s">
        <v>662</v>
      </c>
      <c r="D64" s="20" t="s">
        <v>182</v>
      </c>
      <c r="E64" s="59">
        <f t="shared" si="1"/>
        <v>18</v>
      </c>
      <c r="F64" s="59" t="str">
        <f t="shared" si="2"/>
        <v>ctt_icon_plasmaPropulsion</v>
      </c>
      <c r="G64" s="59" t="str">
        <f t="shared" si="3"/>
        <v>ETTR/UI/CTT/ctt_icon_plasmaPropulsion</v>
      </c>
    </row>
    <row r="65" spans="1:7" x14ac:dyDescent="0.25">
      <c r="A65" s="20" t="s">
        <v>444</v>
      </c>
      <c r="B65" s="20" t="s">
        <v>576</v>
      </c>
      <c r="C65" s="20" t="s">
        <v>575</v>
      </c>
      <c r="D65" s="20" t="s">
        <v>443</v>
      </c>
      <c r="E65" s="59">
        <f t="shared" si="1"/>
        <v>18</v>
      </c>
      <c r="F65" s="59" t="str">
        <f t="shared" si="2"/>
        <v>ctt_icon_exoticFusionReactions</v>
      </c>
      <c r="G65" s="59" t="str">
        <f t="shared" si="3"/>
        <v>ETTR/UI/CTT/ctt_icon_exoticFusionReactions</v>
      </c>
    </row>
    <row r="66" spans="1:7" x14ac:dyDescent="0.25">
      <c r="A66" s="20" t="s">
        <v>109</v>
      </c>
      <c r="B66" s="20" t="s">
        <v>698</v>
      </c>
      <c r="C66" s="20" t="s">
        <v>2351</v>
      </c>
      <c r="D66" s="20" t="s">
        <v>445</v>
      </c>
      <c r="E66" s="59">
        <f t="shared" ref="E66:E82" si="4">IF(LEFT(C66,1)="C",FIND("/UI/",C66),0)</f>
        <v>18</v>
      </c>
      <c r="F66" s="59" t="str">
        <f t="shared" ref="F66:F82" si="5">IF(E66=0,C66,RIGHT(C66,LEN(C66)-E66-3))</f>
        <v>ctt_icon_recycling</v>
      </c>
      <c r="G66" s="59" t="str">
        <f t="shared" ref="G66:G82" si="6">"ETTR/UI/CTT/" &amp;F66</f>
        <v>ETTR/UI/CTT/ctt_icon_recycling</v>
      </c>
    </row>
    <row r="67" spans="1:7" x14ac:dyDescent="0.25">
      <c r="A67" s="20" t="s">
        <v>25</v>
      </c>
      <c r="B67" s="20" t="s">
        <v>648</v>
      </c>
      <c r="C67" s="20" t="s">
        <v>647</v>
      </c>
      <c r="D67" s="20" t="s">
        <v>26</v>
      </c>
      <c r="E67" s="59">
        <f t="shared" si="4"/>
        <v>0</v>
      </c>
      <c r="F67" s="59" t="str">
        <f t="shared" si="5"/>
        <v>RDicon_fuelSystems-advanced</v>
      </c>
      <c r="G67" s="59" t="str">
        <f t="shared" si="6"/>
        <v>ETTR/UI/CTT/RDicon_fuelSystems-advanced</v>
      </c>
    </row>
    <row r="68" spans="1:7" x14ac:dyDescent="0.25">
      <c r="A68" s="20" t="s">
        <v>8</v>
      </c>
      <c r="B68" s="20" t="s">
        <v>653</v>
      </c>
      <c r="C68" s="20" t="s">
        <v>654</v>
      </c>
      <c r="D68" s="20" t="s">
        <v>44</v>
      </c>
      <c r="E68" s="59">
        <f t="shared" si="4"/>
        <v>18</v>
      </c>
      <c r="F68" s="59" t="str">
        <f t="shared" si="5"/>
        <v>ctt_icon_scientificOutposts</v>
      </c>
      <c r="G68" s="59" t="str">
        <f t="shared" si="6"/>
        <v>ETTR/UI/CTT/ctt_icon_scientificOutposts</v>
      </c>
    </row>
    <row r="69" spans="1:7" x14ac:dyDescent="0.25">
      <c r="A69" s="20" t="s">
        <v>41</v>
      </c>
      <c r="B69" s="20" t="s">
        <v>701</v>
      </c>
      <c r="C69" s="20" t="s">
        <v>702</v>
      </c>
      <c r="D69" s="20" t="s">
        <v>48</v>
      </c>
      <c r="E69" s="59">
        <f t="shared" si="4"/>
        <v>0</v>
      </c>
      <c r="F69" s="59" t="str">
        <f t="shared" si="5"/>
        <v>RDicon_evaTech</v>
      </c>
      <c r="G69" s="59" t="str">
        <f t="shared" si="6"/>
        <v>ETTR/UI/CTT/RDicon_evaTech</v>
      </c>
    </row>
    <row r="70" spans="1:7" x14ac:dyDescent="0.25">
      <c r="A70" s="20" t="s">
        <v>17</v>
      </c>
      <c r="B70" s="20" t="s">
        <v>629</v>
      </c>
      <c r="C70" s="20" t="s">
        <v>630</v>
      </c>
      <c r="D70" s="20" t="s">
        <v>18</v>
      </c>
      <c r="E70" s="59">
        <f t="shared" si="4"/>
        <v>18</v>
      </c>
      <c r="F70" s="59" t="str">
        <f t="shared" si="5"/>
        <v>ctt_icon_simpleCommandModules</v>
      </c>
      <c r="G70" s="59" t="str">
        <f t="shared" si="6"/>
        <v>ETTR/UI/CTT/ctt_icon_simpleCommandModules</v>
      </c>
    </row>
    <row r="71" spans="1:7" x14ac:dyDescent="0.25">
      <c r="A71" s="20" t="s">
        <v>447</v>
      </c>
      <c r="B71" s="20" t="s">
        <v>638</v>
      </c>
      <c r="C71" s="20" t="s">
        <v>639</v>
      </c>
      <c r="D71" s="20" t="s">
        <v>446</v>
      </c>
      <c r="E71" s="59">
        <f t="shared" si="4"/>
        <v>18</v>
      </c>
      <c r="F71" s="59" t="str">
        <f t="shared" si="5"/>
        <v>ctt_icon_specializedCommandCenters</v>
      </c>
      <c r="G71" s="59" t="str">
        <f t="shared" si="6"/>
        <v>ETTR/UI/CTT/ctt_icon_specializedCommandCenters</v>
      </c>
    </row>
    <row r="72" spans="1:7" x14ac:dyDescent="0.25">
      <c r="A72" s="20" t="s">
        <v>14</v>
      </c>
      <c r="B72" s="20" t="s">
        <v>633</v>
      </c>
      <c r="C72" s="20" t="s">
        <v>634</v>
      </c>
      <c r="D72" s="20" t="s">
        <v>15</v>
      </c>
      <c r="E72" s="59">
        <f t="shared" si="4"/>
        <v>18</v>
      </c>
      <c r="F72" s="59" t="str">
        <f t="shared" si="5"/>
        <v>ctt_icon_specializedCommandModules</v>
      </c>
      <c r="G72" s="59" t="str">
        <f t="shared" si="6"/>
        <v>ETTR/UI/CTT/ctt_icon_specializedCommandModules</v>
      </c>
    </row>
    <row r="73" spans="1:7" x14ac:dyDescent="0.25">
      <c r="A73" s="20" t="s">
        <v>67</v>
      </c>
      <c r="B73" s="20" t="s">
        <v>620</v>
      </c>
      <c r="C73" s="20" t="s">
        <v>621</v>
      </c>
      <c r="D73" s="20" t="s">
        <v>68</v>
      </c>
      <c r="E73" s="59">
        <f t="shared" si="4"/>
        <v>18</v>
      </c>
      <c r="F73" s="59" t="str">
        <f t="shared" si="5"/>
        <v>ctt_icon_specializedFlight</v>
      </c>
      <c r="G73" s="59" t="str">
        <f t="shared" si="6"/>
        <v>ETTR/UI/CTT/ctt_icon_specializedFlight</v>
      </c>
    </row>
    <row r="74" spans="1:7" x14ac:dyDescent="0.25">
      <c r="A74" s="20" t="s">
        <v>5</v>
      </c>
      <c r="B74" s="20" t="s">
        <v>599</v>
      </c>
      <c r="C74" s="20" t="s">
        <v>600</v>
      </c>
      <c r="D74" s="20" t="s">
        <v>448</v>
      </c>
      <c r="E74" s="59">
        <f t="shared" si="4"/>
        <v>18</v>
      </c>
      <c r="F74" s="59" t="str">
        <f t="shared" si="5"/>
        <v>ctt_icon_specializedFuelStorage</v>
      </c>
      <c r="G74" s="59" t="str">
        <f t="shared" si="6"/>
        <v>ETTR/UI/CTT/ctt_icon_specializedFuelStorage</v>
      </c>
    </row>
    <row r="75" spans="1:7" x14ac:dyDescent="0.25">
      <c r="A75" s="20" t="s">
        <v>635</v>
      </c>
      <c r="B75" s="20" t="s">
        <v>636</v>
      </c>
      <c r="C75" s="20" t="s">
        <v>637</v>
      </c>
      <c r="D75" s="20" t="s">
        <v>449</v>
      </c>
      <c r="E75" s="59">
        <f t="shared" si="4"/>
        <v>18</v>
      </c>
      <c r="F75" s="59" t="str">
        <f t="shared" si="5"/>
        <v>ctt_icon_specializedLanders</v>
      </c>
      <c r="G75" s="59" t="str">
        <f t="shared" si="6"/>
        <v>ETTR/UI/CTT/ctt_icon_specializedLanders</v>
      </c>
    </row>
    <row r="76" spans="1:7" x14ac:dyDescent="0.25">
      <c r="A76" s="20" t="s">
        <v>185</v>
      </c>
      <c r="B76" s="20" t="s">
        <v>665</v>
      </c>
      <c r="C76" s="20" t="s">
        <v>666</v>
      </c>
      <c r="D76" s="20" t="s">
        <v>344</v>
      </c>
      <c r="E76" s="59">
        <f t="shared" si="4"/>
        <v>18</v>
      </c>
      <c r="F76" s="59" t="str">
        <f t="shared" si="5"/>
        <v>ctt_icon_specializedPlasmaPropulsion</v>
      </c>
      <c r="G76" s="59" t="str">
        <f t="shared" si="6"/>
        <v>ETTR/UI/CTT/ctt_icon_specializedPlasmaPropulsion</v>
      </c>
    </row>
    <row r="77" spans="1:7" x14ac:dyDescent="0.25">
      <c r="A77" s="20" t="s">
        <v>151</v>
      </c>
      <c r="B77" s="20" t="s">
        <v>694</v>
      </c>
      <c r="C77" s="20" t="s">
        <v>695</v>
      </c>
      <c r="D77" s="20" t="s">
        <v>328</v>
      </c>
      <c r="E77" s="59">
        <f t="shared" si="4"/>
        <v>18</v>
      </c>
      <c r="F77" s="59" t="str">
        <f t="shared" si="5"/>
        <v>ctt_icon_specializedRadiators</v>
      </c>
      <c r="G77" s="59" t="str">
        <f t="shared" si="6"/>
        <v>ETTR/UI/CTT/ctt_icon_specializedRadiators</v>
      </c>
    </row>
    <row r="78" spans="1:7" x14ac:dyDescent="0.25">
      <c r="A78" s="20" t="s">
        <v>168</v>
      </c>
      <c r="B78" s="20" t="s">
        <v>649</v>
      </c>
      <c r="C78" s="20" t="s">
        <v>650</v>
      </c>
      <c r="D78" s="20" t="s">
        <v>450</v>
      </c>
      <c r="E78" s="59">
        <f t="shared" si="4"/>
        <v>18</v>
      </c>
      <c r="F78" s="59" t="str">
        <f t="shared" si="5"/>
        <v>ctt_icon_specializedScienceTech</v>
      </c>
      <c r="G78" s="59" t="str">
        <f t="shared" si="6"/>
        <v>ETTR/UI/CTT/ctt_icon_specializedScienceTech</v>
      </c>
    </row>
    <row r="79" spans="1:7" x14ac:dyDescent="0.25">
      <c r="A79" s="20" t="s">
        <v>158</v>
      </c>
      <c r="B79" s="20" t="s">
        <v>706</v>
      </c>
      <c r="C79" s="20" t="s">
        <v>707</v>
      </c>
      <c r="D79" s="20" t="s">
        <v>451</v>
      </c>
      <c r="E79" s="59">
        <f t="shared" si="4"/>
        <v>18</v>
      </c>
      <c r="F79" s="59" t="str">
        <f t="shared" si="5"/>
        <v>ctt_icon_storageTech</v>
      </c>
      <c r="G79" s="59" t="str">
        <f t="shared" si="6"/>
        <v>ETTR/UI/CTT/ctt_icon_storageTech</v>
      </c>
    </row>
    <row r="80" spans="1:7" x14ac:dyDescent="0.25">
      <c r="A80" s="20" t="s">
        <v>93</v>
      </c>
      <c r="B80" s="20" t="s">
        <v>616</v>
      </c>
      <c r="C80" s="20" t="s">
        <v>617</v>
      </c>
      <c r="D80" s="20" t="s">
        <v>94</v>
      </c>
      <c r="E80" s="59">
        <f t="shared" si="4"/>
        <v>18</v>
      </c>
      <c r="F80" s="59" t="str">
        <f t="shared" si="5"/>
        <v>ctt_icon_subsonicFlight</v>
      </c>
      <c r="G80" s="59" t="str">
        <f t="shared" si="6"/>
        <v>ETTR/UI/CTT/ctt_icon_subsonicFlight</v>
      </c>
    </row>
    <row r="81" spans="1:7" x14ac:dyDescent="0.25">
      <c r="A81" s="20" t="s">
        <v>206</v>
      </c>
      <c r="B81" s="20" t="s">
        <v>581</v>
      </c>
      <c r="C81" s="20" t="s">
        <v>582</v>
      </c>
      <c r="D81" s="20" t="s">
        <v>452</v>
      </c>
      <c r="E81" s="59">
        <f t="shared" si="4"/>
        <v>0</v>
      </c>
      <c r="F81" s="59" t="str">
        <f t="shared" si="5"/>
        <v>RDicon_science-experimental</v>
      </c>
      <c r="G81" s="59" t="str">
        <f t="shared" si="6"/>
        <v>ETTR/UI/CTT/RDicon_science-experimental</v>
      </c>
    </row>
    <row r="82" spans="1:7" x14ac:dyDescent="0.25">
      <c r="A82" s="20" t="s">
        <v>207</v>
      </c>
      <c r="B82" s="20" t="s">
        <v>579</v>
      </c>
      <c r="C82" s="20" t="s">
        <v>580</v>
      </c>
      <c r="D82" s="20" t="s">
        <v>208</v>
      </c>
      <c r="E82" s="59">
        <f t="shared" si="4"/>
        <v>18</v>
      </c>
      <c r="F82" s="59" t="str">
        <f t="shared" si="5"/>
        <v>ctt_icon_unifiedFieldTheory</v>
      </c>
      <c r="G82" s="59" t="str">
        <f t="shared" si="6"/>
        <v>ETTR/UI/CTT/ctt_icon_unifiedFieldTheory</v>
      </c>
    </row>
  </sheetData>
  <sortState ref="B1:C82">
    <sortCondition ref="B1:B82"/>
  </sortState>
  <pageMargins left="0.7" right="0.7" top="0.75" bottom="0.75" header="0.3" footer="0.3"/>
  <pageSetup orientation="portrait"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I87"/>
  <sheetViews>
    <sheetView topLeftCell="A52" workbookViewId="0">
      <selection activeCell="D86" sqref="D86"/>
    </sheetView>
  </sheetViews>
  <sheetFormatPr defaultRowHeight="15" x14ac:dyDescent="0.25"/>
  <cols>
    <col min="1" max="1" width="36.85546875" bestFit="1" customWidth="1"/>
    <col min="2" max="2" width="47.85546875" bestFit="1" customWidth="1"/>
    <col min="3" max="3" width="38.5703125" bestFit="1" customWidth="1"/>
    <col min="4" max="4" width="54.28515625" bestFit="1" customWidth="1"/>
    <col min="5" max="5" width="55.42578125" bestFit="1" customWidth="1"/>
  </cols>
  <sheetData>
    <row r="1" spans="1:9" s="20" customFormat="1" x14ac:dyDescent="0.25">
      <c r="A1" s="21" t="s">
        <v>484</v>
      </c>
      <c r="B1" s="21" t="str">
        <f t="shared" ref="B1:B32" si="0">"#LOC_ETT_"&amp;A1&amp;"_title"</f>
        <v>#LOC_ETT_advAdvancedRocketry_title</v>
      </c>
      <c r="C1" s="21" t="s">
        <v>309</v>
      </c>
      <c r="D1" s="21" t="s">
        <v>894</v>
      </c>
      <c r="E1" s="21"/>
    </row>
    <row r="2" spans="1:9" s="20" customFormat="1" x14ac:dyDescent="0.25">
      <c r="A2" s="21" t="s">
        <v>539</v>
      </c>
      <c r="B2" s="21" t="str">
        <f t="shared" si="0"/>
        <v>#LOC_ETT_advBouyancy_title</v>
      </c>
      <c r="C2" s="21" t="s">
        <v>540</v>
      </c>
      <c r="D2" s="21" t="s">
        <v>889</v>
      </c>
      <c r="E2" s="21"/>
    </row>
    <row r="3" spans="1:9" s="20" customFormat="1" x14ac:dyDescent="0.25">
      <c r="A3" s="21" t="s">
        <v>547</v>
      </c>
      <c r="B3" s="21" t="str">
        <f t="shared" si="0"/>
        <v>#LOC_ETT_advCommunications_title</v>
      </c>
      <c r="C3" s="21" t="s">
        <v>283</v>
      </c>
      <c r="D3" s="21" t="s">
        <v>896</v>
      </c>
      <c r="E3" s="21"/>
    </row>
    <row r="4" spans="1:9" s="20" customFormat="1" x14ac:dyDescent="0.25">
      <c r="A4" s="21" t="s">
        <v>496</v>
      </c>
      <c r="B4" s="21" t="str">
        <f t="shared" si="0"/>
        <v>#LOC_ETT_advComputers_title</v>
      </c>
      <c r="C4" s="21" t="s">
        <v>350</v>
      </c>
      <c r="D4" s="21" t="s">
        <v>901</v>
      </c>
      <c r="E4" s="21"/>
      <c r="H4" s="23"/>
    </row>
    <row r="5" spans="1:9" s="20" customFormat="1" x14ac:dyDescent="0.25">
      <c r="A5" s="21" t="s">
        <v>462</v>
      </c>
      <c r="B5" s="21" t="str">
        <f t="shared" si="0"/>
        <v>#LOC_ETT_advDocking_title</v>
      </c>
      <c r="C5" s="21" t="s">
        <v>143</v>
      </c>
      <c r="D5" s="21" t="s">
        <v>912</v>
      </c>
      <c r="E5" s="21"/>
      <c r="F5" s="18"/>
      <c r="G5" s="18"/>
      <c r="H5" s="18"/>
    </row>
    <row r="6" spans="1:9" s="20" customFormat="1" x14ac:dyDescent="0.25">
      <c r="A6" s="21" t="s">
        <v>546</v>
      </c>
      <c r="B6" s="21" t="str">
        <f t="shared" si="0"/>
        <v>#LOC_ETT_advFairings_title</v>
      </c>
      <c r="C6" s="21" t="s">
        <v>279</v>
      </c>
      <c r="D6" s="21" t="s">
        <v>890</v>
      </c>
      <c r="E6" s="21"/>
      <c r="F6" s="18"/>
      <c r="G6" s="18"/>
      <c r="H6" s="18"/>
    </row>
    <row r="7" spans="1:9" s="20" customFormat="1" x14ac:dyDescent="0.25">
      <c r="A7" s="21" t="s">
        <v>486</v>
      </c>
      <c r="B7" s="21" t="str">
        <f t="shared" si="0"/>
        <v>#LOC_ETT_advGeneralRocketry_title</v>
      </c>
      <c r="C7" s="21" t="s">
        <v>305</v>
      </c>
      <c r="D7" s="21" t="s">
        <v>878</v>
      </c>
      <c r="E7" s="21"/>
      <c r="F7" s="18"/>
      <c r="G7" s="18"/>
      <c r="H7" s="18"/>
    </row>
    <row r="8" spans="1:9" s="20" customFormat="1" x14ac:dyDescent="0.25">
      <c r="A8" s="21" t="s">
        <v>481</v>
      </c>
      <c r="B8" s="21" t="str">
        <f t="shared" si="0"/>
        <v>#LOC_ETT_advHeavierRocketry_title</v>
      </c>
      <c r="C8" s="21" t="s">
        <v>336</v>
      </c>
      <c r="D8" s="21" t="s">
        <v>924</v>
      </c>
      <c r="E8" s="21"/>
      <c r="F8" s="18"/>
      <c r="G8" s="18"/>
      <c r="H8" s="18"/>
      <c r="I8" s="23"/>
    </row>
    <row r="9" spans="1:9" s="20" customFormat="1" x14ac:dyDescent="0.25">
      <c r="A9" s="21" t="s">
        <v>482</v>
      </c>
      <c r="B9" s="21" t="str">
        <f t="shared" si="0"/>
        <v>#LOC_ETT_advHeavyRocketry_title</v>
      </c>
      <c r="C9" s="21" t="s">
        <v>334</v>
      </c>
      <c r="D9" s="21" t="s">
        <v>910</v>
      </c>
      <c r="E9" s="21"/>
      <c r="F9" s="18"/>
      <c r="G9" s="18"/>
      <c r="H9" s="18"/>
      <c r="I9" s="23"/>
    </row>
    <row r="10" spans="1:9" s="20" customFormat="1" x14ac:dyDescent="0.25">
      <c r="A10" s="21" t="s">
        <v>820</v>
      </c>
      <c r="B10" s="21" t="str">
        <f t="shared" si="0"/>
        <v>#LOC_ETT_advInflatableStationTech_title</v>
      </c>
      <c r="C10" s="21" t="s">
        <v>317</v>
      </c>
      <c r="D10" s="21" t="s">
        <v>916</v>
      </c>
      <c r="E10" s="21"/>
      <c r="F10" s="18"/>
      <c r="G10" s="18"/>
      <c r="H10" s="18"/>
      <c r="I10" s="23"/>
    </row>
    <row r="11" spans="1:9" s="20" customFormat="1" x14ac:dyDescent="0.25">
      <c r="A11" s="21" t="s">
        <v>490</v>
      </c>
      <c r="B11" s="21" t="str">
        <f t="shared" si="0"/>
        <v>#LOC_ETT_advIntermediateRocketry_title</v>
      </c>
      <c r="C11" s="21" t="s">
        <v>357</v>
      </c>
      <c r="D11" s="21" t="s">
        <v>883</v>
      </c>
      <c r="E11" s="21"/>
      <c r="F11" s="18"/>
      <c r="G11" s="18"/>
      <c r="H11" s="18"/>
      <c r="I11" s="23"/>
    </row>
    <row r="12" spans="1:9" s="20" customFormat="1" x14ac:dyDescent="0.25">
      <c r="A12" s="21" t="s">
        <v>521</v>
      </c>
      <c r="B12" s="21" t="str">
        <f t="shared" si="0"/>
        <v>#LOC_ETT_advLandingLegs_title</v>
      </c>
      <c r="C12" s="21" t="s">
        <v>522</v>
      </c>
      <c r="D12" s="21" t="s">
        <v>888</v>
      </c>
      <c r="E12" s="21"/>
      <c r="F12" s="18"/>
      <c r="G12" s="18"/>
      <c r="H12" s="18"/>
    </row>
    <row r="13" spans="1:9" s="20" customFormat="1" x14ac:dyDescent="0.25">
      <c r="A13" s="21" t="s">
        <v>478</v>
      </c>
      <c r="B13" s="21" t="str">
        <f t="shared" si="0"/>
        <v>#LOC_ETT_advLifeSupport_title</v>
      </c>
      <c r="C13" s="21" t="s">
        <v>349</v>
      </c>
      <c r="D13" s="21" t="s">
        <v>900</v>
      </c>
      <c r="E13" s="21" t="s">
        <v>1317</v>
      </c>
      <c r="F13" s="18"/>
      <c r="G13" s="18"/>
      <c r="H13" s="18"/>
    </row>
    <row r="14" spans="1:9" s="20" customFormat="1" x14ac:dyDescent="0.25">
      <c r="A14" s="21" t="s">
        <v>479</v>
      </c>
      <c r="B14" s="21" t="str">
        <f t="shared" si="0"/>
        <v>#LOC_ETT_advMicrowavePropulsion_title</v>
      </c>
      <c r="C14" s="21" t="s">
        <v>352</v>
      </c>
      <c r="D14" s="21" t="s">
        <v>934</v>
      </c>
      <c r="E14" s="21"/>
      <c r="F14" s="18"/>
      <c r="G14" s="18"/>
      <c r="H14" s="18"/>
    </row>
    <row r="15" spans="1:9" s="20" customFormat="1" x14ac:dyDescent="0.25">
      <c r="A15" s="21" t="s">
        <v>527</v>
      </c>
      <c r="B15" s="21" t="str">
        <f t="shared" si="0"/>
        <v>#LOC_ETT_advParachutes_title</v>
      </c>
      <c r="C15" s="21" t="s">
        <v>110</v>
      </c>
      <c r="D15" s="21" t="s">
        <v>874</v>
      </c>
      <c r="E15" s="21"/>
      <c r="F15" s="18"/>
      <c r="G15" s="18"/>
      <c r="H15" s="18"/>
    </row>
    <row r="16" spans="1:9" s="20" customFormat="1" x14ac:dyDescent="0.25">
      <c r="A16" s="21" t="s">
        <v>515</v>
      </c>
      <c r="B16" s="21" t="str">
        <f t="shared" si="0"/>
        <v>#LOC_ETT_advPropellerEngines_title</v>
      </c>
      <c r="C16" s="21" t="s">
        <v>264</v>
      </c>
      <c r="D16" s="21" t="s">
        <v>872</v>
      </c>
      <c r="E16" s="21"/>
      <c r="F16" s="18"/>
      <c r="G16" s="18"/>
      <c r="H16" s="18"/>
    </row>
    <row r="17" spans="1:5" s="20" customFormat="1" x14ac:dyDescent="0.25">
      <c r="A17" s="21" t="s">
        <v>492</v>
      </c>
      <c r="B17" s="21" t="str">
        <f t="shared" si="0"/>
        <v>#LOC_ETT_advRadialTech_title</v>
      </c>
      <c r="C17" s="21" t="s">
        <v>281</v>
      </c>
      <c r="D17" s="21" t="s">
        <v>893</v>
      </c>
      <c r="E17" s="21"/>
    </row>
    <row r="18" spans="1:5" s="20" customFormat="1" x14ac:dyDescent="0.25">
      <c r="A18" s="21" t="s">
        <v>468</v>
      </c>
      <c r="B18" s="21" t="str">
        <f t="shared" si="0"/>
        <v>#LOC_ETT_advReactionControl_title</v>
      </c>
      <c r="C18" s="21" t="s">
        <v>303</v>
      </c>
      <c r="D18" s="21" t="s">
        <v>876</v>
      </c>
      <c r="E18" s="21"/>
    </row>
    <row r="19" spans="1:5" s="20" customFormat="1" x14ac:dyDescent="0.25">
      <c r="A19" s="21" t="s">
        <v>503</v>
      </c>
      <c r="B19" s="21" t="str">
        <f t="shared" si="0"/>
        <v>#LOC_ETT_advSolidRockets_title</v>
      </c>
      <c r="C19" s="21" t="s">
        <v>310</v>
      </c>
      <c r="D19" s="21" t="s">
        <v>881</v>
      </c>
      <c r="E19" s="21"/>
    </row>
    <row r="20" spans="1:5" s="20" customFormat="1" x14ac:dyDescent="0.25">
      <c r="A20" s="21" t="s">
        <v>812</v>
      </c>
      <c r="B20" s="21" t="str">
        <f t="shared" si="0"/>
        <v>#LOC_ETT_advStability_title</v>
      </c>
      <c r="C20" s="21" t="s">
        <v>111</v>
      </c>
      <c r="D20" s="21" t="s">
        <v>864</v>
      </c>
      <c r="E20" s="21"/>
    </row>
    <row r="21" spans="1:5" s="20" customFormat="1" x14ac:dyDescent="0.25">
      <c r="A21" s="21" t="s">
        <v>507</v>
      </c>
      <c r="B21" s="21" t="str">
        <f t="shared" si="0"/>
        <v>#LOC_ETT_advStorageTech_title</v>
      </c>
      <c r="C21" s="21" t="s">
        <v>273</v>
      </c>
      <c r="D21" s="21" t="s">
        <v>908</v>
      </c>
      <c r="E21" s="21"/>
    </row>
    <row r="22" spans="1:5" s="20" customFormat="1" x14ac:dyDescent="0.25">
      <c r="A22" s="21" t="s">
        <v>518</v>
      </c>
      <c r="B22" s="21" t="str">
        <f t="shared" si="0"/>
        <v>#LOC_ETT_advTurbofanEngines_title</v>
      </c>
      <c r="C22" s="21" t="s">
        <v>267</v>
      </c>
      <c r="D22" s="21" t="s">
        <v>920</v>
      </c>
      <c r="E22" s="21"/>
    </row>
    <row r="23" spans="1:5" s="20" customFormat="1" x14ac:dyDescent="0.25">
      <c r="A23" s="21" t="s">
        <v>214</v>
      </c>
      <c r="B23" s="21" t="str">
        <f t="shared" si="0"/>
        <v>#LOC_ETT_advUllageMotors_title</v>
      </c>
      <c r="C23" s="21" t="s">
        <v>52</v>
      </c>
      <c r="D23" s="21" t="s">
        <v>880</v>
      </c>
      <c r="E23" s="21"/>
    </row>
    <row r="24" spans="1:5" s="20" customFormat="1" x14ac:dyDescent="0.25">
      <c r="A24" s="21" t="s">
        <v>825</v>
      </c>
      <c r="B24" s="21" t="str">
        <f t="shared" si="0"/>
        <v>#LOC_ETT_advVeryHeavyRocketry_title</v>
      </c>
      <c r="C24" s="21" t="s">
        <v>338</v>
      </c>
      <c r="D24" s="21" t="s">
        <v>932</v>
      </c>
      <c r="E24" s="21"/>
    </row>
    <row r="25" spans="1:5" s="20" customFormat="1" x14ac:dyDescent="0.25">
      <c r="A25" s="21" t="s">
        <v>509</v>
      </c>
      <c r="B25" s="21" t="str">
        <f t="shared" si="0"/>
        <v>#LOC_ETT_aircraftStructures_title</v>
      </c>
      <c r="C25" s="21" t="s">
        <v>261</v>
      </c>
      <c r="D25" s="21" t="s">
        <v>861</v>
      </c>
      <c r="E25" s="21"/>
    </row>
    <row r="26" spans="1:5" s="20" customFormat="1" x14ac:dyDescent="0.25">
      <c r="A26" s="21" t="s">
        <v>538</v>
      </c>
      <c r="B26" s="21" t="str">
        <f t="shared" si="0"/>
        <v>#LOC_ETT_bouyancy_title</v>
      </c>
      <c r="C26" s="21" t="s">
        <v>537</v>
      </c>
      <c r="D26" s="21" t="s">
        <v>858</v>
      </c>
      <c r="E26" s="21"/>
    </row>
    <row r="27" spans="1:5" s="20" customFormat="1" x14ac:dyDescent="0.25">
      <c r="A27" s="21" t="s">
        <v>500</v>
      </c>
      <c r="B27" s="21" t="str">
        <f t="shared" si="0"/>
        <v>#LOC_ETT_communications_title</v>
      </c>
      <c r="C27" s="21" t="s">
        <v>355</v>
      </c>
      <c r="D27" s="21" t="s">
        <v>867</v>
      </c>
      <c r="E27" s="21"/>
    </row>
    <row r="28" spans="1:5" s="20" customFormat="1" x14ac:dyDescent="0.25">
      <c r="A28" s="21" t="s">
        <v>495</v>
      </c>
      <c r="B28" s="21" t="str">
        <f t="shared" si="0"/>
        <v>#LOC_ETT_computers_title</v>
      </c>
      <c r="C28" s="21" t="s">
        <v>312</v>
      </c>
      <c r="D28" s="21" t="s">
        <v>885</v>
      </c>
      <c r="E28" s="21"/>
    </row>
    <row r="29" spans="1:5" s="20" customFormat="1" x14ac:dyDescent="0.25">
      <c r="A29" s="21" t="s">
        <v>144</v>
      </c>
      <c r="B29" s="21" t="str">
        <f t="shared" si="0"/>
        <v>#LOC_ETT_docking_title</v>
      </c>
      <c r="C29" s="21" t="s">
        <v>358</v>
      </c>
      <c r="D29" s="21" t="s">
        <v>887</v>
      </c>
      <c r="E29" s="21"/>
    </row>
    <row r="30" spans="1:5" s="20" customFormat="1" x14ac:dyDescent="0.25">
      <c r="A30" s="21" t="s">
        <v>477</v>
      </c>
      <c r="B30" s="21" t="str">
        <f t="shared" si="0"/>
        <v>#LOC_ETT_electricPropulsion_title</v>
      </c>
      <c r="C30" s="21" t="s">
        <v>314</v>
      </c>
      <c r="D30" s="21" t="s">
        <v>882</v>
      </c>
      <c r="E30" s="21"/>
    </row>
    <row r="31" spans="1:5" s="20" customFormat="1" x14ac:dyDescent="0.25">
      <c r="A31" s="21" t="s">
        <v>535</v>
      </c>
      <c r="B31" s="21" t="str">
        <f t="shared" si="0"/>
        <v>#LOC_ETT_emPropulsion_title</v>
      </c>
      <c r="C31" s="21" t="s">
        <v>240</v>
      </c>
      <c r="D31" s="21" t="s">
        <v>931</v>
      </c>
      <c r="E31" s="21"/>
    </row>
    <row r="32" spans="1:5" s="20" customFormat="1" x14ac:dyDescent="0.25">
      <c r="A32" s="21" t="s">
        <v>502</v>
      </c>
      <c r="B32" s="21" t="str">
        <f t="shared" si="0"/>
        <v>#LOC_ETT_exoticCommunications_title</v>
      </c>
      <c r="C32" s="21" t="s">
        <v>348</v>
      </c>
      <c r="D32" s="21" t="s">
        <v>915</v>
      </c>
      <c r="E32" s="21"/>
    </row>
    <row r="33" spans="1:5" s="20" customFormat="1" x14ac:dyDescent="0.25">
      <c r="A33" s="21" t="s">
        <v>498</v>
      </c>
      <c r="B33" s="21" t="str">
        <f t="shared" ref="B33:B64" si="1">"#LOC_ETT_"&amp;A33&amp;"_title"</f>
        <v>#LOC_ETT_exoticComputers_title</v>
      </c>
      <c r="C33" s="21" t="s">
        <v>342</v>
      </c>
      <c r="D33" s="21" t="s">
        <v>926</v>
      </c>
      <c r="E33" s="21"/>
    </row>
    <row r="34" spans="1:5" s="20" customFormat="1" x14ac:dyDescent="0.25">
      <c r="A34" s="21" t="s">
        <v>485</v>
      </c>
      <c r="B34" s="21" t="str">
        <f t="shared" si="1"/>
        <v>#LOC_ETT_experimentalAdvancedRocketry_title</v>
      </c>
      <c r="C34" s="21" t="s">
        <v>333</v>
      </c>
      <c r="D34" s="21" t="s">
        <v>899</v>
      </c>
      <c r="E34" s="21"/>
    </row>
    <row r="35" spans="1:5" s="20" customFormat="1" x14ac:dyDescent="0.25">
      <c r="A35" s="21" t="s">
        <v>551</v>
      </c>
      <c r="B35" s="21" t="str">
        <f t="shared" si="1"/>
        <v>#LOC_ETT_experimentalBouyancy_title</v>
      </c>
      <c r="C35" s="21" t="s">
        <v>321</v>
      </c>
      <c r="D35" s="21" t="s">
        <v>918</v>
      </c>
      <c r="E35" s="21"/>
    </row>
    <row r="36" spans="1:5" s="20" customFormat="1" x14ac:dyDescent="0.25">
      <c r="A36" s="21" t="s">
        <v>501</v>
      </c>
      <c r="B36" s="21" t="str">
        <f t="shared" si="1"/>
        <v>#LOC_ETT_experimentalCommunications_title</v>
      </c>
      <c r="C36" s="21" t="s">
        <v>347</v>
      </c>
      <c r="D36" s="21" t="s">
        <v>902</v>
      </c>
      <c r="E36" s="21"/>
    </row>
    <row r="37" spans="1:5" s="20" customFormat="1" x14ac:dyDescent="0.25">
      <c r="A37" s="21" t="s">
        <v>497</v>
      </c>
      <c r="B37" s="21" t="str">
        <f t="shared" si="1"/>
        <v>#LOC_ETT_experimentalComputers_title</v>
      </c>
      <c r="C37" s="21" t="s">
        <v>366</v>
      </c>
      <c r="D37" s="21" t="s">
        <v>922</v>
      </c>
      <c r="E37" s="21"/>
    </row>
    <row r="38" spans="1:5" s="20" customFormat="1" x14ac:dyDescent="0.25">
      <c r="A38" s="21" t="s">
        <v>536</v>
      </c>
      <c r="B38" s="21" t="str">
        <f t="shared" si="1"/>
        <v>#LOC_ETT_experimentalEMPropulsion_title</v>
      </c>
      <c r="C38" s="21" t="s">
        <v>345</v>
      </c>
      <c r="D38" s="21" t="s">
        <v>933</v>
      </c>
      <c r="E38" s="21"/>
    </row>
    <row r="39" spans="1:5" s="20" customFormat="1" x14ac:dyDescent="0.25">
      <c r="A39" s="21" t="s">
        <v>508</v>
      </c>
      <c r="B39" s="21" t="str">
        <f t="shared" si="1"/>
        <v>#LOC_ETT_experimentalFlightControls_title</v>
      </c>
      <c r="C39" s="21" t="s">
        <v>326</v>
      </c>
      <c r="D39" s="21" t="s">
        <v>919</v>
      </c>
      <c r="E39" s="21"/>
    </row>
    <row r="40" spans="1:5" s="20" customFormat="1" x14ac:dyDescent="0.25">
      <c r="A40" s="21" t="s">
        <v>488</v>
      </c>
      <c r="B40" s="21" t="str">
        <f t="shared" si="1"/>
        <v>#LOC_ETT_experimentalGeneralRocketry_title</v>
      </c>
      <c r="C40" s="21" t="s">
        <v>308</v>
      </c>
      <c r="D40" s="21" t="s">
        <v>884</v>
      </c>
      <c r="E40" s="21"/>
    </row>
    <row r="41" spans="1:5" s="20" customFormat="1" x14ac:dyDescent="0.25">
      <c r="A41" s="21" t="s">
        <v>483</v>
      </c>
      <c r="B41" s="21" t="str">
        <f t="shared" si="1"/>
        <v>#LOC_ETT_experimentalHeavyRocketry_title</v>
      </c>
      <c r="C41" s="21" t="s">
        <v>335</v>
      </c>
      <c r="D41" s="21" t="s">
        <v>930</v>
      </c>
      <c r="E41" s="21"/>
    </row>
    <row r="42" spans="1:5" s="20" customFormat="1" x14ac:dyDescent="0.25">
      <c r="A42" s="21" t="s">
        <v>480</v>
      </c>
      <c r="B42" s="21" t="str">
        <f t="shared" si="1"/>
        <v>#LOC_ETT_experimentalHeavierRocketry_title</v>
      </c>
      <c r="C42" s="21" t="s">
        <v>337</v>
      </c>
      <c r="D42" s="21" t="s">
        <v>930</v>
      </c>
      <c r="E42" s="21"/>
    </row>
    <row r="43" spans="1:5" s="20" customFormat="1" x14ac:dyDescent="0.25">
      <c r="A43" s="21" t="s">
        <v>491</v>
      </c>
      <c r="B43" s="21" t="str">
        <f t="shared" si="1"/>
        <v>#LOC_ETT_experimentalIntermediateRocketry_title</v>
      </c>
      <c r="C43" s="21" t="s">
        <v>548</v>
      </c>
      <c r="D43" s="21" t="s">
        <v>897</v>
      </c>
      <c r="E43" s="21"/>
    </row>
    <row r="44" spans="1:5" s="20" customFormat="1" x14ac:dyDescent="0.25">
      <c r="A44" s="21" t="s">
        <v>487</v>
      </c>
      <c r="B44" s="21" t="str">
        <f t="shared" si="1"/>
        <v>#LOC_ETT_experimentalPrecisionEngineering_title</v>
      </c>
      <c r="C44" s="21" t="s">
        <v>306</v>
      </c>
      <c r="D44" s="21" t="s">
        <v>879</v>
      </c>
      <c r="E44" s="21"/>
    </row>
    <row r="45" spans="1:5" s="20" customFormat="1" x14ac:dyDescent="0.25">
      <c r="A45" s="21" t="s">
        <v>554</v>
      </c>
      <c r="B45" s="21" t="str">
        <f t="shared" si="1"/>
        <v>#LOC_ETT_experimentalProbes_title</v>
      </c>
      <c r="C45" s="21" t="s">
        <v>274</v>
      </c>
      <c r="D45" s="21" t="s">
        <v>925</v>
      </c>
      <c r="E45" s="21"/>
    </row>
    <row r="46" spans="1:5" s="20" customFormat="1" x14ac:dyDescent="0.25">
      <c r="A46" s="21" t="s">
        <v>494</v>
      </c>
      <c r="B46" s="21" t="str">
        <f t="shared" si="1"/>
        <v>#LOC_ETT_experimentalRadialTech_title</v>
      </c>
      <c r="C46" s="21" t="s">
        <v>331</v>
      </c>
      <c r="D46" s="21" t="s">
        <v>909</v>
      </c>
      <c r="E46" s="21"/>
    </row>
    <row r="47" spans="1:5" s="20" customFormat="1" x14ac:dyDescent="0.25">
      <c r="A47" s="21" t="s">
        <v>553</v>
      </c>
      <c r="B47" s="21" t="str">
        <f t="shared" si="1"/>
        <v>#LOC_ETT_experimentalTurbofanEngines_title</v>
      </c>
      <c r="C47" s="21" t="s">
        <v>270</v>
      </c>
      <c r="D47" s="21" t="s">
        <v>923</v>
      </c>
      <c r="E47" s="21"/>
    </row>
    <row r="48" spans="1:5" s="20" customFormat="1" x14ac:dyDescent="0.25">
      <c r="A48" s="21" t="s">
        <v>473</v>
      </c>
      <c r="B48" s="21" t="str">
        <f t="shared" si="1"/>
        <v>#LOC_ETT_expSolarTech_title</v>
      </c>
      <c r="C48" s="21" t="s">
        <v>364</v>
      </c>
      <c r="D48" s="21" t="s">
        <v>914</v>
      </c>
      <c r="E48" s="21"/>
    </row>
    <row r="49" spans="1:5" s="20" customFormat="1" x14ac:dyDescent="0.25">
      <c r="A49" s="21" t="s">
        <v>259</v>
      </c>
      <c r="B49" s="21" t="str">
        <f t="shared" si="1"/>
        <v>#LOC_ETT_fairings_title</v>
      </c>
      <c r="C49" s="21" t="s">
        <v>260</v>
      </c>
      <c r="D49" s="21" t="s">
        <v>871</v>
      </c>
      <c r="E49" s="21"/>
    </row>
    <row r="50" spans="1:5" s="20" customFormat="1" x14ac:dyDescent="0.25">
      <c r="A50" s="21" t="s">
        <v>506</v>
      </c>
      <c r="B50" s="21" t="str">
        <f t="shared" si="1"/>
        <v>#LOC_ETT_giganticSolidRockets_title</v>
      </c>
      <c r="C50" s="21" t="s">
        <v>339</v>
      </c>
      <c r="D50" s="21" t="s">
        <v>921</v>
      </c>
      <c r="E50" s="21"/>
    </row>
    <row r="51" spans="1:5" s="20" customFormat="1" x14ac:dyDescent="0.25">
      <c r="A51" s="21" t="s">
        <v>504</v>
      </c>
      <c r="B51" s="21" t="str">
        <f t="shared" si="1"/>
        <v>#LOC_ETT_heavySolidRockets_title</v>
      </c>
      <c r="C51" s="21" t="s">
        <v>311</v>
      </c>
      <c r="D51" s="21" t="s">
        <v>895</v>
      </c>
      <c r="E51" s="21"/>
    </row>
    <row r="52" spans="1:5" s="20" customFormat="1" x14ac:dyDescent="0.25">
      <c r="A52" s="21" t="s">
        <v>466</v>
      </c>
      <c r="B52" s="21" t="str">
        <f t="shared" si="1"/>
        <v>#LOC_ETT_highEfficiencyNuclear_title</v>
      </c>
      <c r="C52" s="21" t="s">
        <v>34</v>
      </c>
      <c r="D52" s="21" t="s">
        <v>929</v>
      </c>
      <c r="E52" s="21"/>
    </row>
    <row r="53" spans="1:5" s="20" customFormat="1" x14ac:dyDescent="0.25">
      <c r="A53" s="21" t="s">
        <v>556</v>
      </c>
      <c r="B53" s="21" t="str">
        <f t="shared" si="1"/>
        <v>#LOC_ETT_hybridRockets_title</v>
      </c>
      <c r="C53" s="21" t="s">
        <v>239</v>
      </c>
      <c r="D53" s="21" t="s">
        <v>927</v>
      </c>
      <c r="E53" s="21"/>
    </row>
    <row r="54" spans="1:5" s="20" customFormat="1" x14ac:dyDescent="0.25">
      <c r="A54" s="21" t="s">
        <v>549</v>
      </c>
      <c r="B54" s="21" t="str">
        <f t="shared" si="1"/>
        <v>#LOC_ETT_inflatableStationTech_title</v>
      </c>
      <c r="C54" s="21" t="s">
        <v>319</v>
      </c>
      <c r="D54" s="21" t="s">
        <v>907</v>
      </c>
      <c r="E54" s="21"/>
    </row>
    <row r="55" spans="1:5" s="20" customFormat="1" x14ac:dyDescent="0.25">
      <c r="A55" s="21" t="s">
        <v>489</v>
      </c>
      <c r="B55" s="21" t="str">
        <f t="shared" si="1"/>
        <v>#LOC_ETT_intermediateRocketry_title</v>
      </c>
      <c r="C55" s="21" t="s">
        <v>233</v>
      </c>
      <c r="D55" s="21" t="s">
        <v>877</v>
      </c>
      <c r="E55" s="21"/>
    </row>
    <row r="56" spans="1:5" s="20" customFormat="1" x14ac:dyDescent="0.25">
      <c r="A56" s="21" t="s">
        <v>523</v>
      </c>
      <c r="B56" s="21" t="str">
        <f t="shared" si="1"/>
        <v>#LOC_ETT_landingLegs_title</v>
      </c>
      <c r="C56" s="21" t="s">
        <v>359</v>
      </c>
      <c r="D56" s="21" t="s">
        <v>869</v>
      </c>
      <c r="E56" s="21"/>
    </row>
    <row r="57" spans="1:5" s="20" customFormat="1" x14ac:dyDescent="0.25">
      <c r="A57" s="21" t="s">
        <v>510</v>
      </c>
      <c r="B57" s="21" t="str">
        <f t="shared" si="1"/>
        <v>#LOC_ETT_largeFairings_title</v>
      </c>
      <c r="C57" s="21" t="s">
        <v>324</v>
      </c>
      <c r="D57" s="21" t="s">
        <v>898</v>
      </c>
      <c r="E57" s="21"/>
    </row>
    <row r="58" spans="1:5" s="20" customFormat="1" x14ac:dyDescent="0.25">
      <c r="A58" s="21" t="s">
        <v>542</v>
      </c>
      <c r="B58" s="21" t="str">
        <f t="shared" si="1"/>
        <v>#LOC_ETT_largeLandingLegs_title</v>
      </c>
      <c r="C58" s="21" t="s">
        <v>320</v>
      </c>
      <c r="D58" s="21" t="s">
        <v>904</v>
      </c>
      <c r="E58" s="21"/>
    </row>
    <row r="59" spans="1:5" s="20" customFormat="1" x14ac:dyDescent="0.25">
      <c r="A59" s="21" t="s">
        <v>525</v>
      </c>
      <c r="B59" s="21" t="str">
        <f t="shared" si="1"/>
        <v>#LOC_ETT_largeLaunchClamps_title</v>
      </c>
      <c r="C59" s="21" t="s">
        <v>247</v>
      </c>
      <c r="D59" s="21" t="s">
        <v>860</v>
      </c>
      <c r="E59" s="21"/>
    </row>
    <row r="60" spans="1:5" s="20" customFormat="1" x14ac:dyDescent="0.25">
      <c r="A60" s="21" t="s">
        <v>529</v>
      </c>
      <c r="B60" s="21" t="str">
        <f t="shared" si="1"/>
        <v>#LOC_ETT_largeModelRocketry_title</v>
      </c>
      <c r="C60" s="21" t="s">
        <v>256</v>
      </c>
      <c r="D60" s="21" t="s">
        <v>856</v>
      </c>
      <c r="E60" s="21"/>
    </row>
    <row r="61" spans="1:5" s="20" customFormat="1" x14ac:dyDescent="0.25">
      <c r="A61" s="21" t="s">
        <v>520</v>
      </c>
      <c r="B61" s="21" t="str">
        <f t="shared" si="1"/>
        <v>#LOC_ETT_largePropellerEngines_title</v>
      </c>
      <c r="C61" s="21" t="s">
        <v>263</v>
      </c>
      <c r="D61" s="21" t="s">
        <v>870</v>
      </c>
      <c r="E61" s="21"/>
    </row>
    <row r="62" spans="1:5" s="20" customFormat="1" x14ac:dyDescent="0.25">
      <c r="A62" s="21" t="s">
        <v>555</v>
      </c>
      <c r="B62" s="21" t="str">
        <f t="shared" si="1"/>
        <v>#LOC_ETT_lifeSupport_title</v>
      </c>
      <c r="C62" s="21" t="s">
        <v>316</v>
      </c>
      <c r="D62" s="21" t="s">
        <v>886</v>
      </c>
      <c r="E62" s="21" t="s">
        <v>1317</v>
      </c>
    </row>
    <row r="63" spans="1:5" s="20" customFormat="1" x14ac:dyDescent="0.25">
      <c r="A63" s="21" t="s">
        <v>543</v>
      </c>
      <c r="B63" s="21" t="str">
        <f t="shared" si="1"/>
        <v>#LOC_ETT_mannedTech_title</v>
      </c>
      <c r="C63" s="21" t="s">
        <v>234</v>
      </c>
      <c r="D63" s="21" t="s">
        <v>875</v>
      </c>
      <c r="E63" s="21"/>
    </row>
    <row r="64" spans="1:5" s="20" customFormat="1" x14ac:dyDescent="0.25">
      <c r="A64" s="21" t="s">
        <v>528</v>
      </c>
      <c r="B64" s="21" t="str">
        <f t="shared" si="1"/>
        <v>#LOC_ETT_modelRocketry_title</v>
      </c>
      <c r="C64" s="21" t="s">
        <v>255</v>
      </c>
      <c r="D64" s="21" t="s">
        <v>854</v>
      </c>
      <c r="E64" s="21"/>
    </row>
    <row r="65" spans="1:5" s="20" customFormat="1" x14ac:dyDescent="0.25">
      <c r="A65" s="21" t="s">
        <v>530</v>
      </c>
      <c r="B65" s="21" t="str">
        <f t="shared" ref="B65:B87" si="2">"#LOC_ETT_"&amp;A65&amp;"_title"</f>
        <v>#LOC_ETT_modelRocketStability_title</v>
      </c>
      <c r="C65" s="21" t="s">
        <v>307</v>
      </c>
      <c r="D65" s="21" t="s">
        <v>859</v>
      </c>
      <c r="E65" s="21"/>
    </row>
    <row r="66" spans="1:5" s="20" customFormat="1" x14ac:dyDescent="0.25">
      <c r="A66" s="21" t="s">
        <v>532</v>
      </c>
      <c r="B66" s="21" t="str">
        <f t="shared" si="2"/>
        <v>#LOC_ETT_offworldLaunchsites_title</v>
      </c>
      <c r="C66" s="21" t="s">
        <v>531</v>
      </c>
      <c r="D66" s="21" t="s">
        <v>935</v>
      </c>
      <c r="E66" s="21"/>
    </row>
    <row r="67" spans="1:5" s="20" customFormat="1" x14ac:dyDescent="0.25">
      <c r="A67" s="21" t="s">
        <v>533</v>
      </c>
      <c r="B67" s="21" t="str">
        <f t="shared" si="2"/>
        <v>#LOC_ETT_offworldMining_title</v>
      </c>
      <c r="C67" s="21" t="s">
        <v>550</v>
      </c>
      <c r="D67" s="21" t="s">
        <v>911</v>
      </c>
      <c r="E67" s="21"/>
    </row>
    <row r="68" spans="1:5" s="20" customFormat="1" x14ac:dyDescent="0.25">
      <c r="A68" s="21" t="s">
        <v>519</v>
      </c>
      <c r="B68" s="21" t="str">
        <f t="shared" si="2"/>
        <v>#LOC_ETT_propellerEngines_title</v>
      </c>
      <c r="C68" s="21" t="s">
        <v>298</v>
      </c>
      <c r="D68" s="21" t="s">
        <v>862</v>
      </c>
      <c r="E68" s="21"/>
    </row>
    <row r="69" spans="1:5" s="20" customFormat="1" x14ac:dyDescent="0.25">
      <c r="A69" s="21" t="s">
        <v>499</v>
      </c>
      <c r="B69" s="21" t="str">
        <f t="shared" si="2"/>
        <v>#LOC_ETT_quantumComputers_title</v>
      </c>
      <c r="C69" s="21" t="s">
        <v>346</v>
      </c>
      <c r="D69" s="21" t="s">
        <v>928</v>
      </c>
      <c r="E69" s="21"/>
    </row>
    <row r="70" spans="1:5" s="20" customFormat="1" x14ac:dyDescent="0.25">
      <c r="A70" s="21" t="s">
        <v>493</v>
      </c>
      <c r="B70" s="21" t="str">
        <f t="shared" si="2"/>
        <v>#LOC_ETT_radialTech_title</v>
      </c>
      <c r="C70" s="21" t="s">
        <v>301</v>
      </c>
      <c r="D70" s="21" t="s">
        <v>863</v>
      </c>
      <c r="E70" s="21"/>
    </row>
    <row r="71" spans="1:5" s="20" customFormat="1" x14ac:dyDescent="0.25">
      <c r="A71" s="21" t="s">
        <v>467</v>
      </c>
      <c r="B71" s="21" t="str">
        <f t="shared" si="2"/>
        <v>#LOC_ETT_reactionControl_title</v>
      </c>
      <c r="C71" s="21" t="s">
        <v>302</v>
      </c>
      <c r="D71" s="21" t="s">
        <v>865</v>
      </c>
      <c r="E71" s="21"/>
    </row>
    <row r="72" spans="1:5" s="20" customFormat="1" x14ac:dyDescent="0.25">
      <c r="A72" s="21" t="s">
        <v>469</v>
      </c>
      <c r="B72" s="21" t="str">
        <f t="shared" si="2"/>
        <v>#LOC_ETT_rovers_title</v>
      </c>
      <c r="C72" s="21" t="s">
        <v>315</v>
      </c>
      <c r="D72" s="21" t="s">
        <v>868</v>
      </c>
      <c r="E72" s="21" t="s">
        <v>1316</v>
      </c>
    </row>
    <row r="73" spans="1:5" s="20" customFormat="1" x14ac:dyDescent="0.25">
      <c r="A73" s="21" t="s">
        <v>524</v>
      </c>
      <c r="B73" s="21" t="str">
        <f t="shared" si="2"/>
        <v>#LOC_ETT_smallLaunchClamps_title</v>
      </c>
      <c r="C73" s="21" t="s">
        <v>246</v>
      </c>
      <c r="D73" s="21" t="s">
        <v>855</v>
      </c>
      <c r="E73" s="21"/>
    </row>
    <row r="74" spans="1:5" s="20" customFormat="1" x14ac:dyDescent="0.25">
      <c r="A74" s="21" t="s">
        <v>470</v>
      </c>
      <c r="B74" s="21" t="str">
        <f t="shared" si="2"/>
        <v>#LOC_ETT_solarTech_title</v>
      </c>
      <c r="C74" s="21" t="s">
        <v>232</v>
      </c>
      <c r="D74" s="21" t="s">
        <v>866</v>
      </c>
      <c r="E74" s="21"/>
    </row>
    <row r="75" spans="1:5" s="20" customFormat="1" x14ac:dyDescent="0.25">
      <c r="A75" s="21" t="s">
        <v>512</v>
      </c>
      <c r="B75" s="21" t="str">
        <f t="shared" si="2"/>
        <v>#LOC_ETT_spaceStationTech_title</v>
      </c>
      <c r="C75" s="21" t="s">
        <v>360</v>
      </c>
      <c r="D75" s="21" t="s">
        <v>903</v>
      </c>
      <c r="E75" s="21"/>
    </row>
    <row r="76" spans="1:5" s="20" customFormat="1" x14ac:dyDescent="0.25">
      <c r="A76" s="21" t="s">
        <v>526</v>
      </c>
      <c r="B76" s="21" t="str">
        <f t="shared" si="2"/>
        <v>#LOC_ETT_thermodynamics_title</v>
      </c>
      <c r="C76" s="21" t="s">
        <v>299</v>
      </c>
      <c r="D76" s="21" t="s">
        <v>853</v>
      </c>
      <c r="E76" s="21"/>
    </row>
    <row r="77" spans="1:5" s="20" customFormat="1" x14ac:dyDescent="0.25">
      <c r="A77" s="21" t="s">
        <v>517</v>
      </c>
      <c r="B77" s="21" t="str">
        <f t="shared" si="2"/>
        <v>#LOC_ETT_turbofanEngines_title</v>
      </c>
      <c r="C77" s="21" t="s">
        <v>266</v>
      </c>
      <c r="D77" s="21" t="s">
        <v>892</v>
      </c>
      <c r="E77" s="21"/>
    </row>
    <row r="78" spans="1:5" s="20" customFormat="1" x14ac:dyDescent="0.25">
      <c r="A78" s="21" t="s">
        <v>516</v>
      </c>
      <c r="B78" s="21" t="str">
        <f t="shared" si="2"/>
        <v>#LOC_ETT_turbojetEngines_title</v>
      </c>
      <c r="C78" s="21" t="s">
        <v>265</v>
      </c>
      <c r="D78" s="21" t="s">
        <v>873</v>
      </c>
      <c r="E78" s="21"/>
    </row>
    <row r="79" spans="1:5" s="20" customFormat="1" x14ac:dyDescent="0.25">
      <c r="A79" s="21" t="s">
        <v>513</v>
      </c>
      <c r="B79" s="21" t="str">
        <f t="shared" si="2"/>
        <v>#LOC_ETT_turbopropEngines_title</v>
      </c>
      <c r="C79" s="21" t="s">
        <v>327</v>
      </c>
      <c r="D79" s="21" t="s">
        <v>905</v>
      </c>
      <c r="E79" s="21"/>
    </row>
    <row r="80" spans="1:5" s="20" customFormat="1" x14ac:dyDescent="0.25">
      <c r="A80" s="21" t="s">
        <v>514</v>
      </c>
      <c r="B80" s="21" t="str">
        <f t="shared" si="2"/>
        <v>#LOC_ETT_turboshaftEngines_title</v>
      </c>
      <c r="C80" s="21" t="s">
        <v>268</v>
      </c>
      <c r="D80" s="21" t="s">
        <v>891</v>
      </c>
      <c r="E80" s="21"/>
    </row>
    <row r="81" spans="1:5" s="20" customFormat="1" x14ac:dyDescent="0.25">
      <c r="A81" s="21" t="s">
        <v>51</v>
      </c>
      <c r="B81" s="21" t="str">
        <f t="shared" si="2"/>
        <v>#LOC_ETT_ullageMotors_title</v>
      </c>
      <c r="C81" s="21" t="s">
        <v>230</v>
      </c>
      <c r="D81" s="21" t="s">
        <v>857</v>
      </c>
      <c r="E81" s="21"/>
    </row>
    <row r="82" spans="1:5" s="20" customFormat="1" x14ac:dyDescent="0.25">
      <c r="A82" s="21" t="s">
        <v>505</v>
      </c>
      <c r="B82" s="21" t="str">
        <f t="shared" si="2"/>
        <v>#LOC_ETT_veryHeavySolidRockets_title</v>
      </c>
      <c r="C82" s="21" t="s">
        <v>361</v>
      </c>
      <c r="D82" s="21" t="s">
        <v>906</v>
      </c>
      <c r="E82" s="21"/>
    </row>
    <row r="83" spans="1:5" s="20" customFormat="1" x14ac:dyDescent="0.25">
      <c r="A83" s="21" t="s">
        <v>511</v>
      </c>
      <c r="B83" s="21" t="str">
        <f t="shared" si="2"/>
        <v>#LOC_ETT_veryLargeFairings_title</v>
      </c>
      <c r="C83" s="21" t="s">
        <v>323</v>
      </c>
      <c r="D83" s="21" t="s">
        <v>913</v>
      </c>
      <c r="E83" s="21"/>
    </row>
    <row r="84" spans="1:5" s="20" customFormat="1" x14ac:dyDescent="0.25">
      <c r="A84" s="21" t="s">
        <v>1318</v>
      </c>
      <c r="B84" s="21" t="str">
        <f t="shared" si="2"/>
        <v>#LOC_ETT_ablativeMaterials_title</v>
      </c>
      <c r="C84" s="21" t="s">
        <v>1319</v>
      </c>
      <c r="D84" s="21" t="s">
        <v>1324</v>
      </c>
      <c r="E84" s="21"/>
    </row>
    <row r="85" spans="1:5" s="20" customFormat="1" x14ac:dyDescent="0.25">
      <c r="A85" s="21" t="s">
        <v>1320</v>
      </c>
      <c r="B85" s="21" t="str">
        <f t="shared" si="2"/>
        <v>#LOC_ETT_advAblativeMaterials_title</v>
      </c>
      <c r="C85" s="21" t="s">
        <v>1321</v>
      </c>
      <c r="D85" s="21" t="s">
        <v>1326</v>
      </c>
      <c r="E85" s="21"/>
    </row>
    <row r="86" spans="1:5" s="20" customFormat="1" x14ac:dyDescent="0.25">
      <c r="A86" s="21" t="s">
        <v>1322</v>
      </c>
      <c r="B86" s="21" t="str">
        <f t="shared" si="2"/>
        <v>#LOC_ETT_expAblativeMaterials_title</v>
      </c>
      <c r="C86" s="21" t="s">
        <v>1323</v>
      </c>
      <c r="D86" s="21" t="s">
        <v>1325</v>
      </c>
      <c r="E86" s="21"/>
    </row>
    <row r="87" spans="1:5" s="20" customFormat="1" x14ac:dyDescent="0.25">
      <c r="A87" s="21" t="s">
        <v>541</v>
      </c>
      <c r="B87" s="21" t="str">
        <f t="shared" si="2"/>
        <v>#LOC_ETT_veryLargeLandingLegs_title</v>
      </c>
      <c r="C87" s="21" t="s">
        <v>215</v>
      </c>
      <c r="D87" s="21" t="s">
        <v>917</v>
      </c>
      <c r="E87" s="21"/>
    </row>
  </sheetData>
  <sortState ref="A1:E84">
    <sortCondition ref="A1"/>
  </sortState>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8</vt:i4>
      </vt:variant>
    </vt:vector>
  </HeadingPairs>
  <TitlesOfParts>
    <vt:vector size="19" baseType="lpstr">
      <vt:lpstr>Tech Tree Node Locations</vt:lpstr>
      <vt:lpstr>Tech Tree Node Parameters</vt:lpstr>
      <vt:lpstr>TechTree Transpose</vt:lpstr>
      <vt:lpstr>Tech Tree CFG File</vt:lpstr>
      <vt:lpstr>Sounding Rockets CFG File</vt:lpstr>
      <vt:lpstr>Life Support CFG File</vt:lpstr>
      <vt:lpstr>Inflatable Stations CFG File</vt:lpstr>
      <vt:lpstr>ETT Localization</vt:lpstr>
      <vt:lpstr>Stock Nodes</vt:lpstr>
      <vt:lpstr>CTT Nodes</vt:lpstr>
      <vt:lpstr>ETT Nodes</vt:lpstr>
      <vt:lpstr>NodeCols</vt:lpstr>
      <vt:lpstr>NodeRows</vt:lpstr>
      <vt:lpstr>'Tech Tree Node Locations'!Print_Area</vt:lpstr>
      <vt:lpstr>'Tech Tree Node Parameters'!Print_Area</vt:lpstr>
      <vt:lpstr>TechNodes</vt:lpstr>
      <vt:lpstr>TechTree</vt:lpstr>
      <vt:lpstr>TNodeCols</vt:lpstr>
      <vt:lpstr>TTechTree</vt:lpstr>
    </vt:vector>
  </TitlesOfParts>
  <Company>Windows User</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Frank Dixon</dc:creator>
  <cp:lastModifiedBy>Frank Dixon</cp:lastModifiedBy>
  <cp:lastPrinted>2019-10-27T00:54:08Z</cp:lastPrinted>
  <dcterms:created xsi:type="dcterms:W3CDTF">2018-07-15T07:33:12Z</dcterms:created>
  <dcterms:modified xsi:type="dcterms:W3CDTF">2019-12-03T02:50:00Z</dcterms:modified>
</cp:coreProperties>
</file>